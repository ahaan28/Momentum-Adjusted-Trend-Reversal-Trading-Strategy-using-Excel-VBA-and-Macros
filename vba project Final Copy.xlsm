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aan\Desktop\Ahaan\subjects\Financial Modelling and analysis\"/>
    </mc:Choice>
  </mc:AlternateContent>
  <xr:revisionPtr revIDLastSave="0" documentId="13_ncr:1_{C6071754-91A9-45F2-A5A6-F6981C49EB75}" xr6:coauthVersionLast="43" xr6:coauthVersionMax="43" xr10:uidLastSave="{00000000-0000-0000-0000-000000000000}"/>
  <bookViews>
    <workbookView xWindow="-108" yWindow="-108" windowWidth="23256" windowHeight="12576" firstSheet="3" activeTab="5" xr2:uid="{00000000-000D-0000-FFFF-FFFF00000000}"/>
  </bookViews>
  <sheets>
    <sheet name="returns" sheetId="20" r:id="rId1"/>
    <sheet name="Prices" sheetId="9" r:id="rId2"/>
    <sheet name="Price-to-Book Values" sheetId="10" r:id="rId3"/>
    <sheet name="Market Values" sheetId="11" r:id="rId4"/>
    <sheet name="averet" sheetId="21" r:id="rId5"/>
    <sheet name="Trading Strategy" sheetId="2" r:id="rId6"/>
    <sheet name="Ticker" sheetId="4" r:id="rId7"/>
    <sheet name="Data Scraper" sheetId="5" r:id="rId8"/>
    <sheet name="Extras " sheetId="17" r:id="rId9"/>
  </sheets>
  <functionGroups builtInGroupCount="19"/>
  <definedNames>
    <definedName name="_xlnm._FilterDatabase" localSheetId="7" hidden="1">'Data Scraper'!$G$2:$K$8</definedName>
    <definedName name="solver_adj" localSheetId="8" hidden="1">'Extras '!$B$3:$CD$3</definedName>
    <definedName name="solver_cvg" localSheetId="8" hidden="1">0.0001</definedName>
    <definedName name="solver_drv" localSheetId="8" hidden="1">2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lhs1" localSheetId="8" hidden="1">'Extras '!$B$3:$CD$3</definedName>
    <definedName name="solver_lhs2" localSheetId="8" hidden="1">'Extras '!$B$3:$CD$3</definedName>
    <definedName name="solver_lhs3" localSheetId="8" hidden="1">'Extras '!$CE$3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3</definedName>
    <definedName name="solver_nwt" localSheetId="8" hidden="1">1</definedName>
    <definedName name="solver_opt" localSheetId="8" hidden="1">'Extras '!$C$7</definedName>
    <definedName name="solver_pre" localSheetId="8" hidden="1">0.0001</definedName>
    <definedName name="solver_rbv" localSheetId="8" hidden="1">2</definedName>
    <definedName name="solver_rel1" localSheetId="8" hidden="1">3</definedName>
    <definedName name="solver_rel2" localSheetId="8" hidden="1">1</definedName>
    <definedName name="solver_rel3" localSheetId="8" hidden="1">2</definedName>
    <definedName name="solver_rhs1" localSheetId="8" hidden="1">0</definedName>
    <definedName name="solver_rhs2" localSheetId="8" hidden="1">1</definedName>
    <definedName name="solver_rhs3" localSheetId="8" hidden="1">1</definedName>
    <definedName name="solver_rlx" localSheetId="8" hidden="1">2</definedName>
    <definedName name="solver_rsd" localSheetId="8" hidden="1">0</definedName>
    <definedName name="solver_scl" localSheetId="8" hidden="1">2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1</definedName>
    <definedName name="solver_val" localSheetId="8" hidden="1">0</definedName>
    <definedName name="solver_ver" localSheetId="8" hidden="1">3</definedName>
    <definedName name="TRNR_6013e96a8f2043079cf2002a56103ee3_85_128" hidden="1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7" l="1" a="1"/>
  <c r="C5" i="17" s="1"/>
  <c r="C6" i="17" s="1"/>
  <c r="CE3" i="17"/>
  <c r="C4" i="17" a="1"/>
  <c r="C4" i="17" s="1"/>
  <c r="C7" i="17" l="1"/>
  <c r="A2" i="5" l="1"/>
</calcChain>
</file>

<file path=xl/sharedStrings.xml><?xml version="1.0" encoding="utf-8"?>
<sst xmlns="http://schemas.openxmlformats.org/spreadsheetml/2006/main" count="19899" uniqueCount="9358">
  <si>
    <t>Name</t>
  </si>
  <si>
    <t>MarketCap</t>
  </si>
  <si>
    <t>IPOyear</t>
  </si>
  <si>
    <t>Sector</t>
  </si>
  <si>
    <t>industry</t>
  </si>
  <si>
    <t>PIH</t>
  </si>
  <si>
    <t>1347 Property Insurance Holdings, Inc.</t>
  </si>
  <si>
    <t>$42.59M</t>
  </si>
  <si>
    <t>Finance</t>
  </si>
  <si>
    <t>Property-Casualty Insurers</t>
  </si>
  <si>
    <t>TURN</t>
  </si>
  <si>
    <t>180 Degree Capital Corp.</t>
  </si>
  <si>
    <t>$50.73M</t>
  </si>
  <si>
    <t>n/a</t>
  </si>
  <si>
    <t>Finance/Investors Services</t>
  </si>
  <si>
    <t>FLWS</t>
  </si>
  <si>
    <t>1-800 FLOWERS.COM, Inc.</t>
  </si>
  <si>
    <t>$607.62M</t>
  </si>
  <si>
    <t>Consumer Services</t>
  </si>
  <si>
    <t>Other Specialty Stores</t>
  </si>
  <si>
    <t>FCCY</t>
  </si>
  <si>
    <t>1st Constitution Bancorp (NJ)</t>
  </si>
  <si>
    <t>$140M</t>
  </si>
  <si>
    <t>Savings Institutions</t>
  </si>
  <si>
    <t>SRCE</t>
  </si>
  <si>
    <t>1st Source Corporation</t>
  </si>
  <si>
    <t>$1.25B</t>
  </si>
  <si>
    <t>Major Banks</t>
  </si>
  <si>
    <t>VNET</t>
  </si>
  <si>
    <t>21Vianet Group, Inc.</t>
  </si>
  <si>
    <t>$507.82M</t>
  </si>
  <si>
    <t>Technology</t>
  </si>
  <si>
    <t>Computer Software: Programming, Data Processing</t>
  </si>
  <si>
    <t>TWOU</t>
  </si>
  <si>
    <t>2U, Inc.</t>
  </si>
  <si>
    <t>$2.38B</t>
  </si>
  <si>
    <t>Computer Software: Prepackaged Software</t>
  </si>
  <si>
    <t>JOBS</t>
  </si>
  <si>
    <t>51job, Inc.</t>
  </si>
  <si>
    <t>$3.38B</t>
  </si>
  <si>
    <t>Diversified Commercial Services</t>
  </si>
  <si>
    <t>CAFD</t>
  </si>
  <si>
    <t>8point3 Energy Partners LP</t>
  </si>
  <si>
    <t>$1.14B</t>
  </si>
  <si>
    <t>Public Utilities</t>
  </si>
  <si>
    <t>Electric Utilities: Central</t>
  </si>
  <si>
    <t>EGHT</t>
  </si>
  <si>
    <t>8x8 Inc</t>
  </si>
  <si>
    <t>$1.18B</t>
  </si>
  <si>
    <t>Telecommunications Equipment</t>
  </si>
  <si>
    <t>AVHI</t>
  </si>
  <si>
    <t>A V Homes, Inc.</t>
  </si>
  <si>
    <t>$342.45M</t>
  </si>
  <si>
    <t>Capital Goods</t>
  </si>
  <si>
    <t>Homebuilding</t>
  </si>
  <si>
    <t>SHLM</t>
  </si>
  <si>
    <t>A. Schulman, Inc.</t>
  </si>
  <si>
    <t>$774.92M</t>
  </si>
  <si>
    <t>Basic Industries</t>
  </si>
  <si>
    <t>Major Chemicals</t>
  </si>
  <si>
    <t>AAON</t>
  </si>
  <si>
    <t>AAON, Inc.</t>
  </si>
  <si>
    <t>$1.84B</t>
  </si>
  <si>
    <t>Industrial Machinery/Components</t>
  </si>
  <si>
    <t>ABAX</t>
  </si>
  <si>
    <t>ABAXIS, Inc.</t>
  </si>
  <si>
    <t>$1.06B</t>
  </si>
  <si>
    <t>ABEO</t>
  </si>
  <si>
    <t>Abeona Therapeutics Inc.</t>
  </si>
  <si>
    <t>$309.96M</t>
  </si>
  <si>
    <t>Health Care</t>
  </si>
  <si>
    <t>Major Pharmaceuticals</t>
  </si>
  <si>
    <t>ABEOW</t>
  </si>
  <si>
    <t>ABIL</t>
  </si>
  <si>
    <t>Ability Inc.</t>
  </si>
  <si>
    <t>$15.2M</t>
  </si>
  <si>
    <t>Business Services</t>
  </si>
  <si>
    <t>ABMD</t>
  </si>
  <si>
    <t>ABIOMED, Inc.</t>
  </si>
  <si>
    <t>$6.87B</t>
  </si>
  <si>
    <t>Medical/Dental Instruments</t>
  </si>
  <si>
    <t>AXAS</t>
  </si>
  <si>
    <t>Abraxas Petroleum Corporation</t>
  </si>
  <si>
    <t>$273.63M</t>
  </si>
  <si>
    <t>Energy</t>
  </si>
  <si>
    <t>Oil &amp; Gas Production</t>
  </si>
  <si>
    <t>ACIU</t>
  </si>
  <si>
    <t>AC Immune SA</t>
  </si>
  <si>
    <t>$433.18M</t>
  </si>
  <si>
    <t>ACIA</t>
  </si>
  <si>
    <t>Acacia Communications, Inc.</t>
  </si>
  <si>
    <t>$1.88B</t>
  </si>
  <si>
    <t>Semiconductors</t>
  </si>
  <si>
    <t>ACTG</t>
  </si>
  <si>
    <t>Acacia Research Corporation</t>
  </si>
  <si>
    <t>$164.41M</t>
  </si>
  <si>
    <t>Miscellaneous</t>
  </si>
  <si>
    <t>Multi-Sector Companies</t>
  </si>
  <si>
    <t>ACHC</t>
  </si>
  <si>
    <t>Acadia Healthcare Company, Inc.</t>
  </si>
  <si>
    <t>$4.59B</t>
  </si>
  <si>
    <t>Medical Specialities</t>
  </si>
  <si>
    <t>ACAD</t>
  </si>
  <si>
    <t>ACADIA Pharmaceuticals Inc.</t>
  </si>
  <si>
    <t>$3.61B</t>
  </si>
  <si>
    <t>ACST</t>
  </si>
  <si>
    <t>Acasti Pharma, Inc.</t>
  </si>
  <si>
    <t>$19.13M</t>
  </si>
  <si>
    <t>AXDX</t>
  </si>
  <si>
    <t>Accelerate Diagnostics, Inc.</t>
  </si>
  <si>
    <t>$1.27B</t>
  </si>
  <si>
    <t>Biotechnology: Laboratory Analytical Instruments</t>
  </si>
  <si>
    <t>ACCP</t>
  </si>
  <si>
    <t>Accelerated Pharma, Inc.</t>
  </si>
  <si>
    <t>ACCPW</t>
  </si>
  <si>
    <t>XLRN</t>
  </si>
  <si>
    <t>Acceleron Pharma Inc.</t>
  </si>
  <si>
    <t>$1.34B</t>
  </si>
  <si>
    <t>Biotechnology: Biological Products (No Diagnostic Substances)</t>
  </si>
  <si>
    <t>ANCX</t>
  </si>
  <si>
    <t>Access National Corporation</t>
  </si>
  <si>
    <t>$533.73M</t>
  </si>
  <si>
    <t>ARAY</t>
  </si>
  <si>
    <t>Accuray Incorporated</t>
  </si>
  <si>
    <t>$340.3M</t>
  </si>
  <si>
    <t>ACRX</t>
  </si>
  <si>
    <t>AcelRx Pharmaceuticals, Inc.</t>
  </si>
  <si>
    <t>$131.6M</t>
  </si>
  <si>
    <t>ACET</t>
  </si>
  <si>
    <t>Aceto Corporation</t>
  </si>
  <si>
    <t>$486.43M</t>
  </si>
  <si>
    <t>Other Pharmaceuticals</t>
  </si>
  <si>
    <t>AKAO</t>
  </si>
  <si>
    <t>Achaogen, Inc.</t>
  </si>
  <si>
    <t>$790.41M</t>
  </si>
  <si>
    <t>ACHV</t>
  </si>
  <si>
    <t xml:space="preserve">Achieve Life Sciences, Inc. </t>
  </si>
  <si>
    <t>Biotechnology: In Vitro &amp; In Vivo Diagnostic Substances</t>
  </si>
  <si>
    <t>ACHN</t>
  </si>
  <si>
    <t>Achillion Pharmaceuticals, Inc.</t>
  </si>
  <si>
    <t>$548.26M</t>
  </si>
  <si>
    <t>ACIW</t>
  </si>
  <si>
    <t>ACI Worldwide, Inc.</t>
  </si>
  <si>
    <t>$2.53B</t>
  </si>
  <si>
    <t>ACRS</t>
  </si>
  <si>
    <t>Aclaris Therapeutics, Inc.</t>
  </si>
  <si>
    <t>$714.59M</t>
  </si>
  <si>
    <t>ACNB</t>
  </si>
  <si>
    <t>ACNB Corporation</t>
  </si>
  <si>
    <t>$195.02M</t>
  </si>
  <si>
    <t>ACOR</t>
  </si>
  <si>
    <t>Acorda Therapeutics, Inc.</t>
  </si>
  <si>
    <t>$989.18M</t>
  </si>
  <si>
    <t>SQZZ</t>
  </si>
  <si>
    <t>Active Alts Contrarian ETF</t>
  </si>
  <si>
    <t>ATVI</t>
  </si>
  <si>
    <t>Activision Blizzard, Inc</t>
  </si>
  <si>
    <t>$46.3B</t>
  </si>
  <si>
    <t>ACTA</t>
  </si>
  <si>
    <t>Actua Corporation</t>
  </si>
  <si>
    <t>$426.66M</t>
  </si>
  <si>
    <t>EDP Services</t>
  </si>
  <si>
    <t>ACXM</t>
  </si>
  <si>
    <t>Acxiom Corporation</t>
  </si>
  <si>
    <t>ADMS</t>
  </si>
  <si>
    <t>Adamas Pharmaceuticals, Inc.</t>
  </si>
  <si>
    <t>$376.08M</t>
  </si>
  <si>
    <t>ADMP</t>
  </si>
  <si>
    <t>Adamis Pharmaceuticals Corporation</t>
  </si>
  <si>
    <t>$126.79M</t>
  </si>
  <si>
    <t>ADAP</t>
  </si>
  <si>
    <t>Adaptimmune Therapeutics plc</t>
  </si>
  <si>
    <t>$511.55M</t>
  </si>
  <si>
    <t>ADUS</t>
  </si>
  <si>
    <t>Addus HomeCare Corporation</t>
  </si>
  <si>
    <t>$402.06M</t>
  </si>
  <si>
    <t>Medical/Nursing Services</t>
  </si>
  <si>
    <t>AEY</t>
  </si>
  <si>
    <t>ADDvantage Technologies Group, Inc.</t>
  </si>
  <si>
    <t>$15.9M</t>
  </si>
  <si>
    <t>Office Equipment/Supplies/Services</t>
  </si>
  <si>
    <t>IOTS</t>
  </si>
  <si>
    <t>Adesto Technologies Corporation</t>
  </si>
  <si>
    <t>$114.61M</t>
  </si>
  <si>
    <t>ADMA</t>
  </si>
  <si>
    <t>ADMA Biologics Inc</t>
  </si>
  <si>
    <t>$40.72M</t>
  </si>
  <si>
    <t>ADBE</t>
  </si>
  <si>
    <t>Adobe Systems Incorporated</t>
  </si>
  <si>
    <t>$72.93B</t>
  </si>
  <si>
    <t>ADOM</t>
  </si>
  <si>
    <t>ADOMANI, Inc.</t>
  </si>
  <si>
    <t>$543.42M</t>
  </si>
  <si>
    <t>Auto Parts:O.E.M.</t>
  </si>
  <si>
    <t>ADTN</t>
  </si>
  <si>
    <t>ADTRAN, Inc.</t>
  </si>
  <si>
    <t>$1.08B</t>
  </si>
  <si>
    <t>ADRO</t>
  </si>
  <si>
    <t>Aduro Biotech, Inc.</t>
  </si>
  <si>
    <t>$917.73M</t>
  </si>
  <si>
    <t>AAAP</t>
  </si>
  <si>
    <t>Advanced Accelerator Applications S.A.</t>
  </si>
  <si>
    <t>$2.14B</t>
  </si>
  <si>
    <t>ADES</t>
  </si>
  <si>
    <t>Advanced Emissions Solutions, Inc.</t>
  </si>
  <si>
    <t>$232.98M</t>
  </si>
  <si>
    <t>AEIS</t>
  </si>
  <si>
    <t>Advanced Energy Industries, Inc.</t>
  </si>
  <si>
    <t>$2.82B</t>
  </si>
  <si>
    <t>AMD</t>
  </si>
  <si>
    <t>Advanced Micro Devices, Inc.</t>
  </si>
  <si>
    <t>$12.41B</t>
  </si>
  <si>
    <t>ADXS</t>
  </si>
  <si>
    <t>Advaxis, Inc.</t>
  </si>
  <si>
    <t>$254.92M</t>
  </si>
  <si>
    <t>ADXSW</t>
  </si>
  <si>
    <t>ADVM</t>
  </si>
  <si>
    <t>Adverum Biotechnologies, Inc.</t>
  </si>
  <si>
    <t>$108.24M</t>
  </si>
  <si>
    <t>AEGN</t>
  </si>
  <si>
    <t>Aegion Corp</t>
  </si>
  <si>
    <t>$685.66M</t>
  </si>
  <si>
    <t>Water Supply</t>
  </si>
  <si>
    <t>AGLE</t>
  </si>
  <si>
    <t>Aeglea BioTherapeutics, Inc.</t>
  </si>
  <si>
    <t>$42.91M</t>
  </si>
  <si>
    <t>AEHR</t>
  </si>
  <si>
    <t>Aehr Test Systems</t>
  </si>
  <si>
    <t>$79.11M</t>
  </si>
  <si>
    <t>Electrical Products</t>
  </si>
  <si>
    <t>AMTX</t>
  </si>
  <si>
    <t>Aemetis, Inc</t>
  </si>
  <si>
    <t>$23.04M</t>
  </si>
  <si>
    <t>AERI</t>
  </si>
  <si>
    <t>Aerie Pharmaceuticals, Inc.</t>
  </si>
  <si>
    <t>AVAV</t>
  </si>
  <si>
    <t>AeroVironment, Inc.</t>
  </si>
  <si>
    <t>$908.86M</t>
  </si>
  <si>
    <t>Aerospace</t>
  </si>
  <si>
    <t>AEZS</t>
  </si>
  <si>
    <t>AEterna Zentaris Inc.</t>
  </si>
  <si>
    <t>$28.76M</t>
  </si>
  <si>
    <t>AEMD</t>
  </si>
  <si>
    <t>Aethlon Medical, Inc.</t>
  </si>
  <si>
    <t>$14.9M</t>
  </si>
  <si>
    <t>GNMX</t>
  </si>
  <si>
    <t>Aevi Genomic Medicine, Inc.</t>
  </si>
  <si>
    <t>$44.16M</t>
  </si>
  <si>
    <t>AFMD</t>
  </si>
  <si>
    <t>Affimed N.V.</t>
  </si>
  <si>
    <t>$94.47M</t>
  </si>
  <si>
    <t>AGEN</t>
  </si>
  <si>
    <t>Agenus Inc.</t>
  </si>
  <si>
    <t>$381.61M</t>
  </si>
  <si>
    <t>AGRX</t>
  </si>
  <si>
    <t>Agile Therapeutics, Inc.</t>
  </si>
  <si>
    <t>$94.77M</t>
  </si>
  <si>
    <t>AGYS</t>
  </si>
  <si>
    <t>Agilysys, Inc.</t>
  </si>
  <si>
    <t>$238.83M</t>
  </si>
  <si>
    <t>AGIO</t>
  </si>
  <si>
    <t>Agios Pharmaceuticals, Inc.</t>
  </si>
  <si>
    <t>$2.87B</t>
  </si>
  <si>
    <t>AGNC</t>
  </si>
  <si>
    <t>AGNC Investment Corp.</t>
  </si>
  <si>
    <t>$6.99B</t>
  </si>
  <si>
    <t>Real Estate Investment Trusts</t>
  </si>
  <si>
    <t>AGNCB</t>
  </si>
  <si>
    <t>$8.99B</t>
  </si>
  <si>
    <t>AGNCP</t>
  </si>
  <si>
    <t>AGFS</t>
  </si>
  <si>
    <t>AgroFresh Solutions, Inc.</t>
  </si>
  <si>
    <t>$370.57M</t>
  </si>
  <si>
    <t>AGFSW</t>
  </si>
  <si>
    <t>ALRN</t>
  </si>
  <si>
    <t>Aileron Therapeutics, Inc.</t>
  </si>
  <si>
    <t>$180.79M</t>
  </si>
  <si>
    <t>AIMT</t>
  </si>
  <si>
    <t>Aimmune Therapeutics, Inc.</t>
  </si>
  <si>
    <t>$1.03B</t>
  </si>
  <si>
    <t>AIRT</t>
  </si>
  <si>
    <t>Air T, Inc.</t>
  </si>
  <si>
    <t>$33.91M</t>
  </si>
  <si>
    <t>Transportation</t>
  </si>
  <si>
    <t>Air Freight/Delivery Services</t>
  </si>
  <si>
    <t>ATSG</t>
  </si>
  <si>
    <t>Air Transport Services Group, Inc</t>
  </si>
  <si>
    <t>$1.4B</t>
  </si>
  <si>
    <t>AIRG</t>
  </si>
  <si>
    <t>Airgain, Inc.</t>
  </si>
  <si>
    <t>$100.63M</t>
  </si>
  <si>
    <t>Radio And Television Broadcasting And Communications Equipment</t>
  </si>
  <si>
    <t>AMCN</t>
  </si>
  <si>
    <t>AirMedia Group Inc</t>
  </si>
  <si>
    <t>$165.2M</t>
  </si>
  <si>
    <t>Advertising</t>
  </si>
  <si>
    <t>AKAM</t>
  </si>
  <si>
    <t>Akamai Technologies, Inc.</t>
  </si>
  <si>
    <t>$8.13B</t>
  </si>
  <si>
    <t>AKTX</t>
  </si>
  <si>
    <t>Akari Therapeutics Plc</t>
  </si>
  <si>
    <t>$45.58M</t>
  </si>
  <si>
    <t>AKCA</t>
  </si>
  <si>
    <t>Akcea Therapeutics, Inc.</t>
  </si>
  <si>
    <t>$943.71M</t>
  </si>
  <si>
    <t>AKBA</t>
  </si>
  <si>
    <t>Akebia Therapeutics, Inc.</t>
  </si>
  <si>
    <t>$641.32M</t>
  </si>
  <si>
    <t>AKER</t>
  </si>
  <si>
    <t>Akers Biosciences Inc</t>
  </si>
  <si>
    <t>$8.45M</t>
  </si>
  <si>
    <t>AKRX</t>
  </si>
  <si>
    <t>Akorn, Inc.</t>
  </si>
  <si>
    <t>$4.17B</t>
  </si>
  <si>
    <t>AKTS</t>
  </si>
  <si>
    <t>Akoustis Technologies, Inc.</t>
  </si>
  <si>
    <t>$118.27M</t>
  </si>
  <si>
    <t>ALRM</t>
  </si>
  <si>
    <t>Alarm.com Holdings, Inc.</t>
  </si>
  <si>
    <t>$1.83B</t>
  </si>
  <si>
    <t>ALSK</t>
  </si>
  <si>
    <t>Alaska Communications Systems Group, Inc.</t>
  </si>
  <si>
    <t>$117.97M</t>
  </si>
  <si>
    <t>AMRI</t>
  </si>
  <si>
    <t>Albany Molecular Research, Inc.</t>
  </si>
  <si>
    <t>$933.14M</t>
  </si>
  <si>
    <t>Biotechnology: Commercial Physical &amp; Biological Resarch</t>
  </si>
  <si>
    <t>ALBO</t>
  </si>
  <si>
    <t>Albireo Pharma, Inc.</t>
  </si>
  <si>
    <t>$210.33M</t>
  </si>
  <si>
    <t>ABDC</t>
  </si>
  <si>
    <t>Alcentra Capital Corp.</t>
  </si>
  <si>
    <t>$149.29M</t>
  </si>
  <si>
    <t>ADHD</t>
  </si>
  <si>
    <t>Alcobra Ltd.</t>
  </si>
  <si>
    <t>$28.11M</t>
  </si>
  <si>
    <t>ALDR</t>
  </si>
  <si>
    <t>Alder BioPharmaceuticals, Inc.</t>
  </si>
  <si>
    <t>$622.48M</t>
  </si>
  <si>
    <t>ALDX</t>
  </si>
  <si>
    <t>Aldeyra Therapeutics, Inc.</t>
  </si>
  <si>
    <t>$67.34M</t>
  </si>
  <si>
    <t>ALXN</t>
  </si>
  <si>
    <t>Alexion Pharmaceuticals, Inc.</t>
  </si>
  <si>
    <t>$30.36B</t>
  </si>
  <si>
    <t>ALCO</t>
  </si>
  <si>
    <t>Alico, Inc.</t>
  </si>
  <si>
    <t>$253.25M</t>
  </si>
  <si>
    <t>Consumer Non-Durables</t>
  </si>
  <si>
    <t>Farming/Seeds/Milling</t>
  </si>
  <si>
    <t>ALGN</t>
  </si>
  <si>
    <t>Align Technology, Inc.</t>
  </si>
  <si>
    <t>$13.92B</t>
  </si>
  <si>
    <t>Industrial Specialties</t>
  </si>
  <si>
    <t>ALIM</t>
  </si>
  <si>
    <t>Alimera Sciences, Inc.</t>
  </si>
  <si>
    <t>$99.3M</t>
  </si>
  <si>
    <t>ALJJ</t>
  </si>
  <si>
    <t>ALJ Regional Holdings, Inc.</t>
  </si>
  <si>
    <t>$117.49M</t>
  </si>
  <si>
    <t>ALKS</t>
  </si>
  <si>
    <t>Alkermes plc</t>
  </si>
  <si>
    <t>$8.15B</t>
  </si>
  <si>
    <t>ABTX</t>
  </si>
  <si>
    <t>Allegiance Bancshares, Inc.</t>
  </si>
  <si>
    <t>$486.32M</t>
  </si>
  <si>
    <t>ALGT</t>
  </si>
  <si>
    <t>Allegiant Travel Company</t>
  </si>
  <si>
    <t>$2.09B</t>
  </si>
  <si>
    <t>AIQ</t>
  </si>
  <si>
    <t>Alliance HealthCare Services, Inc.</t>
  </si>
  <si>
    <t>$142.43M</t>
  </si>
  <si>
    <t>AHGP</t>
  </si>
  <si>
    <t>Alliance Holdings GP, L.P.</t>
  </si>
  <si>
    <t>$1.63B</t>
  </si>
  <si>
    <t>Coal Mining</t>
  </si>
  <si>
    <t>AMMA</t>
  </si>
  <si>
    <t>Alliance MMA, Inc.</t>
  </si>
  <si>
    <t>$13.07M</t>
  </si>
  <si>
    <t>Services-Misc. Amusement &amp; Recreation</t>
  </si>
  <si>
    <t>ARLP</t>
  </si>
  <si>
    <t>Alliance Resource Partners, L.P.</t>
  </si>
  <si>
    <t>$2.45B</t>
  </si>
  <si>
    <t>AHPI</t>
  </si>
  <si>
    <t>Allied Healthcare Products, Inc.</t>
  </si>
  <si>
    <t>$8.41M</t>
  </si>
  <si>
    <t>AMOT</t>
  </si>
  <si>
    <t>Allied Motion Technologies, Inc.</t>
  </si>
  <si>
    <t>$245.66M</t>
  </si>
  <si>
    <t>ALQA</t>
  </si>
  <si>
    <t>Alliqua BioMedical, Inc.</t>
  </si>
  <si>
    <t>$15.63M</t>
  </si>
  <si>
    <t>ALLT</t>
  </si>
  <si>
    <t>Allot Communications Ltd.</t>
  </si>
  <si>
    <t>$163.25M</t>
  </si>
  <si>
    <t>Computer Communications Equipment</t>
  </si>
  <si>
    <t>MDRX</t>
  </si>
  <si>
    <t>Allscripts Healthcare Solutions, Inc.</t>
  </si>
  <si>
    <t>$2.35B</t>
  </si>
  <si>
    <t>AFAM</t>
  </si>
  <si>
    <t>Almost Family Inc</t>
  </si>
  <si>
    <t>$671.89M</t>
  </si>
  <si>
    <t>ALNY</t>
  </si>
  <si>
    <t>Alnylam Pharmaceuticals, Inc.</t>
  </si>
  <si>
    <t>$7.02B</t>
  </si>
  <si>
    <t>AOSL</t>
  </si>
  <si>
    <t>Alpha and Omega Semiconductor Limited</t>
  </si>
  <si>
    <t>$409.91M</t>
  </si>
  <si>
    <t>GOOG</t>
  </si>
  <si>
    <t>Alphabet Inc.</t>
  </si>
  <si>
    <t>$642.15B</t>
  </si>
  <si>
    <t>GOOGL</t>
  </si>
  <si>
    <t>$654.21B</t>
  </si>
  <si>
    <t>SMCP</t>
  </si>
  <si>
    <t>AlphaMark Actively Managed Small Cap ETF</t>
  </si>
  <si>
    <t>$26.38M</t>
  </si>
  <si>
    <t>ATEC</t>
  </si>
  <si>
    <t>Alphatec Holdings, Inc.</t>
  </si>
  <si>
    <t>$18.78M</t>
  </si>
  <si>
    <t>ALPN</t>
  </si>
  <si>
    <t>Alpine Immune Sciences, Inc.</t>
  </si>
  <si>
    <t>$37.11M</t>
  </si>
  <si>
    <t>SWIN</t>
  </si>
  <si>
    <t>ALPS/Dorsey Wright Sector Momentum ETF</t>
  </si>
  <si>
    <t>$8.44M</t>
  </si>
  <si>
    <t>AABA</t>
  </si>
  <si>
    <t>Altaba Inc.</t>
  </si>
  <si>
    <t>$53.56B</t>
  </si>
  <si>
    <t>ALT</t>
  </si>
  <si>
    <t>Altimmune, Inc.</t>
  </si>
  <si>
    <t>$1.65M</t>
  </si>
  <si>
    <t>ASPS</t>
  </si>
  <si>
    <t>Altisource Portfolio Solutions S.A.</t>
  </si>
  <si>
    <t>$440.9M</t>
  </si>
  <si>
    <t>Other Consumer Services</t>
  </si>
  <si>
    <t>AIMC</t>
  </si>
  <si>
    <t>Altra Industrial Motion Corp.</t>
  </si>
  <si>
    <t>$1.3B</t>
  </si>
  <si>
    <t>AMAG</t>
  </si>
  <si>
    <t>AMAG Pharmaceuticals, Inc.</t>
  </si>
  <si>
    <t>$654.6M</t>
  </si>
  <si>
    <t>AMRN</t>
  </si>
  <si>
    <t>Amarin Corporation plc</t>
  </si>
  <si>
    <t>$947.77M</t>
  </si>
  <si>
    <t>AMRK</t>
  </si>
  <si>
    <t>A-Mark Precious Metals, Inc.</t>
  </si>
  <si>
    <t>$115.39M</t>
  </si>
  <si>
    <t>AMZN</t>
  </si>
  <si>
    <t>Amazon.com, Inc.</t>
  </si>
  <si>
    <t>$475.5B</t>
  </si>
  <si>
    <t>Catalog/Specialty Distribution</t>
  </si>
  <si>
    <t>AMBC</t>
  </si>
  <si>
    <t>Ambac Financial Group, Inc.</t>
  </si>
  <si>
    <t>$893.27M</t>
  </si>
  <si>
    <t>AMBCW</t>
  </si>
  <si>
    <t>AMBA</t>
  </si>
  <si>
    <t>Ambarella, Inc.</t>
  </si>
  <si>
    <t>$1.75B</t>
  </si>
  <si>
    <t>AMCX</t>
  </si>
  <si>
    <t>AMC Networks Inc.</t>
  </si>
  <si>
    <t>$3.97B</t>
  </si>
  <si>
    <t>Television Services</t>
  </si>
  <si>
    <t>DOX</t>
  </si>
  <si>
    <t>Amdocs Limited</t>
  </si>
  <si>
    <t>$9.59B</t>
  </si>
  <si>
    <t>AMDA</t>
  </si>
  <si>
    <t>Amedica Corporation</t>
  </si>
  <si>
    <t>$12.7M</t>
  </si>
  <si>
    <t>AMED</t>
  </si>
  <si>
    <t>Amedisys Inc</t>
  </si>
  <si>
    <t>$1.68B</t>
  </si>
  <si>
    <t>UHAL</t>
  </si>
  <si>
    <t>Amerco</t>
  </si>
  <si>
    <t>$7.62B</t>
  </si>
  <si>
    <t>Rental/Leasing Companies</t>
  </si>
  <si>
    <t>ATAX</t>
  </si>
  <si>
    <t>America First Multifamily Investors, L.P.</t>
  </si>
  <si>
    <t>$364.53M</t>
  </si>
  <si>
    <t>Finance: Consumer Services</t>
  </si>
  <si>
    <t>AMOV</t>
  </si>
  <si>
    <t>America Movil, S.A.B. de C.V.</t>
  </si>
  <si>
    <t>$58.12B</t>
  </si>
  <si>
    <t>AAL</t>
  </si>
  <si>
    <t>American Airlines Group, Inc.</t>
  </si>
  <si>
    <t>$24.35B</t>
  </si>
  <si>
    <t>ACSF</t>
  </si>
  <si>
    <t>American Capital Senior Floating, Ltd.</t>
  </si>
  <si>
    <t>$121.5M</t>
  </si>
  <si>
    <t>AETI</t>
  </si>
  <si>
    <t>American Electric Technologies, Inc.</t>
  </si>
  <si>
    <t>$16.54M</t>
  </si>
  <si>
    <t>AMNB</t>
  </si>
  <si>
    <t>American National Bankshares, Inc.</t>
  </si>
  <si>
    <t>$328.43M</t>
  </si>
  <si>
    <t>ANAT</t>
  </si>
  <si>
    <t>American National Insurance Company</t>
  </si>
  <si>
    <t>$3.26B</t>
  </si>
  <si>
    <t>Life Insurance</t>
  </si>
  <si>
    <t>AOBC</t>
  </si>
  <si>
    <t>American Outdoor Brands Corporation</t>
  </si>
  <si>
    <t>$1.04B</t>
  </si>
  <si>
    <t>Ordnance And Accessories</t>
  </si>
  <si>
    <t>APEI</t>
  </si>
  <si>
    <t>American Public Education, Inc.</t>
  </si>
  <si>
    <t>$351.47M</t>
  </si>
  <si>
    <t>ARII</t>
  </si>
  <si>
    <t>American Railcar Industries, Inc.</t>
  </si>
  <si>
    <t>$716.03M</t>
  </si>
  <si>
    <t>Railroads</t>
  </si>
  <si>
    <t>AMRB</t>
  </si>
  <si>
    <t>American River Bankshares</t>
  </si>
  <si>
    <t>$89.33M</t>
  </si>
  <si>
    <t>AMSWA</t>
  </si>
  <si>
    <t>American Software, Inc.</t>
  </si>
  <si>
    <t>$281.76M</t>
  </si>
  <si>
    <t>AMSC</t>
  </si>
  <si>
    <t>American Superconductor Corporation</t>
  </si>
  <si>
    <t>$57M</t>
  </si>
  <si>
    <t>Consumer Durables</t>
  </si>
  <si>
    <t>Metal Fabrications</t>
  </si>
  <si>
    <t>AMWD</t>
  </si>
  <si>
    <t>American Woodmark Corporation</t>
  </si>
  <si>
    <t>$1.56B</t>
  </si>
  <si>
    <t>Forest Products</t>
  </si>
  <si>
    <t>CRMT</t>
  </si>
  <si>
    <t>America&amp;#39;s Car-Mart, Inc.</t>
  </si>
  <si>
    <t>$291.69M</t>
  </si>
  <si>
    <t>Automotive Aftermarket</t>
  </si>
  <si>
    <t>ABCB</t>
  </si>
  <si>
    <t>Ameris Bancorp</t>
  </si>
  <si>
    <t>$1.7B</t>
  </si>
  <si>
    <t>AMSF</t>
  </si>
  <si>
    <t>AMERISAFE, Inc.</t>
  </si>
  <si>
    <t>$1.09B</t>
  </si>
  <si>
    <t>ASRV</t>
  </si>
  <si>
    <t>AmeriServ Financial Inc.</t>
  </si>
  <si>
    <t>$72.87M</t>
  </si>
  <si>
    <t>ASRVP</t>
  </si>
  <si>
    <t>ATLO</t>
  </si>
  <si>
    <t>Ames National Corporation</t>
  </si>
  <si>
    <t>$270.02M</t>
  </si>
  <si>
    <t>AMGN</t>
  </si>
  <si>
    <t>Amgen Inc.</t>
  </si>
  <si>
    <t>$126.74B</t>
  </si>
  <si>
    <t>FOLD</t>
  </si>
  <si>
    <t>Amicus Therapeutics, Inc.</t>
  </si>
  <si>
    <t>$2.19B</t>
  </si>
  <si>
    <t>AMKR</t>
  </si>
  <si>
    <t>Amkor Technology, Inc.</t>
  </si>
  <si>
    <t>$2.18B</t>
  </si>
  <si>
    <t>AMPH</t>
  </si>
  <si>
    <t>Amphastar Pharmaceuticals, Inc.</t>
  </si>
  <si>
    <t>$715.34M</t>
  </si>
  <si>
    <t>IBUY</t>
  </si>
  <si>
    <t>Amplify Online Retail ETF</t>
  </si>
  <si>
    <t>ASYS</t>
  </si>
  <si>
    <t>Amtech Systems, Inc.</t>
  </si>
  <si>
    <t>$124.61M</t>
  </si>
  <si>
    <t>AFSI</t>
  </si>
  <si>
    <t>AmTrust Financial Services, Inc.</t>
  </si>
  <si>
    <t>$3.11B</t>
  </si>
  <si>
    <t>AMRS</t>
  </si>
  <si>
    <t>Amyris, Inc.</t>
  </si>
  <si>
    <t>$55.36M</t>
  </si>
  <si>
    <t>ADI</t>
  </si>
  <si>
    <t>Analog Devices, Inc.</t>
  </si>
  <si>
    <t>$28.98B</t>
  </si>
  <si>
    <t>ALOG</t>
  </si>
  <si>
    <t>Analogic Corporation</t>
  </si>
  <si>
    <t>$881.04M</t>
  </si>
  <si>
    <t>ANAB</t>
  </si>
  <si>
    <t>AnaptysBio, Inc.</t>
  </si>
  <si>
    <t>$436.4M</t>
  </si>
  <si>
    <t>AVXL</t>
  </si>
  <si>
    <t>Anavex Life Sciences Corp.</t>
  </si>
  <si>
    <t>$154.75M</t>
  </si>
  <si>
    <t>ANCB</t>
  </si>
  <si>
    <t>Anchor Bancorp</t>
  </si>
  <si>
    <t>$63.62M</t>
  </si>
  <si>
    <t>Banks</t>
  </si>
  <si>
    <t>ANDA</t>
  </si>
  <si>
    <t>Andina Acquisition Corp. II</t>
  </si>
  <si>
    <t>$53.84M</t>
  </si>
  <si>
    <t>ANDAR</t>
  </si>
  <si>
    <t>ANDAU</t>
  </si>
  <si>
    <t>ANDAW</t>
  </si>
  <si>
    <t>ANGI</t>
  </si>
  <si>
    <t>Angie&amp;#39;s List, Inc.</t>
  </si>
  <si>
    <t>$715.32M</t>
  </si>
  <si>
    <t>ANGO</t>
  </si>
  <si>
    <t>AngioDynamics, Inc.</t>
  </si>
  <si>
    <t>$602.12M</t>
  </si>
  <si>
    <t>ANIP</t>
  </si>
  <si>
    <t>ANI Pharmaceuticals, Inc.</t>
  </si>
  <si>
    <t>$506.28M</t>
  </si>
  <si>
    <t>ANIK</t>
  </si>
  <si>
    <t>Anika Therapeutics Inc.</t>
  </si>
  <si>
    <t>$765.61M</t>
  </si>
  <si>
    <t>ANSS</t>
  </si>
  <si>
    <t>ANSYS, Inc.</t>
  </si>
  <si>
    <t>$10.55B</t>
  </si>
  <si>
    <t>ATRS</t>
  </si>
  <si>
    <t>Antares Pharma, Inc.</t>
  </si>
  <si>
    <t>$489.61M</t>
  </si>
  <si>
    <t>ANTH</t>
  </si>
  <si>
    <t>Anthera Pharmaceuticals, Inc.</t>
  </si>
  <si>
    <t>$13.31M</t>
  </si>
  <si>
    <t>ABAC</t>
  </si>
  <si>
    <t>Aoxin Tianli Group, Inc.</t>
  </si>
  <si>
    <t>$17.83M</t>
  </si>
  <si>
    <t>APOG</t>
  </si>
  <si>
    <t>Apogee Enterprises, Inc.</t>
  </si>
  <si>
    <t>$1.5B</t>
  </si>
  <si>
    <t>APEN</t>
  </si>
  <si>
    <t>Apollo Endosurgery, Inc.</t>
  </si>
  <si>
    <t>$103.69M</t>
  </si>
  <si>
    <t>AINV</t>
  </si>
  <si>
    <t>Apollo Investment Corporation</t>
  </si>
  <si>
    <t>APPF</t>
  </si>
  <si>
    <t>AppFolio, Inc.</t>
  </si>
  <si>
    <t>$1.28B</t>
  </si>
  <si>
    <t>APPN</t>
  </si>
  <si>
    <t>Appian Corporation</t>
  </si>
  <si>
    <t>AAPL</t>
  </si>
  <si>
    <t>Apple Inc.</t>
  </si>
  <si>
    <t>$826.85B</t>
  </si>
  <si>
    <t>Computer Manufacturing</t>
  </si>
  <si>
    <t>ARCI</t>
  </si>
  <si>
    <t>Appliance Recycling Centers of America, Inc.</t>
  </si>
  <si>
    <t>$4.33M</t>
  </si>
  <si>
    <t>Home Furnishings</t>
  </si>
  <si>
    <t>APDN</t>
  </si>
  <si>
    <t>Applied DNA Sciences Inc</t>
  </si>
  <si>
    <t>$44.8M</t>
  </si>
  <si>
    <t>APDNW</t>
  </si>
  <si>
    <t>AGTC</t>
  </si>
  <si>
    <t>Applied Genetic Technologies Corporation</t>
  </si>
  <si>
    <t>$88.61M</t>
  </si>
  <si>
    <t>AMAT</t>
  </si>
  <si>
    <t>Applied Materials, Inc.</t>
  </si>
  <si>
    <t>$47.18B</t>
  </si>
  <si>
    <t>AAOI</t>
  </si>
  <si>
    <t>Applied Optoelectronics, Inc.</t>
  </si>
  <si>
    <t>$1.35B</t>
  </si>
  <si>
    <t>AREX</t>
  </si>
  <si>
    <t>Approach Resources Inc.</t>
  </si>
  <si>
    <t>$218.85M</t>
  </si>
  <si>
    <t>APTI</t>
  </si>
  <si>
    <t>Apptio, Inc.</t>
  </si>
  <si>
    <t>$683.64M</t>
  </si>
  <si>
    <t>APRI</t>
  </si>
  <si>
    <t>Apricus Biosciences, Inc.</t>
  </si>
  <si>
    <t>$17.26M</t>
  </si>
  <si>
    <t>APVO</t>
  </si>
  <si>
    <t>Aptevo Therapeutics Inc.</t>
  </si>
  <si>
    <t>$36.46M</t>
  </si>
  <si>
    <t>APTO</t>
  </si>
  <si>
    <t>Aptose Biosciences, Inc.</t>
  </si>
  <si>
    <t>$39.52M</t>
  </si>
  <si>
    <t>AQMS</t>
  </si>
  <si>
    <t>Aqua Metals, Inc.</t>
  </si>
  <si>
    <t>$219.34M</t>
  </si>
  <si>
    <t>AQB</t>
  </si>
  <si>
    <t>AquaBounty Technologies, Inc.</t>
  </si>
  <si>
    <t>$69.56M</t>
  </si>
  <si>
    <t>AQXP</t>
  </si>
  <si>
    <t>Aquinox Pharmaceuticals, Inc.</t>
  </si>
  <si>
    <t>$334.01M</t>
  </si>
  <si>
    <t>ARDM</t>
  </si>
  <si>
    <t>Aradigm Corporation</t>
  </si>
  <si>
    <t>$22.34M</t>
  </si>
  <si>
    <t>Biotechnology: Electromedical &amp; Electrotherapeutic Apparatus</t>
  </si>
  <si>
    <t>ARLZ</t>
  </si>
  <si>
    <t>Aralez Pharmaceuticals Inc.</t>
  </si>
  <si>
    <t>$75.08M</t>
  </si>
  <si>
    <t>PETX</t>
  </si>
  <si>
    <t>Aratana Therapeutics, Inc.</t>
  </si>
  <si>
    <t>$261.02M</t>
  </si>
  <si>
    <t>ABUS</t>
  </si>
  <si>
    <t>Arbutus Biopharma Corporation</t>
  </si>
  <si>
    <t>$200.85M</t>
  </si>
  <si>
    <t>ARCW</t>
  </si>
  <si>
    <t>ARC Group Worldwide, Inc.</t>
  </si>
  <si>
    <t>$44.52M</t>
  </si>
  <si>
    <t>ABIO</t>
  </si>
  <si>
    <t>ARCA biopharma, Inc.</t>
  </si>
  <si>
    <t>$21.45M</t>
  </si>
  <si>
    <t>RKDA</t>
  </si>
  <si>
    <t>Arcadia Biosciences, Inc.</t>
  </si>
  <si>
    <t>$17.06M</t>
  </si>
  <si>
    <t>Agricultural Chemicals</t>
  </si>
  <si>
    <t>ARCB</t>
  </si>
  <si>
    <t>ArcBest Corporation</t>
  </si>
  <si>
    <t>$674.32M</t>
  </si>
  <si>
    <t>Trucking Freight/Courier Services</t>
  </si>
  <si>
    <t>ACGL</t>
  </si>
  <si>
    <t>Arch Capital Group Ltd.</t>
  </si>
  <si>
    <t>$12.72B</t>
  </si>
  <si>
    <t>ACGLP</t>
  </si>
  <si>
    <t>APLP</t>
  </si>
  <si>
    <t>Archrock Partners, L.P.</t>
  </si>
  <si>
    <t>$865.34M</t>
  </si>
  <si>
    <t>Natural Gas Distribution</t>
  </si>
  <si>
    <t>ARDX</t>
  </si>
  <si>
    <t>Ardelyx, Inc.</t>
  </si>
  <si>
    <t>$206.13M</t>
  </si>
  <si>
    <t>ARNA</t>
  </si>
  <si>
    <t>Arena Pharmaceuticals, Inc.</t>
  </si>
  <si>
    <t>$675.22M</t>
  </si>
  <si>
    <t>ARCC</t>
  </si>
  <si>
    <t>Ares Capital Corporation</t>
  </si>
  <si>
    <t>$6.98B</t>
  </si>
  <si>
    <t>ARGX</t>
  </si>
  <si>
    <t>argenx SE</t>
  </si>
  <si>
    <t>$417.04M</t>
  </si>
  <si>
    <t>AGII</t>
  </si>
  <si>
    <t>Argo Group International Holdings, Ltd.</t>
  </si>
  <si>
    <t>$1.79B</t>
  </si>
  <si>
    <t>Specialty Insurers</t>
  </si>
  <si>
    <t>AGIIL</t>
  </si>
  <si>
    <t>ARGS</t>
  </si>
  <si>
    <t>Argos Therapeutics, Inc.</t>
  </si>
  <si>
    <t>$10.14M</t>
  </si>
  <si>
    <t>ARIS</t>
  </si>
  <si>
    <t>ARI Network Services, Inc.</t>
  </si>
  <si>
    <t>$122.81M</t>
  </si>
  <si>
    <t>ARKR</t>
  </si>
  <si>
    <t>Ark Restaurants Corp.</t>
  </si>
  <si>
    <t>$76.9M</t>
  </si>
  <si>
    <t>Restaurants</t>
  </si>
  <si>
    <t>ARTX</t>
  </si>
  <si>
    <t>Arotech Corporation</t>
  </si>
  <si>
    <t>$92.5M</t>
  </si>
  <si>
    <t>ARQL</t>
  </si>
  <si>
    <t>ArQule, Inc.</t>
  </si>
  <si>
    <t>$76.87M</t>
  </si>
  <si>
    <t>ARRY</t>
  </si>
  <si>
    <t>Array BioPharma Inc.</t>
  </si>
  <si>
    <t>ARRS</t>
  </si>
  <si>
    <t>ARRIS International plc</t>
  </si>
  <si>
    <t>$5.27B</t>
  </si>
  <si>
    <t>DWAT</t>
  </si>
  <si>
    <t>Arrow DWA Tactical ETF</t>
  </si>
  <si>
    <t>$7.88M</t>
  </si>
  <si>
    <t>AROW</t>
  </si>
  <si>
    <t>Arrow Financial Corporation</t>
  </si>
  <si>
    <t>$436.52M</t>
  </si>
  <si>
    <t>ARWR</t>
  </si>
  <si>
    <t>Arrowhead Pharmaceuticals, Inc.</t>
  </si>
  <si>
    <t>$143.56M</t>
  </si>
  <si>
    <t>ARTNA</t>
  </si>
  <si>
    <t>Artesian Resources Corporation</t>
  </si>
  <si>
    <t>$349.99M</t>
  </si>
  <si>
    <t>ARTW</t>
  </si>
  <si>
    <t>Art&amp;#39;s-Way Manufacturing Co., Inc.</t>
  </si>
  <si>
    <t>$11.47M</t>
  </si>
  <si>
    <t>ASBB</t>
  </si>
  <si>
    <t>ASB Bancorp, Inc.</t>
  </si>
  <si>
    <t>$169.51M</t>
  </si>
  <si>
    <t>ASNA</t>
  </si>
  <si>
    <t>Ascena Retail Group, Inc.</t>
  </si>
  <si>
    <t>$473.94M</t>
  </si>
  <si>
    <t>Clothing/Shoe/Accessory Stores</t>
  </si>
  <si>
    <t>ASND</t>
  </si>
  <si>
    <t>Ascendis Pharma A/S</t>
  </si>
  <si>
    <t>$903.9M</t>
  </si>
  <si>
    <t>ASCMA</t>
  </si>
  <si>
    <t>Ascent Capital Group, Inc.</t>
  </si>
  <si>
    <t>$203.22M</t>
  </si>
  <si>
    <t>APWC</t>
  </si>
  <si>
    <t>Asia Pacific Wire &amp; Cable Corporation Limited</t>
  </si>
  <si>
    <t>$42.15M</t>
  </si>
  <si>
    <t>ASML</t>
  </si>
  <si>
    <t>ASML Holding N.V.</t>
  </si>
  <si>
    <t>$65.93B</t>
  </si>
  <si>
    <t>ASPU</t>
  </si>
  <si>
    <t>Aspen Group Inc.</t>
  </si>
  <si>
    <t>$84.64M</t>
  </si>
  <si>
    <t>AZPN</t>
  </si>
  <si>
    <t>Aspen Technology, Inc.</t>
  </si>
  <si>
    <t>$4.26B</t>
  </si>
  <si>
    <t>ASMB</t>
  </si>
  <si>
    <t>Assembly Biosciences, Inc.</t>
  </si>
  <si>
    <t>$401.22M</t>
  </si>
  <si>
    <t>ASFI</t>
  </si>
  <si>
    <t>Asta Funding, Inc.</t>
  </si>
  <si>
    <t>$47.25M</t>
  </si>
  <si>
    <t>Finance Companies</t>
  </si>
  <si>
    <t>ASTE</t>
  </si>
  <si>
    <t>Astec Industries, Inc.</t>
  </si>
  <si>
    <t>Construction/Ag Equipment/Trucks</t>
  </si>
  <si>
    <t>ATRO</t>
  </si>
  <si>
    <t>Astronics Corporation</t>
  </si>
  <si>
    <t>$746.98M</t>
  </si>
  <si>
    <t>Military/Government/Technical</t>
  </si>
  <si>
    <t>ALOT</t>
  </si>
  <si>
    <t>AstroNova, Inc.</t>
  </si>
  <si>
    <t>$93.21M</t>
  </si>
  <si>
    <t>Computer peripheral equipment</t>
  </si>
  <si>
    <t>ASTC</t>
  </si>
  <si>
    <t>Astrotech Corporation</t>
  </si>
  <si>
    <t>$16.25M</t>
  </si>
  <si>
    <t>ASUR</t>
  </si>
  <si>
    <t>Asure Software Inc</t>
  </si>
  <si>
    <t>$159.94M</t>
  </si>
  <si>
    <t>ASV</t>
  </si>
  <si>
    <t>ASV Holdings, Inc.</t>
  </si>
  <si>
    <t>$78.3M</t>
  </si>
  <si>
    <t>ATAI</t>
  </si>
  <si>
    <t>ATA Inc.</t>
  </si>
  <si>
    <t>$116.12M</t>
  </si>
  <si>
    <t>ATRA</t>
  </si>
  <si>
    <t>Atara Biotherapeutics, Inc.</t>
  </si>
  <si>
    <t>$430.82M</t>
  </si>
  <si>
    <t>ATHN</t>
  </si>
  <si>
    <t>athenahealth, Inc.</t>
  </si>
  <si>
    <t>$5.67B</t>
  </si>
  <si>
    <t>ATNX</t>
  </si>
  <si>
    <t>Athenex, Inc.</t>
  </si>
  <si>
    <t>$756.59M</t>
  </si>
  <si>
    <t>ATHX</t>
  </si>
  <si>
    <t>Athersys, Inc.</t>
  </si>
  <si>
    <t>$169.2M</t>
  </si>
  <si>
    <t>ATACU</t>
  </si>
  <si>
    <t>Atlantic Acquisition Corp.</t>
  </si>
  <si>
    <t>AAPC</t>
  </si>
  <si>
    <t>Atlantic Alliance Partnership Corp.</t>
  </si>
  <si>
    <t>$39.08M</t>
  </si>
  <si>
    <t>AAME</t>
  </si>
  <si>
    <t>Atlantic American Corporation</t>
  </si>
  <si>
    <t>$72.47M</t>
  </si>
  <si>
    <t>ACBI</t>
  </si>
  <si>
    <t>Atlantic Capital Bancshares, Inc.</t>
  </si>
  <si>
    <t>$490M</t>
  </si>
  <si>
    <t>ACFC</t>
  </si>
  <si>
    <t>Atlantic Coast Financial Corporation</t>
  </si>
  <si>
    <t>$123.34M</t>
  </si>
  <si>
    <t>ABY</t>
  </si>
  <si>
    <t>Atlantica Yield plc</t>
  </si>
  <si>
    <t>ATLC</t>
  </si>
  <si>
    <t>Atlanticus Holdings Corporation</t>
  </si>
  <si>
    <t>$37.84M</t>
  </si>
  <si>
    <t>AAWW</t>
  </si>
  <si>
    <t>Atlas Air Worldwide Holdings</t>
  </si>
  <si>
    <t>$1.62B</t>
  </si>
  <si>
    <t>Transportation Services</t>
  </si>
  <si>
    <t>AFH</t>
  </si>
  <si>
    <t>Atlas Financial Holdings, Inc.</t>
  </si>
  <si>
    <t>$197.3M</t>
  </si>
  <si>
    <t>AFHBL</t>
  </si>
  <si>
    <t>TEAM</t>
  </si>
  <si>
    <t>Atlassian Corporation Plc</t>
  </si>
  <si>
    <t>$7.93B</t>
  </si>
  <si>
    <t>ATNI</t>
  </si>
  <si>
    <t>ATN International, Inc.</t>
  </si>
  <si>
    <t>$971.96M</t>
  </si>
  <si>
    <t>ATOM</t>
  </si>
  <si>
    <t>Atomera Incorporated</t>
  </si>
  <si>
    <t>$59.43M</t>
  </si>
  <si>
    <t>ATOS</t>
  </si>
  <si>
    <t>Atossa Genetics Inc.</t>
  </si>
  <si>
    <t>$3.24M</t>
  </si>
  <si>
    <t>ATRC</t>
  </si>
  <si>
    <t>AtriCure, Inc.</t>
  </si>
  <si>
    <t>$782.13M</t>
  </si>
  <si>
    <t>ATRI</t>
  </si>
  <si>
    <t>Atrion Corporation</t>
  </si>
  <si>
    <t>$1.17B</t>
  </si>
  <si>
    <t>ATTU</t>
  </si>
  <si>
    <t>Attunity Ltd.</t>
  </si>
  <si>
    <t>$111.76M</t>
  </si>
  <si>
    <t>LIFE</t>
  </si>
  <si>
    <t>aTyr Pharma, Inc.</t>
  </si>
  <si>
    <t>$77.37M</t>
  </si>
  <si>
    <t>AUBN</t>
  </si>
  <si>
    <t>Auburn National Bancorporation, Inc.</t>
  </si>
  <si>
    <t>$133M</t>
  </si>
  <si>
    <t>BOLD</t>
  </si>
  <si>
    <t>Audentes Therapeutics, Inc.</t>
  </si>
  <si>
    <t>$572M</t>
  </si>
  <si>
    <t>AUDC</t>
  </si>
  <si>
    <t>AudioCodes Ltd.</t>
  </si>
  <si>
    <t>$220.4M</t>
  </si>
  <si>
    <t>AUPH</t>
  </si>
  <si>
    <t>Aurinia Pharmaceuticals Inc</t>
  </si>
  <si>
    <t>$496.74M</t>
  </si>
  <si>
    <t>EARS</t>
  </si>
  <si>
    <t>Auris Medical Holding AG</t>
  </si>
  <si>
    <t>$35.91M</t>
  </si>
  <si>
    <t>ABTL</t>
  </si>
  <si>
    <t>Autobytel Inc.</t>
  </si>
  <si>
    <t>$99.73M</t>
  </si>
  <si>
    <t>ADSK</t>
  </si>
  <si>
    <t>Autodesk, Inc.</t>
  </si>
  <si>
    <t>$23.88B</t>
  </si>
  <si>
    <t>ADP</t>
  </si>
  <si>
    <t>Automatic Data Processing, Inc.</t>
  </si>
  <si>
    <t>$48.22B</t>
  </si>
  <si>
    <t>AVDL</t>
  </si>
  <si>
    <t>Avadel Pharmaceuticals plc</t>
  </si>
  <si>
    <t>$364.6M</t>
  </si>
  <si>
    <t>ATXI</t>
  </si>
  <si>
    <t>Avenue Therapeutics, Inc.</t>
  </si>
  <si>
    <t>$59.86M</t>
  </si>
  <si>
    <t>AVEO</t>
  </si>
  <si>
    <t>AVEO Pharmaceuticals, Inc.</t>
  </si>
  <si>
    <t>$303.5M</t>
  </si>
  <si>
    <t>AVXS</t>
  </si>
  <si>
    <t>AveXis, Inc.</t>
  </si>
  <si>
    <t>$3.04B</t>
  </si>
  <si>
    <t>AVNW</t>
  </si>
  <si>
    <t>Aviat Networks, Inc.</t>
  </si>
  <si>
    <t>$91.05M</t>
  </si>
  <si>
    <t>AVID</t>
  </si>
  <si>
    <t>Avid Technology, Inc.</t>
  </si>
  <si>
    <t>$194.54M</t>
  </si>
  <si>
    <t>AVGR</t>
  </si>
  <si>
    <t>Avinger, Inc.</t>
  </si>
  <si>
    <t>$10.81M</t>
  </si>
  <si>
    <t>AVIR</t>
  </si>
  <si>
    <t>Aviragen Therapeutics, Inc.</t>
  </si>
  <si>
    <t>$23.73M</t>
  </si>
  <si>
    <t>CAR</t>
  </si>
  <si>
    <t>Avis Budget Group, Inc.</t>
  </si>
  <si>
    <t>AHPA</t>
  </si>
  <si>
    <t>Avista Healthcare Public Acquisition Corp.</t>
  </si>
  <si>
    <t>$382.85M</t>
  </si>
  <si>
    <t>AHPAU</t>
  </si>
  <si>
    <t>AHPAW</t>
  </si>
  <si>
    <t>AWRE</t>
  </si>
  <si>
    <t>Aware, Inc.</t>
  </si>
  <si>
    <t>$101.04M</t>
  </si>
  <si>
    <t>AXAR</t>
  </si>
  <si>
    <t>Axar Acquisition Corp.</t>
  </si>
  <si>
    <t>AXARU</t>
  </si>
  <si>
    <t>AXARW</t>
  </si>
  <si>
    <t>ACLS</t>
  </si>
  <si>
    <t>Axcelis Technologies, Inc.</t>
  </si>
  <si>
    <t>$646.33M</t>
  </si>
  <si>
    <t>AXGN</t>
  </si>
  <si>
    <t>AxoGen, Inc.</t>
  </si>
  <si>
    <t>$505.25M</t>
  </si>
  <si>
    <t>AAXN</t>
  </si>
  <si>
    <t>Axon Enterprise, Inc.</t>
  </si>
  <si>
    <t>$1.33B</t>
  </si>
  <si>
    <t>AXSM</t>
  </si>
  <si>
    <t>Axsome Therapeutics, Inc.</t>
  </si>
  <si>
    <t>$140.45M</t>
  </si>
  <si>
    <t>AXTI</t>
  </si>
  <si>
    <t>AXT Inc</t>
  </si>
  <si>
    <t>$307.3M</t>
  </si>
  <si>
    <t>AZRX</t>
  </si>
  <si>
    <t>AzurRx BioPharma, Inc.</t>
  </si>
  <si>
    <t>$48.11M</t>
  </si>
  <si>
    <t>BCOM</t>
  </si>
  <si>
    <t>B Communications Ltd.</t>
  </si>
  <si>
    <t>$415.46M</t>
  </si>
  <si>
    <t>RILY</t>
  </si>
  <si>
    <t>B. Riley Financial, Inc.</t>
  </si>
  <si>
    <t>$451.3M</t>
  </si>
  <si>
    <t>RILYL</t>
  </si>
  <si>
    <t>RILYZ</t>
  </si>
  <si>
    <t>BOSC</t>
  </si>
  <si>
    <t>B.O.S. Better Online Solutions</t>
  </si>
  <si>
    <t>$5.78M</t>
  </si>
  <si>
    <t>BIDU</t>
  </si>
  <si>
    <t>Baidu, Inc.</t>
  </si>
  <si>
    <t>$79.56B</t>
  </si>
  <si>
    <t>BCPC</t>
  </si>
  <si>
    <t>Balchem Corporation</t>
  </si>
  <si>
    <t>$2.36B</t>
  </si>
  <si>
    <t>BWINA</t>
  </si>
  <si>
    <t>Baldwin &amp; Lyons, Inc.</t>
  </si>
  <si>
    <t>$344.38M</t>
  </si>
  <si>
    <t>BWINB</t>
  </si>
  <si>
    <t>$354.19M</t>
  </si>
  <si>
    <t>BLDP</t>
  </si>
  <si>
    <t>Ballard Power Systems, Inc.</t>
  </si>
  <si>
    <t>$511.49M</t>
  </si>
  <si>
    <t>BANF</t>
  </si>
  <si>
    <t>BancFirst Corporation</t>
  </si>
  <si>
    <t>$3.33B</t>
  </si>
  <si>
    <t>BANFP</t>
  </si>
  <si>
    <t>$27.17M</t>
  </si>
  <si>
    <t>BCTF</t>
  </si>
  <si>
    <t>Bancorp 34, Inc.</t>
  </si>
  <si>
    <t>$48.72M</t>
  </si>
  <si>
    <t>BKMU</t>
  </si>
  <si>
    <t>Bank Mutual Corporation</t>
  </si>
  <si>
    <t>$447.84M</t>
  </si>
  <si>
    <t>BOCH</t>
  </si>
  <si>
    <t>Bank of Commerce Holdings (CA)</t>
  </si>
  <si>
    <t>$169.92M</t>
  </si>
  <si>
    <t>BMRC</t>
  </si>
  <si>
    <t>Bank of Marin Bancorp</t>
  </si>
  <si>
    <t>$403.54M</t>
  </si>
  <si>
    <t>BMLP</t>
  </si>
  <si>
    <t>Bank Of Montreal</t>
  </si>
  <si>
    <t>Commercial Banks</t>
  </si>
  <si>
    <t>BKSC</t>
  </si>
  <si>
    <t>Bank of South Carolina Corp.</t>
  </si>
  <si>
    <t>$95.84M</t>
  </si>
  <si>
    <t>BOTJ</t>
  </si>
  <si>
    <t>Bank of the James Financial Group, Inc.</t>
  </si>
  <si>
    <t>$67.43M</t>
  </si>
  <si>
    <t>OZRK</t>
  </si>
  <si>
    <t>Bank of the Ozarks</t>
  </si>
  <si>
    <t>$5.63B</t>
  </si>
  <si>
    <t>BFIN</t>
  </si>
  <si>
    <t>BankFinancial Corporation</t>
  </si>
  <si>
    <t>$293.21M</t>
  </si>
  <si>
    <t>BWFG</t>
  </si>
  <si>
    <t>Bankwell Financial Group, Inc.</t>
  </si>
  <si>
    <t>$252.78M</t>
  </si>
  <si>
    <t>BANR</t>
  </si>
  <si>
    <t>Banner Corporation</t>
  </si>
  <si>
    <t>$1.9B</t>
  </si>
  <si>
    <t>BZUN</t>
  </si>
  <si>
    <t>Baozun Inc.</t>
  </si>
  <si>
    <t>$1.77B</t>
  </si>
  <si>
    <t>TAPR</t>
  </si>
  <si>
    <t>Barclays Inverse US Treasury Composite ETN</t>
  </si>
  <si>
    <t>$15.48M</t>
  </si>
  <si>
    <t>BHAC</t>
  </si>
  <si>
    <t>Barington/Hilco Acquisition Corp.</t>
  </si>
  <si>
    <t>$49.02M</t>
  </si>
  <si>
    <t>BHACR</t>
  </si>
  <si>
    <t>BHACU</t>
  </si>
  <si>
    <t>BHACW</t>
  </si>
  <si>
    <t>BBSI</t>
  </si>
  <si>
    <t>Barrett Business Services, Inc.</t>
  </si>
  <si>
    <t>$391.3M</t>
  </si>
  <si>
    <t>Professional Services</t>
  </si>
  <si>
    <t>BSET</t>
  </si>
  <si>
    <t>Bassett Furniture Industries, Incorporated</t>
  </si>
  <si>
    <t>$396.27M</t>
  </si>
  <si>
    <t>BYBK</t>
  </si>
  <si>
    <t>Bay Bancorp, Inc.</t>
  </si>
  <si>
    <t>$83.95M</t>
  </si>
  <si>
    <t>BV</t>
  </si>
  <si>
    <t>Bazaarvoice, Inc.</t>
  </si>
  <si>
    <t>$379.3M</t>
  </si>
  <si>
    <t>BCBP</t>
  </si>
  <si>
    <t>BCB Bancorp, Inc. (NJ)</t>
  </si>
  <si>
    <t>$161.6M</t>
  </si>
  <si>
    <t>BECN</t>
  </si>
  <si>
    <t>Beacon Roofing Supply, Inc.</t>
  </si>
  <si>
    <t>$2.61B</t>
  </si>
  <si>
    <t>RETAIL: Building Materials</t>
  </si>
  <si>
    <t>BSF</t>
  </si>
  <si>
    <t>Bear State Financial, Inc.</t>
  </si>
  <si>
    <t>$341.68M</t>
  </si>
  <si>
    <t>BBGI</t>
  </si>
  <si>
    <t>Beasley Broadcast Group, Inc.</t>
  </si>
  <si>
    <t>$314.32M</t>
  </si>
  <si>
    <t>Broadcasting</t>
  </si>
  <si>
    <t>BEBE</t>
  </si>
  <si>
    <t>bebe stores, inc.</t>
  </si>
  <si>
    <t>$46.22M</t>
  </si>
  <si>
    <t>Apparel</t>
  </si>
  <si>
    <t>BBBY</t>
  </si>
  <si>
    <t>Bed Bath &amp; Beyond Inc.</t>
  </si>
  <si>
    <t>$4.4B</t>
  </si>
  <si>
    <t>BGNE</t>
  </si>
  <si>
    <t>BeiGene, Ltd.</t>
  </si>
  <si>
    <t>$3.13B</t>
  </si>
  <si>
    <t>BELFA</t>
  </si>
  <si>
    <t>Bel Fuse Inc.</t>
  </si>
  <si>
    <t>$298.08M</t>
  </si>
  <si>
    <t>BELFB</t>
  </si>
  <si>
    <t>$334.22M</t>
  </si>
  <si>
    <t>BLPH</t>
  </si>
  <si>
    <t>Bellerophon Therapeutics, Inc.</t>
  </si>
  <si>
    <t>$43.39M</t>
  </si>
  <si>
    <t>BLCM</t>
  </si>
  <si>
    <t>Bellicum Pharmaceuticals, Inc.</t>
  </si>
  <si>
    <t>$354.54M</t>
  </si>
  <si>
    <t>BNCL</t>
  </si>
  <si>
    <t>Beneficial Bancorp, Inc.</t>
  </si>
  <si>
    <t>$1.16B</t>
  </si>
  <si>
    <t>BNFT</t>
  </si>
  <si>
    <t>Benefitfocus, Inc.</t>
  </si>
  <si>
    <t>$905.77M</t>
  </si>
  <si>
    <t>BNTC</t>
  </si>
  <si>
    <t>Benitec Biopharma Limited</t>
  </si>
  <si>
    <t>$22.67M</t>
  </si>
  <si>
    <t>BNTCW</t>
  </si>
  <si>
    <t>BYSI</t>
  </si>
  <si>
    <t>BeyondSpring, Inc.</t>
  </si>
  <si>
    <t>$937.38M</t>
  </si>
  <si>
    <t>BGCP</t>
  </si>
  <si>
    <t>BGC Partners, Inc.</t>
  </si>
  <si>
    <t>$3.65B</t>
  </si>
  <si>
    <t>Investment Bankers/Brokers/Service</t>
  </si>
  <si>
    <t>BGFV</t>
  </si>
  <si>
    <t>Big 5 Sporting Goods Corporation</t>
  </si>
  <si>
    <t>$211.07M</t>
  </si>
  <si>
    <t>BASI</t>
  </si>
  <si>
    <t>Bioanalytical Systems, Inc.</t>
  </si>
  <si>
    <t>$14.74M</t>
  </si>
  <si>
    <t>ORPN</t>
  </si>
  <si>
    <t>Bioblast Pharma Ltd.</t>
  </si>
  <si>
    <t>$10.7M</t>
  </si>
  <si>
    <t>BIOC</t>
  </si>
  <si>
    <t>Biocept, Inc.</t>
  </si>
  <si>
    <t>$37.77M</t>
  </si>
  <si>
    <t>BCRX</t>
  </si>
  <si>
    <t>BioCryst Pharmaceuticals, Inc.</t>
  </si>
  <si>
    <t>$361.09M</t>
  </si>
  <si>
    <t>BDSI</t>
  </si>
  <si>
    <t>BioDelivery Sciences International, Inc.</t>
  </si>
  <si>
    <t>$168.74M</t>
  </si>
  <si>
    <t>BIIB</t>
  </si>
  <si>
    <t>Biogen Inc.</t>
  </si>
  <si>
    <t>$61.16B</t>
  </si>
  <si>
    <t>BKYI</t>
  </si>
  <si>
    <t>BIO-key International, Inc.</t>
  </si>
  <si>
    <t>$22.58M</t>
  </si>
  <si>
    <t>BIOL</t>
  </si>
  <si>
    <t>Biolase, Inc.</t>
  </si>
  <si>
    <t>$44.83M</t>
  </si>
  <si>
    <t>BLFS</t>
  </si>
  <si>
    <t>BioLife Solutions, Inc.</t>
  </si>
  <si>
    <t>$48.24M</t>
  </si>
  <si>
    <t>BLRX</t>
  </si>
  <si>
    <t>BioLineRx Ltd.</t>
  </si>
  <si>
    <t>$122.84M</t>
  </si>
  <si>
    <t>BMRN</t>
  </si>
  <si>
    <t>BioMarin Pharmaceutical Inc.</t>
  </si>
  <si>
    <t>$14.98B</t>
  </si>
  <si>
    <t>BMRA</t>
  </si>
  <si>
    <t>Biomerica, Inc.</t>
  </si>
  <si>
    <t>$22.29M</t>
  </si>
  <si>
    <t>BVXV</t>
  </si>
  <si>
    <t>BiondVax Pharmaceuticals Ltd.</t>
  </si>
  <si>
    <t>$37.12M</t>
  </si>
  <si>
    <t>BVXVW</t>
  </si>
  <si>
    <t>BPTH</t>
  </si>
  <si>
    <t>Bio-Path Holdings, Inc.</t>
  </si>
  <si>
    <t>$33.57M</t>
  </si>
  <si>
    <t>BIOP</t>
  </si>
  <si>
    <t>Bioptix, Inc</t>
  </si>
  <si>
    <t>$20.82M</t>
  </si>
  <si>
    <t>BIOS</t>
  </si>
  <si>
    <t>BioScrip, Inc.</t>
  </si>
  <si>
    <t>$335.4M</t>
  </si>
  <si>
    <t>BBC</t>
  </si>
  <si>
    <t>BioShares Biotechnology Clinical Trials Fund</t>
  </si>
  <si>
    <t>$24.76M</t>
  </si>
  <si>
    <t>BBP</t>
  </si>
  <si>
    <t>BioShares Biotechnology Products Fund</t>
  </si>
  <si>
    <t>$38.99M</t>
  </si>
  <si>
    <t>BSTC</t>
  </si>
  <si>
    <t>BioSpecifics Technologies Corp</t>
  </si>
  <si>
    <t>$349.4M</t>
  </si>
  <si>
    <t>BSTG</t>
  </si>
  <si>
    <t>Biostage, Inc.</t>
  </si>
  <si>
    <t>$21.9M</t>
  </si>
  <si>
    <t>BSPM</t>
  </si>
  <si>
    <t>Biostar Pharmaceuticals, Inc.</t>
  </si>
  <si>
    <t>$3.51M</t>
  </si>
  <si>
    <t>TECH</t>
  </si>
  <si>
    <t>Bio-Techne Corp</t>
  </si>
  <si>
    <t>$4.24B</t>
  </si>
  <si>
    <t>BEAT</t>
  </si>
  <si>
    <t>BioTelemetry, Inc.</t>
  </si>
  <si>
    <t>BIVV</t>
  </si>
  <si>
    <t>Bioverativ Inc.</t>
  </si>
  <si>
    <t>$6.42B</t>
  </si>
  <si>
    <t>BCAC</t>
  </si>
  <si>
    <t>Bison Capital Acquisition Corp.</t>
  </si>
  <si>
    <t>BCACR</t>
  </si>
  <si>
    <t>BCACU</t>
  </si>
  <si>
    <t>BCACW</t>
  </si>
  <si>
    <t>BJRI</t>
  </si>
  <si>
    <t>BJ&amp;#39;s Restaurants, Inc.</t>
  </si>
  <si>
    <t>$707.11M</t>
  </si>
  <si>
    <t>BBOX</t>
  </si>
  <si>
    <t>Black Box Corporation</t>
  </si>
  <si>
    <t>$117.88M</t>
  </si>
  <si>
    <t>BDE</t>
  </si>
  <si>
    <t>Black Diamond, Inc.</t>
  </si>
  <si>
    <t>$211.59M</t>
  </si>
  <si>
    <t>Recreational Products/Toys</t>
  </si>
  <si>
    <t>BLKB</t>
  </si>
  <si>
    <t>Blackbaud, Inc.</t>
  </si>
  <si>
    <t>$4.21B</t>
  </si>
  <si>
    <t>BBRY</t>
  </si>
  <si>
    <t>BlackBerry Limited</t>
  </si>
  <si>
    <t>$4.8B</t>
  </si>
  <si>
    <t>HAWK</t>
  </si>
  <si>
    <t>Blackhawk Network Holdings, Inc.</t>
  </si>
  <si>
    <t>BL</t>
  </si>
  <si>
    <t>BlackLine, Inc.</t>
  </si>
  <si>
    <t>BKCC</t>
  </si>
  <si>
    <t>BlackRock Capital Investment Corporation</t>
  </si>
  <si>
    <t>$548.62M</t>
  </si>
  <si>
    <t>ADRA</t>
  </si>
  <si>
    <t>BLDRS Asia 50 ADR Index Fund</t>
  </si>
  <si>
    <t>$23.09M</t>
  </si>
  <si>
    <t>ADRD</t>
  </si>
  <si>
    <t>BLDRS Developed Markets 100 ADR Index Fund</t>
  </si>
  <si>
    <t>$62.04M</t>
  </si>
  <si>
    <t>ADRE</t>
  </si>
  <si>
    <t>BLDRS Emerging Markets 50 ADR Index Fund</t>
  </si>
  <si>
    <t>$153.52M</t>
  </si>
  <si>
    <t>ADRU</t>
  </si>
  <si>
    <t>BLDRS Europe 100 ADR Index Fund</t>
  </si>
  <si>
    <t>$14.45M</t>
  </si>
  <si>
    <t>BLMN</t>
  </si>
  <si>
    <t>Bloomin&amp;#39; Brands, Inc.</t>
  </si>
  <si>
    <t>BCOR</t>
  </si>
  <si>
    <t>Blucora, Inc.</t>
  </si>
  <si>
    <t>BLBD</t>
  </si>
  <si>
    <t>Blue Bird Corporation</t>
  </si>
  <si>
    <t>$431.36M</t>
  </si>
  <si>
    <t>BUFF</t>
  </si>
  <si>
    <t>Blue Buffalo Pet Products, Inc.</t>
  </si>
  <si>
    <t>$4.27B</t>
  </si>
  <si>
    <t>Packaged Foods</t>
  </si>
  <si>
    <t>BHBK</t>
  </si>
  <si>
    <t>Blue Hills Bancorp, Inc.</t>
  </si>
  <si>
    <t>$513.1M</t>
  </si>
  <si>
    <t>BLUE</t>
  </si>
  <si>
    <t>bluebird bio, Inc.</t>
  </si>
  <si>
    <t>$4.44B</t>
  </si>
  <si>
    <t>BKEP</t>
  </si>
  <si>
    <t>Blueknight Energy Partners L.P., L.L.C.</t>
  </si>
  <si>
    <t>$219.56M</t>
  </si>
  <si>
    <t>BKEPP</t>
  </si>
  <si>
    <t>$230.41M</t>
  </si>
  <si>
    <t>BPMC</t>
  </si>
  <si>
    <t>Blueprint Medicines Corporation</t>
  </si>
  <si>
    <t>$1.93B</t>
  </si>
  <si>
    <t>ITEQ</t>
  </si>
  <si>
    <t>BlueStar TA-BIGITech Israel Technology ETF</t>
  </si>
  <si>
    <t>BMCH</t>
  </si>
  <si>
    <t>BMC Stock Holdings, Inc.</t>
  </si>
  <si>
    <t>$1.39B</t>
  </si>
  <si>
    <t>BOBE</t>
  </si>
  <si>
    <t>Bob Evans Farms, Inc.</t>
  </si>
  <si>
    <t>BOFI</t>
  </si>
  <si>
    <t>BofI Holding, Inc.</t>
  </si>
  <si>
    <t>$1.76B</t>
  </si>
  <si>
    <t>BOFIL</t>
  </si>
  <si>
    <t>WIFI</t>
  </si>
  <si>
    <t>Boingo Wireless, Inc.</t>
  </si>
  <si>
    <t>$736.8M</t>
  </si>
  <si>
    <t>BOJA</t>
  </si>
  <si>
    <t>Bojangles&amp;#39;, Inc.</t>
  </si>
  <si>
    <t>$495.79M</t>
  </si>
  <si>
    <t>BOKF</t>
  </si>
  <si>
    <t>BOK Financial Corporation</t>
  </si>
  <si>
    <t>$5.53B</t>
  </si>
  <si>
    <t>BOKFL</t>
  </si>
  <si>
    <t>BNSO</t>
  </si>
  <si>
    <t>Bonso Electronics International, Inc.</t>
  </si>
  <si>
    <t>$14.02M</t>
  </si>
  <si>
    <t>BOMN</t>
  </si>
  <si>
    <t>Boston Omaha Corporation</t>
  </si>
  <si>
    <t>$191.02M</t>
  </si>
  <si>
    <t>Real Estate</t>
  </si>
  <si>
    <t>BPFH</t>
  </si>
  <si>
    <t>Boston Private Financial Holdings, Inc.</t>
  </si>
  <si>
    <t>BPFHP</t>
  </si>
  <si>
    <t>BPFHW</t>
  </si>
  <si>
    <t>EPAY</t>
  </si>
  <si>
    <t>Bottomline Technologies, Inc.</t>
  </si>
  <si>
    <t>BLVD</t>
  </si>
  <si>
    <t>Boulevard Acquisition Corp. II</t>
  </si>
  <si>
    <t>$464.35M</t>
  </si>
  <si>
    <t>BLVDU</t>
  </si>
  <si>
    <t>BLVDW</t>
  </si>
  <si>
    <t>BCLI</t>
  </si>
  <si>
    <t>Brainstorm Cell Therapeutics Inc.</t>
  </si>
  <si>
    <t>$80.94M</t>
  </si>
  <si>
    <t>BBRG</t>
  </si>
  <si>
    <t>Bravo Brio Restaurant Group, Inc.</t>
  </si>
  <si>
    <t>$45.59M</t>
  </si>
  <si>
    <t>BDGE</t>
  </si>
  <si>
    <t>Bridge Bancorp, Inc.</t>
  </si>
  <si>
    <t>$632.56M</t>
  </si>
  <si>
    <t xml:space="preserve">BLIN          </t>
  </si>
  <si>
    <t>Bridgeline Digital, Inc.</t>
  </si>
  <si>
    <t>$9.23M</t>
  </si>
  <si>
    <t>BRID</t>
  </si>
  <si>
    <t>Bridgford Foods Corporation</t>
  </si>
  <si>
    <t>$106.74M</t>
  </si>
  <si>
    <t>Specialty Foods</t>
  </si>
  <si>
    <t>BCOV</t>
  </si>
  <si>
    <t>Brightcove Inc.</t>
  </si>
  <si>
    <t>$235.26M</t>
  </si>
  <si>
    <t>BHF</t>
  </si>
  <si>
    <t>Brighthouse Financial, Inc.</t>
  </si>
  <si>
    <t>AVGO</t>
  </si>
  <si>
    <t>Broadcom Limited</t>
  </si>
  <si>
    <t>$102.2B</t>
  </si>
  <si>
    <t>BSFT</t>
  </si>
  <si>
    <t>BroadSoft, Inc.</t>
  </si>
  <si>
    <t>BVSN</t>
  </si>
  <si>
    <t>BroadVision, Inc.</t>
  </si>
  <si>
    <t>$20.63M</t>
  </si>
  <si>
    <t>BYFC</t>
  </si>
  <si>
    <t>Broadway Financial Corporation</t>
  </si>
  <si>
    <t>$69.18M</t>
  </si>
  <si>
    <t>BWEN</t>
  </si>
  <si>
    <t>Broadwind Energy, Inc.</t>
  </si>
  <si>
    <t>$54.28M</t>
  </si>
  <si>
    <t>BRCD</t>
  </si>
  <si>
    <t>Brocade Communications Systems, Inc.</t>
  </si>
  <si>
    <t>$5.02B</t>
  </si>
  <si>
    <t>BRKL</t>
  </si>
  <si>
    <t>Brookline Bancorp, Inc.</t>
  </si>
  <si>
    <t>$1.12B</t>
  </si>
  <si>
    <t>BRKS</t>
  </si>
  <si>
    <t>Brooks Automation, Inc.</t>
  </si>
  <si>
    <t>$1.71B</t>
  </si>
  <si>
    <t>BRKR</t>
  </si>
  <si>
    <t>Bruker Corporation</t>
  </si>
  <si>
    <t>$4.37B</t>
  </si>
  <si>
    <t>BMTC</t>
  </si>
  <si>
    <t>Bryn Mawr Bank Corporation</t>
  </si>
  <si>
    <t>$724.25M</t>
  </si>
  <si>
    <t>BLMT</t>
  </si>
  <si>
    <t>BSB Bancorp, Inc.</t>
  </si>
  <si>
    <t>$281.2M</t>
  </si>
  <si>
    <t>BSQR</t>
  </si>
  <si>
    <t>BSQUARE Corporation</t>
  </si>
  <si>
    <t>$66.62M</t>
  </si>
  <si>
    <t>BWLD</t>
  </si>
  <si>
    <t>Buffalo Wild Wings, Inc.</t>
  </si>
  <si>
    <t>BLDR</t>
  </si>
  <si>
    <t>Builders FirstSource, Inc.</t>
  </si>
  <si>
    <t>$1.87B</t>
  </si>
  <si>
    <t>BMLA</t>
  </si>
  <si>
    <t>BullMark LatAm Select Leaders ETF</t>
  </si>
  <si>
    <t>BUR</t>
  </si>
  <si>
    <t>Burcon NutraScience Corp</t>
  </si>
  <si>
    <t>$26.48M</t>
  </si>
  <si>
    <t>CFFI</t>
  </si>
  <si>
    <t>C&amp;F Financial Corporation</t>
  </si>
  <si>
    <t>$172.79M</t>
  </si>
  <si>
    <t>CHRW</t>
  </si>
  <si>
    <t>C.H. Robinson Worldwide, Inc.</t>
  </si>
  <si>
    <t>$9.37B</t>
  </si>
  <si>
    <t>Oil Refining/Marketing</t>
  </si>
  <si>
    <t>CA</t>
  </si>
  <si>
    <t>CA Inc.</t>
  </si>
  <si>
    <t>$13.57B</t>
  </si>
  <si>
    <t>CCMP</t>
  </si>
  <si>
    <t>Cabot Microelectronics Corporation</t>
  </si>
  <si>
    <t>$1.78B</t>
  </si>
  <si>
    <t>CDNS</t>
  </si>
  <si>
    <t>Cadence Design Systems, Inc.</t>
  </si>
  <si>
    <t>$10.31B</t>
  </si>
  <si>
    <t>CDZI</t>
  </si>
  <si>
    <t>Cadiz, Inc.</t>
  </si>
  <si>
    <t>$278.22M</t>
  </si>
  <si>
    <t>CACQ</t>
  </si>
  <si>
    <t>Caesars Acquisition Company</t>
  </si>
  <si>
    <t>$2.68B</t>
  </si>
  <si>
    <t>Hotels/Resorts</t>
  </si>
  <si>
    <t>CZR</t>
  </si>
  <si>
    <t>Caesars Entertainment Corporation</t>
  </si>
  <si>
    <t>$1.8B</t>
  </si>
  <si>
    <t>CSTE</t>
  </si>
  <si>
    <t>Caesarstone Ltd.</t>
  </si>
  <si>
    <t>$1.02B</t>
  </si>
  <si>
    <t>Building Materials</t>
  </si>
  <si>
    <t>PRSS</t>
  </si>
  <si>
    <t>CafePress Inc.</t>
  </si>
  <si>
    <t>$30.59M</t>
  </si>
  <si>
    <t>CLBS</t>
  </si>
  <si>
    <t>Caladrius Biosciences, Inc.</t>
  </si>
  <si>
    <t>$34.6M</t>
  </si>
  <si>
    <t>Hospital/Nursing Management</t>
  </si>
  <si>
    <t>CHY</t>
  </si>
  <si>
    <t>Calamos Convertible and High Income Fund</t>
  </si>
  <si>
    <t>$857.39M</t>
  </si>
  <si>
    <t>CHI</t>
  </si>
  <si>
    <t>Calamos Convertible Opportunities and Income Fund</t>
  </si>
  <si>
    <t>$799.67M</t>
  </si>
  <si>
    <t>CCD</t>
  </si>
  <si>
    <t>Calamos Dynamic Convertible &amp; Income Fund</t>
  </si>
  <si>
    <t>$489.89M</t>
  </si>
  <si>
    <t>CHW</t>
  </si>
  <si>
    <t>Calamos Global Dynamic Income Fund</t>
  </si>
  <si>
    <t>$525.75M</t>
  </si>
  <si>
    <t>CGO</t>
  </si>
  <si>
    <t>Calamos Global Total Return Fund</t>
  </si>
  <si>
    <t>$118.51M</t>
  </si>
  <si>
    <t>CSQ</t>
  </si>
  <si>
    <t>Calamos Strategic Total Return Fund</t>
  </si>
  <si>
    <t>CAMP</t>
  </si>
  <si>
    <t>CalAmp Corp.</t>
  </si>
  <si>
    <t>$671.83M</t>
  </si>
  <si>
    <t>CVGW</t>
  </si>
  <si>
    <t>Calavo Growers, Inc.</t>
  </si>
  <si>
    <t>$1.26B</t>
  </si>
  <si>
    <t>CFNB</t>
  </si>
  <si>
    <t>California First National Bancorp</t>
  </si>
  <si>
    <t>$167.56M</t>
  </si>
  <si>
    <t>CALA</t>
  </si>
  <si>
    <t>Calithera Biosciences, Inc.</t>
  </si>
  <si>
    <t>$515.3M</t>
  </si>
  <si>
    <t>CALD</t>
  </si>
  <si>
    <t>Callidus Software, Inc.</t>
  </si>
  <si>
    <t>$1.67B</t>
  </si>
  <si>
    <t>CALM</t>
  </si>
  <si>
    <t>Cal-Maine Foods, Inc.</t>
  </si>
  <si>
    <t>CLMT</t>
  </si>
  <si>
    <t>Calumet Specialty Products Partners, L.P.</t>
  </si>
  <si>
    <t>$425.64M</t>
  </si>
  <si>
    <t>Integrated oil Companies</t>
  </si>
  <si>
    <t>CLXT</t>
  </si>
  <si>
    <t>Calyxt, Inc.</t>
  </si>
  <si>
    <t>$293.66M</t>
  </si>
  <si>
    <t>ABCD</t>
  </si>
  <si>
    <t>Cambium Learning Group, Inc.</t>
  </si>
  <si>
    <t>$223.66M</t>
  </si>
  <si>
    <t>Publishing</t>
  </si>
  <si>
    <t>CAC</t>
  </si>
  <si>
    <t>Camden National Corporation</t>
  </si>
  <si>
    <t>$634.17M</t>
  </si>
  <si>
    <t>CAMT</t>
  </si>
  <si>
    <t>Camtek Ltd.</t>
  </si>
  <si>
    <t>$174.51M</t>
  </si>
  <si>
    <t>Electronic Components</t>
  </si>
  <si>
    <t>CSIQ</t>
  </si>
  <si>
    <t>Canadian Solar Inc.</t>
  </si>
  <si>
    <t>$1.01B</t>
  </si>
  <si>
    <t>CGIX</t>
  </si>
  <si>
    <t>Cancer Genetics, Inc.</t>
  </si>
  <si>
    <t>$70.15M</t>
  </si>
  <si>
    <t>CPHC</t>
  </si>
  <si>
    <t>Canterbury Park Holding Corporation</t>
  </si>
  <si>
    <t>$50.71M</t>
  </si>
  <si>
    <t>CPLA</t>
  </si>
  <si>
    <t>Capella Education Company</t>
  </si>
  <si>
    <t>$798.36M</t>
  </si>
  <si>
    <t>CBF</t>
  </si>
  <si>
    <t>Capital Bank Financial Corp.</t>
  </si>
  <si>
    <t>$2B</t>
  </si>
  <si>
    <t>CCBG</t>
  </si>
  <si>
    <t>Capital City Bank Group</t>
  </si>
  <si>
    <t>$361.5M</t>
  </si>
  <si>
    <t>CPLP</t>
  </si>
  <si>
    <t>Capital Product Partners L.P.</t>
  </si>
  <si>
    <t>$443.84M</t>
  </si>
  <si>
    <t>Marine Transportation</t>
  </si>
  <si>
    <t>CSWC</t>
  </si>
  <si>
    <t>Capital Southwest Corporation</t>
  </si>
  <si>
    <t>$264.1M</t>
  </si>
  <si>
    <t>CPTA</t>
  </si>
  <si>
    <t>Capitala Finance Corp.</t>
  </si>
  <si>
    <t>$174.14M</t>
  </si>
  <si>
    <t>CPTAG</t>
  </si>
  <si>
    <t>CPTAL</t>
  </si>
  <si>
    <t>CFFN</t>
  </si>
  <si>
    <t>Capitol Federal Financial, Inc.</t>
  </si>
  <si>
    <t>$1.92B</t>
  </si>
  <si>
    <t>CAPR</t>
  </si>
  <si>
    <t>Capricor Therapeutics, Inc.</t>
  </si>
  <si>
    <t>$26.44M</t>
  </si>
  <si>
    <t>CSTR</t>
  </si>
  <si>
    <t>CapStar Financial Holdings, Inc.</t>
  </si>
  <si>
    <t>$189.53M</t>
  </si>
  <si>
    <t>CPST</t>
  </si>
  <si>
    <t>Capstone Turbine Corporation</t>
  </si>
  <si>
    <t>$26.84M</t>
  </si>
  <si>
    <t>CARA</t>
  </si>
  <si>
    <t>Cara Therapeutics, Inc.</t>
  </si>
  <si>
    <t>$467.87M</t>
  </si>
  <si>
    <t>CARB</t>
  </si>
  <si>
    <t>Carbonite, Inc.</t>
  </si>
  <si>
    <t>$588.33M</t>
  </si>
  <si>
    <t>CRME</t>
  </si>
  <si>
    <t>Cardiome Pharma Corporation</t>
  </si>
  <si>
    <t>$138.92M</t>
  </si>
  <si>
    <t>CSII</t>
  </si>
  <si>
    <t>Cardiovascular Systems, Inc.</t>
  </si>
  <si>
    <t>CATM</t>
  </si>
  <si>
    <t>Cardtronics plc</t>
  </si>
  <si>
    <t>$1.22B</t>
  </si>
  <si>
    <t>CDNA</t>
  </si>
  <si>
    <t>CareDx, Inc.</t>
  </si>
  <si>
    <t>$28.71M</t>
  </si>
  <si>
    <t>CECO</t>
  </si>
  <si>
    <t>Career Education Corporation</t>
  </si>
  <si>
    <t>$572.94M</t>
  </si>
  <si>
    <t>CTRE</t>
  </si>
  <si>
    <t>CareTrust REIT, Inc.</t>
  </si>
  <si>
    <t>$1.38B</t>
  </si>
  <si>
    <t>CARO</t>
  </si>
  <si>
    <t>Carolina Financial Corporation</t>
  </si>
  <si>
    <t>$543.01M</t>
  </si>
  <si>
    <t>CART</t>
  </si>
  <si>
    <t>Carolina Trust BancShares, Inc.</t>
  </si>
  <si>
    <t>$37.98M</t>
  </si>
  <si>
    <t>CRZO</t>
  </si>
  <si>
    <t>Carrizo Oil &amp; Gas, Inc.</t>
  </si>
  <si>
    <t>$892.73M</t>
  </si>
  <si>
    <t>TAST</t>
  </si>
  <si>
    <t>Carrols Restaurant Group, Inc.</t>
  </si>
  <si>
    <t>$419.95M</t>
  </si>
  <si>
    <t>CRTN</t>
  </si>
  <si>
    <t>Cartesian, Inc.</t>
  </si>
  <si>
    <t>$6.33M</t>
  </si>
  <si>
    <t>CARV</t>
  </si>
  <si>
    <t>Carver Bancorp, Inc.</t>
  </si>
  <si>
    <t>$11.27M</t>
  </si>
  <si>
    <t>CASM</t>
  </si>
  <si>
    <t>CAS Medical Systems, Inc.</t>
  </si>
  <si>
    <t>$27.95M</t>
  </si>
  <si>
    <t>CASC</t>
  </si>
  <si>
    <t>Cascadian Therapeutics, Inc.</t>
  </si>
  <si>
    <t>$198.42M</t>
  </si>
  <si>
    <t>CWST</t>
  </si>
  <si>
    <t>Casella Waste Systems, Inc.</t>
  </si>
  <si>
    <t>$668.8M</t>
  </si>
  <si>
    <t>Environmental Services</t>
  </si>
  <si>
    <t>CASY</t>
  </si>
  <si>
    <t>Caseys General Stores, Inc.</t>
  </si>
  <si>
    <t>$4.12B</t>
  </si>
  <si>
    <t>CASI</t>
  </si>
  <si>
    <t>CASI Pharmaceuticals, Inc.</t>
  </si>
  <si>
    <t>$60.8M</t>
  </si>
  <si>
    <t>CASS</t>
  </si>
  <si>
    <t>Cass Information Systems, Inc</t>
  </si>
  <si>
    <t>$707.07M</t>
  </si>
  <si>
    <t>CATB</t>
  </si>
  <si>
    <t>Catabasis Pharmaceuticals, Inc.</t>
  </si>
  <si>
    <t>$28.54M</t>
  </si>
  <si>
    <t>CBIO</t>
  </si>
  <si>
    <t xml:space="preserve">Catalyst Biosciences, Inc. </t>
  </si>
  <si>
    <t>$16.16M</t>
  </si>
  <si>
    <t>CPRX</t>
  </si>
  <si>
    <t>Catalyst Pharmaceuticals, Inc.</t>
  </si>
  <si>
    <t>$244.36M</t>
  </si>
  <si>
    <t>CATS</t>
  </si>
  <si>
    <t>Catasys, Inc.</t>
  </si>
  <si>
    <t>$73.5M</t>
  </si>
  <si>
    <t>CATY</t>
  </si>
  <si>
    <t>Cathay General Bancorp</t>
  </si>
  <si>
    <t>$3B</t>
  </si>
  <si>
    <t>CATYW</t>
  </si>
  <si>
    <t>CVCO</t>
  </si>
  <si>
    <t>Cavco Industries, Inc.</t>
  </si>
  <si>
    <t>CAVM</t>
  </si>
  <si>
    <t>Cavium, Inc.</t>
  </si>
  <si>
    <t>$4.2B</t>
  </si>
  <si>
    <t>CBFV</t>
  </si>
  <si>
    <t>CB Financial Services, Inc.</t>
  </si>
  <si>
    <t>$113.65M</t>
  </si>
  <si>
    <t>CBAK</t>
  </si>
  <si>
    <t>CBAK Energy Technology, Inc.</t>
  </si>
  <si>
    <t>$36.06M</t>
  </si>
  <si>
    <t>CBOE</t>
  </si>
  <si>
    <t>CBOE Holdings, Inc.</t>
  </si>
  <si>
    <t>$10.77B</t>
  </si>
  <si>
    <t>CDK</t>
  </si>
  <si>
    <t>CDK Global, Inc.</t>
  </si>
  <si>
    <t>$9.01B</t>
  </si>
  <si>
    <t>CDW</t>
  </si>
  <si>
    <t>CDW Corporation</t>
  </si>
  <si>
    <t>$9.88B</t>
  </si>
  <si>
    <t>CECE</t>
  </si>
  <si>
    <t>CECO Environmental Corp.</t>
  </si>
  <si>
    <t>$332.86M</t>
  </si>
  <si>
    <t>Pollution Control Equipment</t>
  </si>
  <si>
    <t>CELG</t>
  </si>
  <si>
    <t>Celgene Corporation</t>
  </si>
  <si>
    <t>$105.83B</t>
  </si>
  <si>
    <t>CELGZ</t>
  </si>
  <si>
    <t>CLDX</t>
  </si>
  <si>
    <t>Celldex Therapeutics, Inc.</t>
  </si>
  <si>
    <t>$320.27M</t>
  </si>
  <si>
    <t>APOP</t>
  </si>
  <si>
    <t>Cellect Biotechnology Ltd.</t>
  </si>
  <si>
    <t>$36.04M</t>
  </si>
  <si>
    <t>APOPW</t>
  </si>
  <si>
    <t>CLRB</t>
  </si>
  <si>
    <t>Cellectar Biosciences, Inc.</t>
  </si>
  <si>
    <t>$23.69M</t>
  </si>
  <si>
    <t>CLRBW</t>
  </si>
  <si>
    <t>CLRBZ</t>
  </si>
  <si>
    <t>CLLS</t>
  </si>
  <si>
    <t>Cellectis S.A.</t>
  </si>
  <si>
    <t>$819.45M</t>
  </si>
  <si>
    <t>CBMG</t>
  </si>
  <si>
    <t>Cellular Biomedicine Group, Inc.</t>
  </si>
  <si>
    <t>$121.47M</t>
  </si>
  <si>
    <t>CLSN</t>
  </si>
  <si>
    <t>Celsion Corporation</t>
  </si>
  <si>
    <t>$7.7M</t>
  </si>
  <si>
    <t>CELH</t>
  </si>
  <si>
    <t>Celsius Holdings, Inc.</t>
  </si>
  <si>
    <t>$162.3M</t>
  </si>
  <si>
    <t>Beverages (Production/Distribution)</t>
  </si>
  <si>
    <t>CYAD</t>
  </si>
  <si>
    <t>Celyad SA</t>
  </si>
  <si>
    <t>$417.01M</t>
  </si>
  <si>
    <t>CEMP</t>
  </si>
  <si>
    <t>Cempra, Inc.</t>
  </si>
  <si>
    <t>$199.51M</t>
  </si>
  <si>
    <t>CETX</t>
  </si>
  <si>
    <t>Cemtrex Inc.</t>
  </si>
  <si>
    <t>$31.34M</t>
  </si>
  <si>
    <t>CETXP</t>
  </si>
  <si>
    <t>CETXW</t>
  </si>
  <si>
    <t>CDEV</t>
  </si>
  <si>
    <t>Centennial Resource Development, Inc.</t>
  </si>
  <si>
    <t>$4.15B</t>
  </si>
  <si>
    <t>CSFL</t>
  </si>
  <si>
    <t>CenterState Banks, Inc.</t>
  </si>
  <si>
    <t>$1.52B</t>
  </si>
  <si>
    <t>CETV</t>
  </si>
  <si>
    <t>Central European Media Enterprises Ltd.</t>
  </si>
  <si>
    <t>$608.35M</t>
  </si>
  <si>
    <t>CFBK</t>
  </si>
  <si>
    <t>Central Federal Corporation</t>
  </si>
  <si>
    <t>$36.32M</t>
  </si>
  <si>
    <t>CENT</t>
  </si>
  <si>
    <t>Central Garden &amp; Pet Company</t>
  </si>
  <si>
    <t>Consumer Specialties</t>
  </si>
  <si>
    <t>CENTA</t>
  </si>
  <si>
    <t>CVCY</t>
  </si>
  <si>
    <t>Central Valley Community Bancorp</t>
  </si>
  <si>
    <t>$266.58M</t>
  </si>
  <si>
    <t>CENX</t>
  </si>
  <si>
    <t>Century Aluminum Company</t>
  </si>
  <si>
    <t>$1.23B</t>
  </si>
  <si>
    <t>Aluminum</t>
  </si>
  <si>
    <t>CNBKA</t>
  </si>
  <si>
    <t>Century Bancorp, Inc.</t>
  </si>
  <si>
    <t>$373.05M</t>
  </si>
  <si>
    <t>CNTY</t>
  </si>
  <si>
    <t>Century Casinos, Inc.</t>
  </si>
  <si>
    <t>$163.89M</t>
  </si>
  <si>
    <t>CVO</t>
  </si>
  <si>
    <t>Cenveo Inc</t>
  </si>
  <si>
    <t>$28.57M</t>
  </si>
  <si>
    <t>Containers/Packaging</t>
  </si>
  <si>
    <t>CRNT</t>
  </si>
  <si>
    <t>Ceragon Networks Ltd.</t>
  </si>
  <si>
    <t>$167.35M</t>
  </si>
  <si>
    <t>CERC</t>
  </si>
  <si>
    <t>Cerecor Inc.</t>
  </si>
  <si>
    <t>$8.64M</t>
  </si>
  <si>
    <t>CERCW</t>
  </si>
  <si>
    <t>CERN</t>
  </si>
  <si>
    <t>Cerner Corporation</t>
  </si>
  <si>
    <t>$20.94B</t>
  </si>
  <si>
    <t>CERS</t>
  </si>
  <si>
    <t>Cerus Corporation</t>
  </si>
  <si>
    <t>$279.39M</t>
  </si>
  <si>
    <t>KOOL</t>
  </si>
  <si>
    <t>Cesca Therapeutics Inc.</t>
  </si>
  <si>
    <t>$33.37M</t>
  </si>
  <si>
    <t>CEVA</t>
  </si>
  <si>
    <t>CEVA, Inc.</t>
  </si>
  <si>
    <t>$931.1M</t>
  </si>
  <si>
    <t>CFCO</t>
  </si>
  <si>
    <t>CF Corporation</t>
  </si>
  <si>
    <t>$894.6M</t>
  </si>
  <si>
    <t>CFCOU</t>
  </si>
  <si>
    <t>CFCOW</t>
  </si>
  <si>
    <t>CSBR</t>
  </si>
  <si>
    <t>Champions Oncology, Inc.</t>
  </si>
  <si>
    <t>$35.58M</t>
  </si>
  <si>
    <t>CYOU</t>
  </si>
  <si>
    <t>Changyou.com Limited</t>
  </si>
  <si>
    <t>$2.25B</t>
  </si>
  <si>
    <t>HOTR</t>
  </si>
  <si>
    <t>Chanticleer Holdings, Inc.</t>
  </si>
  <si>
    <t>$6.83M</t>
  </si>
  <si>
    <t>CTHR</t>
  </si>
  <si>
    <t>Charles &amp; Colvard Ltd</t>
  </si>
  <si>
    <t>$19.06M</t>
  </si>
  <si>
    <t>GTLS</t>
  </si>
  <si>
    <t>Chart Industries, Inc.</t>
  </si>
  <si>
    <t>CHTR</t>
  </si>
  <si>
    <t>Charter Communications, Inc.</t>
  </si>
  <si>
    <t>$100.51B</t>
  </si>
  <si>
    <t>CHFN</t>
  </si>
  <si>
    <t>Charter Financial Corp.</t>
  </si>
  <si>
    <t>$260.39M</t>
  </si>
  <si>
    <t>CHKP</t>
  </si>
  <si>
    <t>Check Point Software Technologies Ltd.</t>
  </si>
  <si>
    <t>$17.67B</t>
  </si>
  <si>
    <t>CHEK</t>
  </si>
  <si>
    <t>Check-Cap Ltd.</t>
  </si>
  <si>
    <t>$31.41M</t>
  </si>
  <si>
    <t>Medical Electronics</t>
  </si>
  <si>
    <t>CHEKW</t>
  </si>
  <si>
    <t>CKPT</t>
  </si>
  <si>
    <t>Checkpoint Therapeutics, Inc.</t>
  </si>
  <si>
    <t>$226.97M</t>
  </si>
  <si>
    <t>CEMI</t>
  </si>
  <si>
    <t>Chembio Diagnostics, Inc.</t>
  </si>
  <si>
    <t>$77.48M</t>
  </si>
  <si>
    <t>CHFC</t>
  </si>
  <si>
    <t>Chemical Financial Corporation</t>
  </si>
  <si>
    <t>$3.34B</t>
  </si>
  <si>
    <t>CCXI</t>
  </si>
  <si>
    <t>ChemoCentryx, Inc.</t>
  </si>
  <si>
    <t>$488.48M</t>
  </si>
  <si>
    <t>CHMG</t>
  </si>
  <si>
    <t>Chemung Financial Corp</t>
  </si>
  <si>
    <t>$189.32M</t>
  </si>
  <si>
    <t>CHKE</t>
  </si>
  <si>
    <t>Cherokee Inc.</t>
  </si>
  <si>
    <t>$58.93M</t>
  </si>
  <si>
    <t>CHFS</t>
  </si>
  <si>
    <t>CHF Solutions, Inc.</t>
  </si>
  <si>
    <t>$6.93M</t>
  </si>
  <si>
    <t>CHMA</t>
  </si>
  <si>
    <t>Chiasma, Inc.</t>
  </si>
  <si>
    <t>$35.32M</t>
  </si>
  <si>
    <t>PLCE</t>
  </si>
  <si>
    <t>Children&amp;#39;s Place, Inc. (The)</t>
  </si>
  <si>
    <t>$2.08B</t>
  </si>
  <si>
    <t>CMRX</t>
  </si>
  <si>
    <t>Chimerix, Inc.</t>
  </si>
  <si>
    <t>$218.8M</t>
  </si>
  <si>
    <t>CADC</t>
  </si>
  <si>
    <t>China Advanced Construction Materials Group, Inc.</t>
  </si>
  <si>
    <t>$4.06M</t>
  </si>
  <si>
    <t>Engineering &amp; Construction</t>
  </si>
  <si>
    <t>CALI</t>
  </si>
  <si>
    <t>China Auto Logistics Inc.</t>
  </si>
  <si>
    <t>$7.95M</t>
  </si>
  <si>
    <t>Motor Vehicles</t>
  </si>
  <si>
    <t>CAAS</t>
  </si>
  <si>
    <t>China Automotive Systems, Inc.</t>
  </si>
  <si>
    <t>$152.31M</t>
  </si>
  <si>
    <t>CBPO</t>
  </si>
  <si>
    <t>China Biologic Products Holdings, Inc.</t>
  </si>
  <si>
    <t>$2.54B</t>
  </si>
  <si>
    <t>CCCL</t>
  </si>
  <si>
    <t>China Ceramics Co., Ltd.</t>
  </si>
  <si>
    <t>$4.73M</t>
  </si>
  <si>
    <t>CCCR</t>
  </si>
  <si>
    <t>China Commercial Credit, Inc.</t>
  </si>
  <si>
    <t>$50.41M</t>
  </si>
  <si>
    <t>CCRC</t>
  </si>
  <si>
    <t>China Customer Relations Centers, Inc.</t>
  </si>
  <si>
    <t>$269.81M</t>
  </si>
  <si>
    <t>JRJC</t>
  </si>
  <si>
    <t>China Finance Online Co. Limited</t>
  </si>
  <si>
    <t>$42.99M</t>
  </si>
  <si>
    <t>HGSH</t>
  </si>
  <si>
    <t>China HGS Real Estate, Inc.</t>
  </si>
  <si>
    <t>$68.02M</t>
  </si>
  <si>
    <t>CNIT</t>
  </si>
  <si>
    <t>China Information Technology, Inc.</t>
  </si>
  <si>
    <t>$37.82M</t>
  </si>
  <si>
    <t>CIFS</t>
  </si>
  <si>
    <t>China Internet Nationwide Financial Services Inc.</t>
  </si>
  <si>
    <t>CJJD</t>
  </si>
  <si>
    <t>China Jo-Jo Drugstores, Inc.</t>
  </si>
  <si>
    <t>$41.35M</t>
  </si>
  <si>
    <t>Specialty Chemicals</t>
  </si>
  <si>
    <t>CLDC</t>
  </si>
  <si>
    <t>China Lending Corporation</t>
  </si>
  <si>
    <t>$89.1M</t>
  </si>
  <si>
    <t>Diversified Financial Services</t>
  </si>
  <si>
    <t>HTHT</t>
  </si>
  <si>
    <t>China Lodging Group, Limited</t>
  </si>
  <si>
    <t>$7.33B</t>
  </si>
  <si>
    <t>CHNR</t>
  </si>
  <si>
    <t>China Natural Resources, Inc.</t>
  </si>
  <si>
    <t>$49.57M</t>
  </si>
  <si>
    <t>Precious Metals</t>
  </si>
  <si>
    <t>CREG</t>
  </si>
  <si>
    <t>China Recycling Energy Corporation</t>
  </si>
  <si>
    <t>$9.97M</t>
  </si>
  <si>
    <t>CNTF</t>
  </si>
  <si>
    <t>China TechFaith Wireless Communication Technology Limited</t>
  </si>
  <si>
    <t>$27.74M</t>
  </si>
  <si>
    <t>CXDC</t>
  </si>
  <si>
    <t>China XD Plastics Company Limited</t>
  </si>
  <si>
    <t>$227.75M</t>
  </si>
  <si>
    <t>CCIH</t>
  </si>
  <si>
    <t>ChinaCache International Holdings Ltd.</t>
  </si>
  <si>
    <t>$19.75M</t>
  </si>
  <si>
    <t>CNET</t>
  </si>
  <si>
    <t>ChinaNet Online Holdings, Inc.</t>
  </si>
  <si>
    <t>$12.92M</t>
  </si>
  <si>
    <t>IMOS</t>
  </si>
  <si>
    <t>ChipMOS TECHNOLOGIES INC.</t>
  </si>
  <si>
    <t>$827.05M</t>
  </si>
  <si>
    <t>CDXC</t>
  </si>
  <si>
    <t>ChromaDex Corporation</t>
  </si>
  <si>
    <t>CHSCL</t>
  </si>
  <si>
    <t>CHS Inc</t>
  </si>
  <si>
    <t>CHSCM</t>
  </si>
  <si>
    <t>$550.62M</t>
  </si>
  <si>
    <t>CHSCN</t>
  </si>
  <si>
    <t>$494.26M</t>
  </si>
  <si>
    <t>CHSCO</t>
  </si>
  <si>
    <t>$331.88M</t>
  </si>
  <si>
    <t>CHSCP</t>
  </si>
  <si>
    <t>$223.55M</t>
  </si>
  <si>
    <t>CHDN</t>
  </si>
  <si>
    <t>Churchill Downs, Incorporated</t>
  </si>
  <si>
    <t>$2.97B</t>
  </si>
  <si>
    <t>CHUY</t>
  </si>
  <si>
    <t>Chuy&amp;#39;s Holdings, Inc.</t>
  </si>
  <si>
    <t>$351.64M</t>
  </si>
  <si>
    <t>CDTX</t>
  </si>
  <si>
    <t>Cidara Therapeutics, Inc.</t>
  </si>
  <si>
    <t>$116.8M</t>
  </si>
  <si>
    <t>CMCT</t>
  </si>
  <si>
    <t>CIM Commercial Trust Corporation</t>
  </si>
  <si>
    <t>$904.07M</t>
  </si>
  <si>
    <t>CMPR</t>
  </si>
  <si>
    <t>Cimpress N.V</t>
  </si>
  <si>
    <t>$2.78B</t>
  </si>
  <si>
    <t>CINF</t>
  </si>
  <si>
    <t>Cincinnati Financial Corporation</t>
  </si>
  <si>
    <t>$13.08B</t>
  </si>
  <si>
    <t>CIDM</t>
  </si>
  <si>
    <t>Cinedigm Corp</t>
  </si>
  <si>
    <t>$18M</t>
  </si>
  <si>
    <t>Consumer Electronics/Video Chains</t>
  </si>
  <si>
    <t>CTAS</t>
  </si>
  <si>
    <t>Cintas Corporation</t>
  </si>
  <si>
    <t>$14.06B</t>
  </si>
  <si>
    <t>CRUS</t>
  </si>
  <si>
    <t>Cirrus Logic, Inc.</t>
  </si>
  <si>
    <t>$3.62B</t>
  </si>
  <si>
    <t>CSCO</t>
  </si>
  <si>
    <t>Cisco Systems, Inc.</t>
  </si>
  <si>
    <t>$158.35B</t>
  </si>
  <si>
    <t>CTRN</t>
  </si>
  <si>
    <t>Citi Trends, Inc.</t>
  </si>
  <si>
    <t>$314.48M</t>
  </si>
  <si>
    <t>CTXR</t>
  </si>
  <si>
    <t>Citius Pharmaceuticals, Inc.</t>
  </si>
  <si>
    <t>$15.1M</t>
  </si>
  <si>
    <t>CTXRW</t>
  </si>
  <si>
    <t>CZNC</t>
  </si>
  <si>
    <t>Citizens &amp; Northern Corp</t>
  </si>
  <si>
    <t>$277.51M</t>
  </si>
  <si>
    <t>CZWI</t>
  </si>
  <si>
    <t>Citizens Community Bancorp, Inc.</t>
  </si>
  <si>
    <t>$74.06M</t>
  </si>
  <si>
    <t>CZFC</t>
  </si>
  <si>
    <t>Citizens First Corporation</t>
  </si>
  <si>
    <t>$53.69M</t>
  </si>
  <si>
    <t>CIZN</t>
  </si>
  <si>
    <t>Citizens Holding Company</t>
  </si>
  <si>
    <t>$119.92M</t>
  </si>
  <si>
    <t>CTXS</t>
  </si>
  <si>
    <t>Citrix Systems, Inc.</t>
  </si>
  <si>
    <t>$11.63B</t>
  </si>
  <si>
    <t>CHCO</t>
  </si>
  <si>
    <t>City Holding Company</t>
  </si>
  <si>
    <t>CIVB</t>
  </si>
  <si>
    <t xml:space="preserve">Civista Bancshares, Inc. </t>
  </si>
  <si>
    <t>$207.15M</t>
  </si>
  <si>
    <t>CIVBP</t>
  </si>
  <si>
    <t>CDTI</t>
  </si>
  <si>
    <t>Clean Diesel Technologies, Inc.</t>
  </si>
  <si>
    <t>$26.73M</t>
  </si>
  <si>
    <t>CLNE</t>
  </si>
  <si>
    <t>Clean Energy Fuels Corp.</t>
  </si>
  <si>
    <t>$356.15M</t>
  </si>
  <si>
    <t>CLNT</t>
  </si>
  <si>
    <t>Cleantech Solutions International, Inc.</t>
  </si>
  <si>
    <t>$5.28M</t>
  </si>
  <si>
    <t>CACG</t>
  </si>
  <si>
    <t>ClearBridge All Cap Growth ETF</t>
  </si>
  <si>
    <t>YLDE</t>
  </si>
  <si>
    <t>ClearBridge Dividend Strategy ESG ETF</t>
  </si>
  <si>
    <t>LRGE</t>
  </si>
  <si>
    <t>ClearBridge Large Cap Growth ESG ETF</t>
  </si>
  <si>
    <t>CLFD</t>
  </si>
  <si>
    <t>Clearfield, Inc.</t>
  </si>
  <si>
    <t>$160.95M</t>
  </si>
  <si>
    <t>CLRO</t>
  </si>
  <si>
    <t>ClearOne, Inc.</t>
  </si>
  <si>
    <t>$84M</t>
  </si>
  <si>
    <t>CLSD</t>
  </si>
  <si>
    <t>Clearside Biomedical, Inc.</t>
  </si>
  <si>
    <t>$201.39M</t>
  </si>
  <si>
    <t>CLIR</t>
  </si>
  <si>
    <t>ClearSign Combustion Corporation</t>
  </si>
  <si>
    <t>$52.26M</t>
  </si>
  <si>
    <t>CLIRW</t>
  </si>
  <si>
    <t>CMTA</t>
  </si>
  <si>
    <t>Clementia Pharmaceuticals Inc.</t>
  </si>
  <si>
    <t>$496.36M</t>
  </si>
  <si>
    <t>CBLI</t>
  </si>
  <si>
    <t>Cleveland BioLabs, Inc.</t>
  </si>
  <si>
    <t>$29.33M</t>
  </si>
  <si>
    <t>CSBK</t>
  </si>
  <si>
    <t>Clifton Bancorp Inc.</t>
  </si>
  <si>
    <t>$363.47M</t>
  </si>
  <si>
    <t>CLVS</t>
  </si>
  <si>
    <t>Clovis Oncology, Inc.</t>
  </si>
  <si>
    <t>$3.7B</t>
  </si>
  <si>
    <t>CMFN</t>
  </si>
  <si>
    <t>CM Finance Inc</t>
  </si>
  <si>
    <t>$138.25M</t>
  </si>
  <si>
    <t>CME</t>
  </si>
  <si>
    <t>CME Group Inc.</t>
  </si>
  <si>
    <t>$42.41B</t>
  </si>
  <si>
    <t>CCNE</t>
  </si>
  <si>
    <t>CNB Financial Corporation</t>
  </si>
  <si>
    <t>$390.23M</t>
  </si>
  <si>
    <t>CWAY</t>
  </si>
  <si>
    <t>Coastway Bancorp, Inc.</t>
  </si>
  <si>
    <t>$87.85M</t>
  </si>
  <si>
    <t>COBZ</t>
  </si>
  <si>
    <t>CoBiz Financial Inc.</t>
  </si>
  <si>
    <t>$743.23M</t>
  </si>
  <si>
    <t>COKE</t>
  </si>
  <si>
    <t>Coca-Cola Bottling Co. Consolidated</t>
  </si>
  <si>
    <t>$2.26B</t>
  </si>
  <si>
    <t>CODA</t>
  </si>
  <si>
    <t>Coda Octopus Group, Inc.</t>
  </si>
  <si>
    <t>$41.78M</t>
  </si>
  <si>
    <t>CDXS</t>
  </si>
  <si>
    <t>Codexis, Inc.</t>
  </si>
  <si>
    <t>$243.26M</t>
  </si>
  <si>
    <t>CODX</t>
  </si>
  <si>
    <t>Co-Diagnostics, Inc.</t>
  </si>
  <si>
    <t>$42.58M</t>
  </si>
  <si>
    <t>CVLY</t>
  </si>
  <si>
    <t>Codorus Valley Bancorp, Inc</t>
  </si>
  <si>
    <t>$229.1M</t>
  </si>
  <si>
    <t>JVA</t>
  </si>
  <si>
    <t>Coffee Holding Co., Inc.</t>
  </si>
  <si>
    <t>$24.55M</t>
  </si>
  <si>
    <t>Food Distributors</t>
  </si>
  <si>
    <t>CCOI</t>
  </si>
  <si>
    <t>Cogent Communications Holdings, Inc.</t>
  </si>
  <si>
    <t>$1.98B</t>
  </si>
  <si>
    <t>CGNT</t>
  </si>
  <si>
    <t>Cogentix Medical, Inc.</t>
  </si>
  <si>
    <t>$143.83M</t>
  </si>
  <si>
    <t>COGT</t>
  </si>
  <si>
    <t>Cogint, Inc.</t>
  </si>
  <si>
    <t>$249.26M</t>
  </si>
  <si>
    <t>CGNX</t>
  </si>
  <si>
    <t>Cognex Corporation</t>
  </si>
  <si>
    <t>$8.91B</t>
  </si>
  <si>
    <t>CTSH</t>
  </si>
  <si>
    <t>Cognizant Technology Solutions Corporation</t>
  </si>
  <si>
    <t>$41.51B</t>
  </si>
  <si>
    <t>COHR</t>
  </si>
  <si>
    <t>Coherent, Inc.</t>
  </si>
  <si>
    <t>$5.52B</t>
  </si>
  <si>
    <t>CHRS</t>
  </si>
  <si>
    <t>Coherus BioSciences, Inc.</t>
  </si>
  <si>
    <t>$692.39M</t>
  </si>
  <si>
    <t>COHU</t>
  </si>
  <si>
    <t>Cohu, Inc.</t>
  </si>
  <si>
    <t>$493.77M</t>
  </si>
  <si>
    <t>CLCT</t>
  </si>
  <si>
    <t>Collectors Universe, Inc.</t>
  </si>
  <si>
    <t>$215.53M</t>
  </si>
  <si>
    <t>COLL</t>
  </si>
  <si>
    <t>Collegium Pharmaceutical, Inc.</t>
  </si>
  <si>
    <t>$308.14M</t>
  </si>
  <si>
    <t>CIGI</t>
  </si>
  <si>
    <t xml:space="preserve">Colliers International Group Inc. </t>
  </si>
  <si>
    <t>CBAN</t>
  </si>
  <si>
    <t>Colony Bankcorp, Inc.</t>
  </si>
  <si>
    <t>$114.77M</t>
  </si>
  <si>
    <t>COLB</t>
  </si>
  <si>
    <t>Columbia Banking System, Inc.</t>
  </si>
  <si>
    <t>$2.27B</t>
  </si>
  <si>
    <t>COLM</t>
  </si>
  <si>
    <t>Columbia Sportswear Company</t>
  </si>
  <si>
    <t>CMCO</t>
  </si>
  <si>
    <t>Columbus McKinnon Corporation</t>
  </si>
  <si>
    <t>$736.23M</t>
  </si>
  <si>
    <t>CBMX</t>
  </si>
  <si>
    <t>CombiMatrix Corporation</t>
  </si>
  <si>
    <t>$21.31M</t>
  </si>
  <si>
    <t>CBMXW</t>
  </si>
  <si>
    <t>CMCSA</t>
  </si>
  <si>
    <t>Comcast Corporation</t>
  </si>
  <si>
    <t>$188.16B</t>
  </si>
  <si>
    <t>CBSH</t>
  </si>
  <si>
    <t>Commerce Bancshares, Inc.</t>
  </si>
  <si>
    <t>$5.87B</t>
  </si>
  <si>
    <t>CBSHP</t>
  </si>
  <si>
    <t>$2.48B</t>
  </si>
  <si>
    <t>CUBN</t>
  </si>
  <si>
    <t>Commerce Union Bancshares, Inc.</t>
  </si>
  <si>
    <t>$194.81M</t>
  </si>
  <si>
    <t>CHUBA</t>
  </si>
  <si>
    <t>CommerceHub, Inc.</t>
  </si>
  <si>
    <t>$854.18M</t>
  </si>
  <si>
    <t>CHUBK</t>
  </si>
  <si>
    <t>$831.69M</t>
  </si>
  <si>
    <t>CVGI</t>
  </si>
  <si>
    <t>Commercial Vehicle Group, Inc.</t>
  </si>
  <si>
    <t>$214.38M</t>
  </si>
  <si>
    <t>COMM</t>
  </si>
  <si>
    <t>CommScope Holding Company, Inc.</t>
  </si>
  <si>
    <t>$6.21B</t>
  </si>
  <si>
    <t>JCS</t>
  </si>
  <si>
    <t>Communications Systems, Inc.</t>
  </si>
  <si>
    <t>$36.31M</t>
  </si>
  <si>
    <t>ESXB</t>
  </si>
  <si>
    <t>Community Bankers Trust Corporation.</t>
  </si>
  <si>
    <t>$186.21M</t>
  </si>
  <si>
    <t>CFBI</t>
  </si>
  <si>
    <t>Community First Bancshares, Inc.</t>
  </si>
  <si>
    <t>$99.13M</t>
  </si>
  <si>
    <t>CYHHZ</t>
  </si>
  <si>
    <t>Community Health Systems, Inc.</t>
  </si>
  <si>
    <t>CTBI</t>
  </si>
  <si>
    <t>Community Trust Bancorp, Inc.</t>
  </si>
  <si>
    <t>$759.12M</t>
  </si>
  <si>
    <t>CWBC</t>
  </si>
  <si>
    <t>Community West Bancshares</t>
  </si>
  <si>
    <t>$83.64M</t>
  </si>
  <si>
    <t>CVLT</t>
  </si>
  <si>
    <t>Commvault Systems, Inc.</t>
  </si>
  <si>
    <t>$2.69B</t>
  </si>
  <si>
    <t>CGEN</t>
  </si>
  <si>
    <t>Compugen Ltd.</t>
  </si>
  <si>
    <t>$176.4M</t>
  </si>
  <si>
    <t>CPSI</t>
  </si>
  <si>
    <t>Computer Programs and Systems, Inc.</t>
  </si>
  <si>
    <t>$421.62M</t>
  </si>
  <si>
    <t>CTG</t>
  </si>
  <si>
    <t>Computer Task Group, Incorporated</t>
  </si>
  <si>
    <t>$84.62M</t>
  </si>
  <si>
    <t>CHCI</t>
  </si>
  <si>
    <t>Comstock Holding Companies, Inc.</t>
  </si>
  <si>
    <t>$6.78M</t>
  </si>
  <si>
    <t>CMTL</t>
  </si>
  <si>
    <t>Comtech Telecommunications Corp.</t>
  </si>
  <si>
    <t>$427.56M</t>
  </si>
  <si>
    <t>CNAT</t>
  </si>
  <si>
    <t>Conatus Pharmaceuticals Inc.</t>
  </si>
  <si>
    <t>$165.63M</t>
  </si>
  <si>
    <t>CNCE</t>
  </si>
  <si>
    <t>Concert Pharmaceuticals, Inc.</t>
  </si>
  <si>
    <t>$320.84M</t>
  </si>
  <si>
    <t>CXRX</t>
  </si>
  <si>
    <t>Concordia International Corp.</t>
  </si>
  <si>
    <t>$72.62M</t>
  </si>
  <si>
    <t>CCUR</t>
  </si>
  <si>
    <t>Concurrent Computer Corporation</t>
  </si>
  <si>
    <t>$66.02M</t>
  </si>
  <si>
    <t>CDOR</t>
  </si>
  <si>
    <t>Condor Hospitality Trust, Inc.</t>
  </si>
  <si>
    <t>$121.09M</t>
  </si>
  <si>
    <t>CFMS</t>
  </si>
  <si>
    <t>ConforMIS, Inc.</t>
  </si>
  <si>
    <t>$157.48M</t>
  </si>
  <si>
    <t>CNFR</t>
  </si>
  <si>
    <t>Conifer Holdings, Inc.</t>
  </si>
  <si>
    <t>$52.67M</t>
  </si>
  <si>
    <t>CNMD</t>
  </si>
  <si>
    <t>CONMED Corporation</t>
  </si>
  <si>
    <t>CTWS</t>
  </si>
  <si>
    <t>Connecticut Water Service, Inc.</t>
  </si>
  <si>
    <t>$621.18M</t>
  </si>
  <si>
    <t>CNOB</t>
  </si>
  <si>
    <t>ConnectOne Bancorp, Inc.</t>
  </si>
  <si>
    <t>$729.95M</t>
  </si>
  <si>
    <t>CNXR</t>
  </si>
  <si>
    <t>Connecture, Inc.</t>
  </si>
  <si>
    <t>$14.48M</t>
  </si>
  <si>
    <t>CONN</t>
  </si>
  <si>
    <t>Conn&amp;#39;s, Inc.</t>
  </si>
  <si>
    <t>$691.61M</t>
  </si>
  <si>
    <t>CNSL</t>
  </si>
  <si>
    <t>Consolidated Communications Holdings, Inc.</t>
  </si>
  <si>
    <t>$1.37B</t>
  </si>
  <si>
    <t>CWCO</t>
  </si>
  <si>
    <t>Consolidated Water Co. Ltd.</t>
  </si>
  <si>
    <t>$190.59M</t>
  </si>
  <si>
    <t>CNACU</t>
  </si>
  <si>
    <t>Constellation Alpha Capital Corp.</t>
  </si>
  <si>
    <t>CPSS</t>
  </si>
  <si>
    <t>Consumer Portfolio Services, Inc.</t>
  </si>
  <si>
    <t>$88.43M</t>
  </si>
  <si>
    <t>CFRX</t>
  </si>
  <si>
    <t>ContraFect Corporation</t>
  </si>
  <si>
    <t>$92.07M</t>
  </si>
  <si>
    <t>CTRV</t>
  </si>
  <si>
    <t>ContraVir Pharmaceuticals Inc</t>
  </si>
  <si>
    <t>$43.53M</t>
  </si>
  <si>
    <t>CTRL</t>
  </si>
  <si>
    <t>Control4 Corporation</t>
  </si>
  <si>
    <t>$560.99M</t>
  </si>
  <si>
    <t>CPRT</t>
  </si>
  <si>
    <t>Copart, Inc.</t>
  </si>
  <si>
    <t>$7.07B</t>
  </si>
  <si>
    <t>CRBP</t>
  </si>
  <si>
    <t>Corbus Pharmaceuticals Holdings, Inc.</t>
  </si>
  <si>
    <t>$306.33M</t>
  </si>
  <si>
    <t>CORT</t>
  </si>
  <si>
    <t>Corcept Therapeutics Incorporated</t>
  </si>
  <si>
    <t>CORE</t>
  </si>
  <si>
    <t>Core-Mark Holding Company, Inc.</t>
  </si>
  <si>
    <t>CORI</t>
  </si>
  <si>
    <t>Corium International, Inc.</t>
  </si>
  <si>
    <t>$271.47M</t>
  </si>
  <si>
    <t>CSOD</t>
  </si>
  <si>
    <t>Cornerstone OnDemand, Inc.</t>
  </si>
  <si>
    <t>CRVL</t>
  </si>
  <si>
    <t>CorVel Corp.</t>
  </si>
  <si>
    <t>$919.97M</t>
  </si>
  <si>
    <t>CRVS</t>
  </si>
  <si>
    <t>Corvus Pharmaceuticals, Inc.</t>
  </si>
  <si>
    <t>$243.89M</t>
  </si>
  <si>
    <t>CSGP</t>
  </si>
  <si>
    <t>CoStar Group, Inc.</t>
  </si>
  <si>
    <t>$9.17B</t>
  </si>
  <si>
    <t>COST</t>
  </si>
  <si>
    <t>Costco Wholesale Corporation</t>
  </si>
  <si>
    <t>$69.19B</t>
  </si>
  <si>
    <t>Department/Specialty Retail Stores</t>
  </si>
  <si>
    <t>CPAH</t>
  </si>
  <si>
    <t>CounterPath Corporation</t>
  </si>
  <si>
    <t>$14.62M</t>
  </si>
  <si>
    <t>ICBK</t>
  </si>
  <si>
    <t>County Bancorp, Inc.</t>
  </si>
  <si>
    <t>$164.7M</t>
  </si>
  <si>
    <t>COUP</t>
  </si>
  <si>
    <t>Coupa Software Incorporated</t>
  </si>
  <si>
    <t>$1.64B</t>
  </si>
  <si>
    <t>CVTI</t>
  </si>
  <si>
    <t>Covenant Transportation Group, Inc.</t>
  </si>
  <si>
    <t>$346.45M</t>
  </si>
  <si>
    <t>COWN</t>
  </si>
  <si>
    <t>Cowen Inc.</t>
  </si>
  <si>
    <t>$497.6M</t>
  </si>
  <si>
    <t>COWNL</t>
  </si>
  <si>
    <t>PMTS</t>
  </si>
  <si>
    <t>CPI Card Group Inc.</t>
  </si>
  <si>
    <t>$63.93M</t>
  </si>
  <si>
    <t>CPSH</t>
  </si>
  <si>
    <t>CPS Technologies Corp.</t>
  </si>
  <si>
    <t>$16.51M</t>
  </si>
  <si>
    <t>CRAI</t>
  </si>
  <si>
    <t>CRA International,Inc.</t>
  </si>
  <si>
    <t>$306.18M</t>
  </si>
  <si>
    <t>CBRL</t>
  </si>
  <si>
    <t>Cracker Barrel Old Country Store, Inc.</t>
  </si>
  <si>
    <t>BREW</t>
  </si>
  <si>
    <t>Craft Brew Alliance, Inc.</t>
  </si>
  <si>
    <t>$351.15M</t>
  </si>
  <si>
    <t>CRAY</t>
  </si>
  <si>
    <t>Cray Inc</t>
  </si>
  <si>
    <t>$801.35M</t>
  </si>
  <si>
    <t>CACC</t>
  </si>
  <si>
    <t>Credit Acceptance Corporation</t>
  </si>
  <si>
    <t>$5.41B</t>
  </si>
  <si>
    <t>USOI</t>
  </si>
  <si>
    <t>Credit Suisse AG</t>
  </si>
  <si>
    <t>CREE</t>
  </si>
  <si>
    <t>Cree, Inc.</t>
  </si>
  <si>
    <t>$2.31B</t>
  </si>
  <si>
    <t>CRESY</t>
  </si>
  <si>
    <t>Cresud S.A.C.I.F. y A.</t>
  </si>
  <si>
    <t>$896.62M</t>
  </si>
  <si>
    <t>CRSP</t>
  </si>
  <si>
    <t>CRISPR Therapeutics AG</t>
  </si>
  <si>
    <t>$749.55M</t>
  </si>
  <si>
    <t>CRTO</t>
  </si>
  <si>
    <t>Criteo S.A.</t>
  </si>
  <si>
    <t>$3.2B</t>
  </si>
  <si>
    <t>CROX</t>
  </si>
  <si>
    <t>Crocs, Inc.</t>
  </si>
  <si>
    <t>$599.35M</t>
  </si>
  <si>
    <t>Shoe Manufacturing</t>
  </si>
  <si>
    <t>CCRN</t>
  </si>
  <si>
    <t>Cross Country Healthcare, Inc.</t>
  </si>
  <si>
    <t>$462.75M</t>
  </si>
  <si>
    <t>CRDS</t>
  </si>
  <si>
    <t>Crossroads Systems, Inc.</t>
  </si>
  <si>
    <t>$2.12M</t>
  </si>
  <si>
    <t>CRWS</t>
  </si>
  <si>
    <t>Crown Crafts, Inc.</t>
  </si>
  <si>
    <t>$55.32M</t>
  </si>
  <si>
    <t>Textiles</t>
  </si>
  <si>
    <t>CYRX</t>
  </si>
  <si>
    <t>CryoPort, Inc.</t>
  </si>
  <si>
    <t>$158.72M</t>
  </si>
  <si>
    <t>CYRXW</t>
  </si>
  <si>
    <t>CSGS</t>
  </si>
  <si>
    <t>CSG Systems International, Inc.</t>
  </si>
  <si>
    <t>CCLP</t>
  </si>
  <si>
    <t>CSI Compressco LP</t>
  </si>
  <si>
    <t>$170.41M</t>
  </si>
  <si>
    <t>Oilfield Services/Equipment</t>
  </si>
  <si>
    <t>CSPI</t>
  </si>
  <si>
    <t>CSP Inc.</t>
  </si>
  <si>
    <t>$40.94M</t>
  </si>
  <si>
    <t>CSWI</t>
  </si>
  <si>
    <t>CSW Industrials, Inc.</t>
  </si>
  <si>
    <t>$610.17M</t>
  </si>
  <si>
    <t>CSX</t>
  </si>
  <si>
    <t>CSX Corporation</t>
  </si>
  <si>
    <t>$45.79B</t>
  </si>
  <si>
    <t>CTIC</t>
  </si>
  <si>
    <t>CTI BioPharma Corp.</t>
  </si>
  <si>
    <t>$147.86M</t>
  </si>
  <si>
    <t>CTIB</t>
  </si>
  <si>
    <t>CTI Industries Corporation</t>
  </si>
  <si>
    <t>$17.98M</t>
  </si>
  <si>
    <t>CTRP</t>
  </si>
  <si>
    <t>Ctrip.com International, Ltd.</t>
  </si>
  <si>
    <t>$30B</t>
  </si>
  <si>
    <t>CUNB</t>
  </si>
  <si>
    <t>CU Bancorp (CA)</t>
  </si>
  <si>
    <t>$655.29M</t>
  </si>
  <si>
    <t>CUI</t>
  </si>
  <si>
    <t>CUI Global, Inc.</t>
  </si>
  <si>
    <t>$67.92M</t>
  </si>
  <si>
    <t>CPIX</t>
  </si>
  <si>
    <t>Cumberland Pharmaceuticals Inc.</t>
  </si>
  <si>
    <t>$109.67M</t>
  </si>
  <si>
    <t>CMLS</t>
  </si>
  <si>
    <t>Cumulus Media Inc.</t>
  </si>
  <si>
    <t>$12.46M</t>
  </si>
  <si>
    <t>CRIS</t>
  </si>
  <si>
    <t>Curis, Inc.</t>
  </si>
  <si>
    <t>$244.59M</t>
  </si>
  <si>
    <t>CUTR</t>
  </si>
  <si>
    <t>Cutera, Inc.</t>
  </si>
  <si>
    <t>$446.94M</t>
  </si>
  <si>
    <t>CVBF</t>
  </si>
  <si>
    <t>CVB Financial Corporation</t>
  </si>
  <si>
    <t>CVV</t>
  </si>
  <si>
    <t>CVD Equipment Corporation</t>
  </si>
  <si>
    <t>$68.59M</t>
  </si>
  <si>
    <t>CYAN</t>
  </si>
  <si>
    <t>Cyanotech Corporation</t>
  </si>
  <si>
    <t>$19.61M</t>
  </si>
  <si>
    <t>CYBR</t>
  </si>
  <si>
    <t>CyberArk Software Ltd.</t>
  </si>
  <si>
    <t>CYBE</t>
  </si>
  <si>
    <t>CyberOptics Corporation</t>
  </si>
  <si>
    <t>$109.01M</t>
  </si>
  <si>
    <t>CYCC</t>
  </si>
  <si>
    <t>Cyclacel Pharmaceuticals, Inc.</t>
  </si>
  <si>
    <t>$12.99M</t>
  </si>
  <si>
    <t>CYCCP</t>
  </si>
  <si>
    <t>$2.08M</t>
  </si>
  <si>
    <t>CBAY</t>
  </si>
  <si>
    <t>CymaBay Therapeutics Inc.</t>
  </si>
  <si>
    <t>$305.92M</t>
  </si>
  <si>
    <t>CY</t>
  </si>
  <si>
    <t>Cypress Semiconductor Corporation</t>
  </si>
  <si>
    <t>$4.66B</t>
  </si>
  <si>
    <t>CYRN</t>
  </si>
  <si>
    <t>CYREN Ltd.</t>
  </si>
  <si>
    <t>$52.9M</t>
  </si>
  <si>
    <t>CONE</t>
  </si>
  <si>
    <t>CyrusOne Inc</t>
  </si>
  <si>
    <t>$5.15B</t>
  </si>
  <si>
    <t>CYTK</t>
  </si>
  <si>
    <t>Cytokinetics, Incorporated</t>
  </si>
  <si>
    <t>$670.83M</t>
  </si>
  <si>
    <t>CTMX</t>
  </si>
  <si>
    <t>CytomX Therapeutics, Inc.</t>
  </si>
  <si>
    <t>$543.16M</t>
  </si>
  <si>
    <t>CYTX</t>
  </si>
  <si>
    <t>Cytori Therapeutics Inc</t>
  </si>
  <si>
    <t>$11.95M</t>
  </si>
  <si>
    <t>CYTXW</t>
  </si>
  <si>
    <t>CTSO</t>
  </si>
  <si>
    <t>Cytosorbents Corporation</t>
  </si>
  <si>
    <t>$139.14M</t>
  </si>
  <si>
    <t>CYTR</t>
  </si>
  <si>
    <t>CytRx Corporation</t>
  </si>
  <si>
    <t>$106.05M</t>
  </si>
  <si>
    <t>DJCO</t>
  </si>
  <si>
    <t>Daily Journal Corp. (S.C.)</t>
  </si>
  <si>
    <t>$282.21M</t>
  </si>
  <si>
    <t>Newspapers/Magazines</t>
  </si>
  <si>
    <t>DAKT</t>
  </si>
  <si>
    <t>Daktronics, Inc.</t>
  </si>
  <si>
    <t>$418.98M</t>
  </si>
  <si>
    <t>Miscellaneous manufacturing industries</t>
  </si>
  <si>
    <t>DARE</t>
  </si>
  <si>
    <t>Dare Bioscience, Inc.</t>
  </si>
  <si>
    <t>DRIO</t>
  </si>
  <si>
    <t>DarioHealth Corp.</t>
  </si>
  <si>
    <t>$20.98M</t>
  </si>
  <si>
    <t>DRIOW</t>
  </si>
  <si>
    <t>DZSI</t>
  </si>
  <si>
    <t>DASAN Zhone Solutions, Inc.</t>
  </si>
  <si>
    <t>$22.76M</t>
  </si>
  <si>
    <t>DSKE</t>
  </si>
  <si>
    <t>Daseke, Inc.</t>
  </si>
  <si>
    <t>$467.3M</t>
  </si>
  <si>
    <t>DSKEW</t>
  </si>
  <si>
    <t>DAIO</t>
  </si>
  <si>
    <t>Data I/O Corporation</t>
  </si>
  <si>
    <t>$63.66M</t>
  </si>
  <si>
    <t>DWCH</t>
  </si>
  <si>
    <t>Datawatch Corporation</t>
  </si>
  <si>
    <t>$125.04M</t>
  </si>
  <si>
    <t>PLAY</t>
  </si>
  <si>
    <t>Dave &amp; Buster&amp;#39;s Entertainment, Inc.</t>
  </si>
  <si>
    <t>DTEA</t>
  </si>
  <si>
    <t>DAVIDsTEA Inc.</t>
  </si>
  <si>
    <t>$145.51M</t>
  </si>
  <si>
    <t>Food Chains</t>
  </si>
  <si>
    <t>DFNL</t>
  </si>
  <si>
    <t>Davis Select Financial ETF</t>
  </si>
  <si>
    <t>DUSA</t>
  </si>
  <si>
    <t>Davis Select U.S. Equity ETF</t>
  </si>
  <si>
    <t>DWLD</t>
  </si>
  <si>
    <t>Davis Select Worldwide ETF</t>
  </si>
  <si>
    <t>DWSN</t>
  </si>
  <si>
    <t>Dawson Geophysical Company</t>
  </si>
  <si>
    <t>$89.19M</t>
  </si>
  <si>
    <t>DBVT</t>
  </si>
  <si>
    <t>DBV Technologies S.A.</t>
  </si>
  <si>
    <t>$2.2B</t>
  </si>
  <si>
    <t>DFRG</t>
  </si>
  <si>
    <t>Del Frisco&amp;#39;s Restaurant Group, Inc.</t>
  </si>
  <si>
    <t>$298.96M</t>
  </si>
  <si>
    <t>TACO</t>
  </si>
  <si>
    <t>Del Taco Restaurants, Inc.</t>
  </si>
  <si>
    <t>$493.63M</t>
  </si>
  <si>
    <t>TACOW</t>
  </si>
  <si>
    <t>DCTH</t>
  </si>
  <si>
    <t>Delcath Systems, Inc.</t>
  </si>
  <si>
    <t>$45.92M</t>
  </si>
  <si>
    <t>DMPI</t>
  </si>
  <si>
    <t>DelMar Pharmaceuticals, Inc.</t>
  </si>
  <si>
    <t>$23.15M</t>
  </si>
  <si>
    <t>DGAS</t>
  </si>
  <si>
    <t>Delta Natural Gas Company, Inc.</t>
  </si>
  <si>
    <t>$217.28M</t>
  </si>
  <si>
    <t>DELT</t>
  </si>
  <si>
    <t>Delta Technology Holdings Limited</t>
  </si>
  <si>
    <t>$10.97M</t>
  </si>
  <si>
    <t>DELTW</t>
  </si>
  <si>
    <t>DENN</t>
  </si>
  <si>
    <t>Denny&amp;#39;s Corporation</t>
  </si>
  <si>
    <t>$819.54M</t>
  </si>
  <si>
    <t>XRAY</t>
  </si>
  <si>
    <t>DENTSPLY SIRONA Inc.</t>
  </si>
  <si>
    <t>$14.08B</t>
  </si>
  <si>
    <t>DEPO</t>
  </si>
  <si>
    <t>Depomed, Inc.</t>
  </si>
  <si>
    <t>$386.9M</t>
  </si>
  <si>
    <t>DERM</t>
  </si>
  <si>
    <t>Dermira, Inc.</t>
  </si>
  <si>
    <t>$931.32M</t>
  </si>
  <si>
    <t>DEST</t>
  </si>
  <si>
    <t>Destination Maternity Corporation</t>
  </si>
  <si>
    <t>$19.3M</t>
  </si>
  <si>
    <t>DXLG</t>
  </si>
  <si>
    <t>Destination XL Group, Inc.</t>
  </si>
  <si>
    <t>$91.14M</t>
  </si>
  <si>
    <t>DSWL</t>
  </si>
  <si>
    <t>Deswell Industries, Inc.</t>
  </si>
  <si>
    <t>$39.4M</t>
  </si>
  <si>
    <t>Plastic Products</t>
  </si>
  <si>
    <t>DTRM</t>
  </si>
  <si>
    <t xml:space="preserve">Determine, Inc. </t>
  </si>
  <si>
    <t>$29.06M</t>
  </si>
  <si>
    <t>DXCM</t>
  </si>
  <si>
    <t>DexCom, Inc.</t>
  </si>
  <si>
    <t>$6.17B</t>
  </si>
  <si>
    <t>DXTR</t>
  </si>
  <si>
    <t>Dextera Surgical Inc.</t>
  </si>
  <si>
    <t>$4.14M</t>
  </si>
  <si>
    <t>DHXM</t>
  </si>
  <si>
    <t>DHX Media Ltd.</t>
  </si>
  <si>
    <t>$169.4M</t>
  </si>
  <si>
    <t>DHIL</t>
  </si>
  <si>
    <t>Diamond Hill Investment Group, Inc.</t>
  </si>
  <si>
    <t>$679.03M</t>
  </si>
  <si>
    <t>Investment Managers</t>
  </si>
  <si>
    <t>FANG</t>
  </si>
  <si>
    <t>Diamondback Energy, Inc.</t>
  </si>
  <si>
    <t>$9.32B</t>
  </si>
  <si>
    <t>DCIX</t>
  </si>
  <si>
    <t>Diana Containerships Inc.</t>
  </si>
  <si>
    <t>DRNA</t>
  </si>
  <si>
    <t>Dicerna Pharmaceuticals, Inc.</t>
  </si>
  <si>
    <t>$148.18M</t>
  </si>
  <si>
    <t>DFBG</t>
  </si>
  <si>
    <t>Differential Brands Group Inc.</t>
  </si>
  <si>
    <t>$26M</t>
  </si>
  <si>
    <t>DFFN</t>
  </si>
  <si>
    <t>Diffusion Pharmaceuticals Inc.</t>
  </si>
  <si>
    <t>$17.59M</t>
  </si>
  <si>
    <t>DGII</t>
  </si>
  <si>
    <t>Digi International Inc.</t>
  </si>
  <si>
    <t>$248.15M</t>
  </si>
  <si>
    <t>DGLT</t>
  </si>
  <si>
    <t>Digiliti Money Group, Inc.</t>
  </si>
  <si>
    <t>$3.65M</t>
  </si>
  <si>
    <t>DMRC</t>
  </si>
  <si>
    <t>Digimarc Corporation</t>
  </si>
  <si>
    <t>$338.02M</t>
  </si>
  <si>
    <t>DRAD</t>
  </si>
  <si>
    <t>Digirad Corporation</t>
  </si>
  <si>
    <t>$74.92M</t>
  </si>
  <si>
    <t>DGLY</t>
  </si>
  <si>
    <t>Digital Ally, Inc.</t>
  </si>
  <si>
    <t>$19.03M</t>
  </si>
  <si>
    <t>APPS</t>
  </si>
  <si>
    <t>Digital Turbine, Inc.</t>
  </si>
  <si>
    <t>$74.64M</t>
  </si>
  <si>
    <t>DCOM</t>
  </si>
  <si>
    <t>Dime Community Bancshares, Inc.</t>
  </si>
  <si>
    <t>$753.51M</t>
  </si>
  <si>
    <t>DMTX</t>
  </si>
  <si>
    <t>Dimension Therapeutics, Inc.</t>
  </si>
  <si>
    <t>$31.3M</t>
  </si>
  <si>
    <t>DIOD</t>
  </si>
  <si>
    <t>Diodes Incorporated</t>
  </si>
  <si>
    <t>DISCA</t>
  </si>
  <si>
    <t>Discovery Communications, Inc.</t>
  </si>
  <si>
    <t>$9.21B</t>
  </si>
  <si>
    <t>DISCB</t>
  </si>
  <si>
    <t>$10.02B</t>
  </si>
  <si>
    <t>DISCK</t>
  </si>
  <si>
    <t>$8.72B</t>
  </si>
  <si>
    <t>DISH</t>
  </si>
  <si>
    <t>DISH Network Corporation</t>
  </si>
  <si>
    <t>$27.83B</t>
  </si>
  <si>
    <t>DVCR</t>
  </si>
  <si>
    <t>Diversicare Healthcare Services Inc.</t>
  </si>
  <si>
    <t>$60.07M</t>
  </si>
  <si>
    <t>SAUC</t>
  </si>
  <si>
    <t>Diversified Restaurant Holdings, Inc.</t>
  </si>
  <si>
    <t>$55.48M</t>
  </si>
  <si>
    <t>DLHC</t>
  </si>
  <si>
    <t>DLH Holdings Corp.</t>
  </si>
  <si>
    <t>$64.13M</t>
  </si>
  <si>
    <t>BOOM</t>
  </si>
  <si>
    <t>DMC Global Inc.</t>
  </si>
  <si>
    <t>$203.1M</t>
  </si>
  <si>
    <t>DNBF</t>
  </si>
  <si>
    <t>DNB Financial Corp</t>
  </si>
  <si>
    <t>$136.68M</t>
  </si>
  <si>
    <t>DLTR</t>
  </si>
  <si>
    <t>Dollar Tree, Inc.</t>
  </si>
  <si>
    <t>$17.93B</t>
  </si>
  <si>
    <t>DGICA</t>
  </si>
  <si>
    <t>Donegal Group, Inc.</t>
  </si>
  <si>
    <t>$409.36M</t>
  </si>
  <si>
    <t>DGICB</t>
  </si>
  <si>
    <t>$383.43M</t>
  </si>
  <si>
    <t>DMLP</t>
  </si>
  <si>
    <t>Dorchester Minerals, L.P.</t>
  </si>
  <si>
    <t>$475.32M</t>
  </si>
  <si>
    <t>DORM</t>
  </si>
  <si>
    <t>Dorman Products, Inc.</t>
  </si>
  <si>
    <t>$2.6B</t>
  </si>
  <si>
    <t>EAGL</t>
  </si>
  <si>
    <t>Double Eagle Acquisition Corp.</t>
  </si>
  <si>
    <t>$628.13M</t>
  </si>
  <si>
    <t>EAGLU</t>
  </si>
  <si>
    <t>EAGLW</t>
  </si>
  <si>
    <t>DOVA</t>
  </si>
  <si>
    <t>Dova Pharmaceuticals, Inc.</t>
  </si>
  <si>
    <t>$458.57M</t>
  </si>
  <si>
    <t>DRYS</t>
  </si>
  <si>
    <t>DryShips Inc.</t>
  </si>
  <si>
    <t>$45.11M</t>
  </si>
  <si>
    <t>DSPG</t>
  </si>
  <si>
    <t>DSP Group, Inc.</t>
  </si>
  <si>
    <t>$260.49M</t>
  </si>
  <si>
    <t>DLTH</t>
  </si>
  <si>
    <t>Duluth Holdings Inc.</t>
  </si>
  <si>
    <t>$623.77M</t>
  </si>
  <si>
    <t>DNKN</t>
  </si>
  <si>
    <t>Dunkin&amp;#39; Brands Group, Inc.</t>
  </si>
  <si>
    <t>$4.84B</t>
  </si>
  <si>
    <t>DRRX</t>
  </si>
  <si>
    <t>DURECT Corporation</t>
  </si>
  <si>
    <t>$248.44M</t>
  </si>
  <si>
    <t>DXPE</t>
  </si>
  <si>
    <t>DXP Enterprises, Inc.</t>
  </si>
  <si>
    <t>$494.73M</t>
  </si>
  <si>
    <t>DYSL</t>
  </si>
  <si>
    <t>Dynasil Corporation of America</t>
  </si>
  <si>
    <t>$19.94M</t>
  </si>
  <si>
    <t>DYNT</t>
  </si>
  <si>
    <t>Dynatronics Corporation</t>
  </si>
  <si>
    <t>$12.08M</t>
  </si>
  <si>
    <t>DVAX</t>
  </si>
  <si>
    <t>Dynavax Technologies Corporation</t>
  </si>
  <si>
    <t>ETFC</t>
  </si>
  <si>
    <t>E*TRADE Financial Corporation</t>
  </si>
  <si>
    <t>$11.33B</t>
  </si>
  <si>
    <t>EBMT</t>
  </si>
  <si>
    <t>Eagle Bancorp Montana, Inc.</t>
  </si>
  <si>
    <t>$69.37M</t>
  </si>
  <si>
    <t>EGBN</t>
  </si>
  <si>
    <t>Eagle Bancorp, Inc.</t>
  </si>
  <si>
    <t>$2.15B</t>
  </si>
  <si>
    <t>EGLE</t>
  </si>
  <si>
    <t>Eagle Bulk Shipping Inc.</t>
  </si>
  <si>
    <t>$335.69M</t>
  </si>
  <si>
    <t>EFBI</t>
  </si>
  <si>
    <t>Eagle Financial Bancorp, Inc.</t>
  </si>
  <si>
    <t>$34.05M</t>
  </si>
  <si>
    <t>EGRX</t>
  </si>
  <si>
    <t>Eagle Pharmaceuticals, Inc.</t>
  </si>
  <si>
    <t>$715.5M</t>
  </si>
  <si>
    <t>EWBC</t>
  </si>
  <si>
    <t>East West Bancorp, Inc.</t>
  </si>
  <si>
    <t>$8.35B</t>
  </si>
  <si>
    <t>EACQ</t>
  </si>
  <si>
    <t>Easterly Acquisition Corp.</t>
  </si>
  <si>
    <t>$249.38M</t>
  </si>
  <si>
    <t>Building Products</t>
  </si>
  <si>
    <t>EACQU</t>
  </si>
  <si>
    <t>EACQW</t>
  </si>
  <si>
    <t>EML</t>
  </si>
  <si>
    <t>Eastern Company (The)</t>
  </si>
  <si>
    <t>$176.48M</t>
  </si>
  <si>
    <t>EVGBC</t>
  </si>
  <si>
    <t>Eaton Vance NextShares Trust</t>
  </si>
  <si>
    <t>EVSTC</t>
  </si>
  <si>
    <t>EVLMC</t>
  </si>
  <si>
    <t>Eaton Vance NextShares Trust II</t>
  </si>
  <si>
    <t>EBAY</t>
  </si>
  <si>
    <t>eBay Inc.</t>
  </si>
  <si>
    <t>$38.92B</t>
  </si>
  <si>
    <t>EBAYL</t>
  </si>
  <si>
    <t>EBIX</t>
  </si>
  <si>
    <t>Ebix, Inc.</t>
  </si>
  <si>
    <t>ELON</t>
  </si>
  <si>
    <t>Echelon Corporation</t>
  </si>
  <si>
    <t>$22.74M</t>
  </si>
  <si>
    <t>ECHO</t>
  </si>
  <si>
    <t>Echo Global Logistics, Inc.</t>
  </si>
  <si>
    <t>$423.03M</t>
  </si>
  <si>
    <t>SATS</t>
  </si>
  <si>
    <t>EchoStar Corporation</t>
  </si>
  <si>
    <t>$5.74B</t>
  </si>
  <si>
    <t>EEI</t>
  </si>
  <si>
    <t>Ecology and Environment, Inc.</t>
  </si>
  <si>
    <t>$49.81M</t>
  </si>
  <si>
    <t>ESES</t>
  </si>
  <si>
    <t>Eco-Stim Energy Solutions, Inc.</t>
  </si>
  <si>
    <t>$84.37M</t>
  </si>
  <si>
    <t>EDAP</t>
  </si>
  <si>
    <t>EDAP TMS S.A.</t>
  </si>
  <si>
    <t>$82.02M</t>
  </si>
  <si>
    <t>EDGE</t>
  </si>
  <si>
    <t>Edge Therapeutics, Inc.</t>
  </si>
  <si>
    <t>$355.1M</t>
  </si>
  <si>
    <t>EDGW</t>
  </si>
  <si>
    <t>Edgewater Technology, Inc.</t>
  </si>
  <si>
    <t>$97.86M</t>
  </si>
  <si>
    <t>EDIT</t>
  </si>
  <si>
    <t>Editas Medicine, Inc.</t>
  </si>
  <si>
    <t>$779.98M</t>
  </si>
  <si>
    <t>EDUC</t>
  </si>
  <si>
    <t>Educational Development Corporation</t>
  </si>
  <si>
    <t>$43.57M</t>
  </si>
  <si>
    <t>EGAN</t>
  </si>
  <si>
    <t>eGain Corporation</t>
  </si>
  <si>
    <t>$47.43M</t>
  </si>
  <si>
    <t>EGLT</t>
  </si>
  <si>
    <t>Egalet Corporation</t>
  </si>
  <si>
    <t>$49.88M</t>
  </si>
  <si>
    <t>EHTH</t>
  </si>
  <si>
    <t>eHealth, Inc.</t>
  </si>
  <si>
    <t>$327.52M</t>
  </si>
  <si>
    <t>EIGR</t>
  </si>
  <si>
    <t>Eiger BioPharmaceuticals, Inc.</t>
  </si>
  <si>
    <t>$68.61M</t>
  </si>
  <si>
    <t>EKSO</t>
  </si>
  <si>
    <t>Ekso Bionics Holdings, Inc.</t>
  </si>
  <si>
    <t>$48.71M</t>
  </si>
  <si>
    <t>LOCO</t>
  </si>
  <si>
    <t>El Pollo Loco Holdings, Inc.</t>
  </si>
  <si>
    <t>$463.53M</t>
  </si>
  <si>
    <t>EMITF</t>
  </si>
  <si>
    <t>Elbit Imaging Ltd.</t>
  </si>
  <si>
    <t>$26.65M</t>
  </si>
  <si>
    <t>Building operators</t>
  </si>
  <si>
    <t>ESLT</t>
  </si>
  <si>
    <t>Elbit Systems Ltd.</t>
  </si>
  <si>
    <t>$5.61B</t>
  </si>
  <si>
    <t>ERI</t>
  </si>
  <si>
    <t>Eldorado Resorts, Inc.</t>
  </si>
  <si>
    <t>$1.51B</t>
  </si>
  <si>
    <t>ESIO</t>
  </si>
  <si>
    <t>Electro Scientific Industries, Inc.</t>
  </si>
  <si>
    <t>$346.26M</t>
  </si>
  <si>
    <t>EA</t>
  </si>
  <si>
    <t>Electronic Arts Inc.</t>
  </si>
  <si>
    <t>$36.07B</t>
  </si>
  <si>
    <t>EFII</t>
  </si>
  <si>
    <t>Electronics for Imaging, Inc.</t>
  </si>
  <si>
    <t>$1.43B</t>
  </si>
  <si>
    <t>ELSE</t>
  </si>
  <si>
    <t>Electro-Sensors, Inc.</t>
  </si>
  <si>
    <t>$10.53M</t>
  </si>
  <si>
    <t>ELEC</t>
  </si>
  <si>
    <t>Electrum Special Acquisition Corporation</t>
  </si>
  <si>
    <t>$221.44M</t>
  </si>
  <si>
    <t>ELECU</t>
  </si>
  <si>
    <t>$230.22M</t>
  </si>
  <si>
    <t>ELECW</t>
  </si>
  <si>
    <t>EBIO</t>
  </si>
  <si>
    <t>Eleven Biotherapeutics, Inc.</t>
  </si>
  <si>
    <t>$34.83M</t>
  </si>
  <si>
    <t>DWAC</t>
  </si>
  <si>
    <t>Elkhorn Commodity Rotation Strategy ETF</t>
  </si>
  <si>
    <t>$2.37M</t>
  </si>
  <si>
    <t>ESBK</t>
  </si>
  <si>
    <t>Elmira Savings Bank NY (The)</t>
  </si>
  <si>
    <t>$54.1M</t>
  </si>
  <si>
    <t>ELTK</t>
  </si>
  <si>
    <t>Eltek Ltd.</t>
  </si>
  <si>
    <t>$7.1M</t>
  </si>
  <si>
    <t>EMCI</t>
  </si>
  <si>
    <t>EMC Insurance Group Inc.</t>
  </si>
  <si>
    <t>$589.94M</t>
  </si>
  <si>
    <t>EMCF</t>
  </si>
  <si>
    <t>Emclaire Financial Corp</t>
  </si>
  <si>
    <t>$63.83M</t>
  </si>
  <si>
    <t>EMKR</t>
  </si>
  <si>
    <t>EMCORE Corporation</t>
  </si>
  <si>
    <t>$258.04M</t>
  </si>
  <si>
    <t>EMMS</t>
  </si>
  <si>
    <t>Emmis Communications Corporation</t>
  </si>
  <si>
    <t>$34.06M</t>
  </si>
  <si>
    <t>NYNY</t>
  </si>
  <si>
    <t>Empire Resorts, Inc.</t>
  </si>
  <si>
    <t>$727.98M</t>
  </si>
  <si>
    <t>ENTA</t>
  </si>
  <si>
    <t>Enanta Pharmaceuticals, Inc.</t>
  </si>
  <si>
    <t>$748.65M</t>
  </si>
  <si>
    <t>ECPG</t>
  </si>
  <si>
    <t>Encore Capital Group Inc</t>
  </si>
  <si>
    <t>$1.11B</t>
  </si>
  <si>
    <t>WIRE</t>
  </si>
  <si>
    <t>Encore Wire Corporation</t>
  </si>
  <si>
    <t>$834.43M</t>
  </si>
  <si>
    <t>ENDP</t>
  </si>
  <si>
    <t>Endo International plc</t>
  </si>
  <si>
    <t>ECYT</t>
  </si>
  <si>
    <t>Endocyte, Inc.</t>
  </si>
  <si>
    <t>$60.31M</t>
  </si>
  <si>
    <t>ELGX</t>
  </si>
  <si>
    <t>Endologix, Inc.</t>
  </si>
  <si>
    <t>$359.6M</t>
  </si>
  <si>
    <t>NDRA</t>
  </si>
  <si>
    <t>ENDRA Life Sciences Inc.</t>
  </si>
  <si>
    <t>NDRAW</t>
  </si>
  <si>
    <t>EIGI</t>
  </si>
  <si>
    <t>Endurance International Group Holdings, Inc.</t>
  </si>
  <si>
    <t>WATT</t>
  </si>
  <si>
    <t>Energous Corporation</t>
  </si>
  <si>
    <t>$313.08M</t>
  </si>
  <si>
    <t>EFOI</t>
  </si>
  <si>
    <t>Energy Focus, Inc.</t>
  </si>
  <si>
    <t>$21.44M</t>
  </si>
  <si>
    <t>ERII</t>
  </si>
  <si>
    <t>Energy Recovery, Inc.</t>
  </si>
  <si>
    <t>$352M</t>
  </si>
  <si>
    <t>EXXI</t>
  </si>
  <si>
    <t>Energy XXI Gulf Coast, Inc.</t>
  </si>
  <si>
    <t>$637.99M</t>
  </si>
  <si>
    <t>ENG</t>
  </si>
  <si>
    <t>ENGlobal Corporation</t>
  </si>
  <si>
    <t>$33.38M</t>
  </si>
  <si>
    <t>ENPH</t>
  </si>
  <si>
    <t>Enphase Energy, Inc.</t>
  </si>
  <si>
    <t>$75.01M</t>
  </si>
  <si>
    <t>ESGR</t>
  </si>
  <si>
    <t>Enstar Group Limited</t>
  </si>
  <si>
    <t>$3.95B</t>
  </si>
  <si>
    <t>ENFC</t>
  </si>
  <si>
    <t>Entegra Financial Corp.</t>
  </si>
  <si>
    <t>$149.52M</t>
  </si>
  <si>
    <t>ENTG</t>
  </si>
  <si>
    <t>Entegris, Inc.</t>
  </si>
  <si>
    <t>$3.52B</t>
  </si>
  <si>
    <t>ENTL</t>
  </si>
  <si>
    <t>Entellus Medical, Inc.</t>
  </si>
  <si>
    <t>$435.88M</t>
  </si>
  <si>
    <t>ETRM</t>
  </si>
  <si>
    <t>EnteroMedics Inc.</t>
  </si>
  <si>
    <t>$29.42M</t>
  </si>
  <si>
    <t>EBTC</t>
  </si>
  <si>
    <t>Enterprise Bancorp Inc</t>
  </si>
  <si>
    <t>$379.44M</t>
  </si>
  <si>
    <t>EFSC</t>
  </si>
  <si>
    <t>Enterprise Financial Services Corporation</t>
  </si>
  <si>
    <t>$929.13M</t>
  </si>
  <si>
    <t xml:space="preserve">ENZY          </t>
  </si>
  <si>
    <t>Enzymotec Ltd.</t>
  </si>
  <si>
    <t>$227.15M</t>
  </si>
  <si>
    <t>EPZM</t>
  </si>
  <si>
    <t>Epizyme, Inc.</t>
  </si>
  <si>
    <t>$787.84M</t>
  </si>
  <si>
    <t>PLUS</t>
  </si>
  <si>
    <t>ePlus inc.</t>
  </si>
  <si>
    <t>Retail: Computer Software &amp; Peripheral Equipment</t>
  </si>
  <si>
    <t>EQIX</t>
  </si>
  <si>
    <t>Equinix, Inc.</t>
  </si>
  <si>
    <t>$34.42B</t>
  </si>
  <si>
    <t>EQFN</t>
  </si>
  <si>
    <t>Equitable Financial Corp.</t>
  </si>
  <si>
    <t>$34.49M</t>
  </si>
  <si>
    <t>EQBK</t>
  </si>
  <si>
    <t>Equity Bancshares, Inc.</t>
  </si>
  <si>
    <t>$421M</t>
  </si>
  <si>
    <t>ERIC</t>
  </si>
  <si>
    <t>Ericsson</t>
  </si>
  <si>
    <t>$20.18B</t>
  </si>
  <si>
    <t>ERIE</t>
  </si>
  <si>
    <t>Erie Indemnity Company</t>
  </si>
  <si>
    <t>$6.48B</t>
  </si>
  <si>
    <t>ESCA</t>
  </si>
  <si>
    <t>Escalade, Incorporated</t>
  </si>
  <si>
    <t>$178.12M</t>
  </si>
  <si>
    <t>ESPR</t>
  </si>
  <si>
    <t>Esperion Therapeutics, Inc.</t>
  </si>
  <si>
    <t>ESQ</t>
  </si>
  <si>
    <t>Esquire Financial Holdings, Inc.</t>
  </si>
  <si>
    <t>$109.26M</t>
  </si>
  <si>
    <t>ESSA</t>
  </si>
  <si>
    <t>ESSA Bancorp, Inc.</t>
  </si>
  <si>
    <t>$170.55M</t>
  </si>
  <si>
    <t>EPIX</t>
  </si>
  <si>
    <t>ESSA Pharma Inc.</t>
  </si>
  <si>
    <t>$10.04M</t>
  </si>
  <si>
    <t>ESND</t>
  </si>
  <si>
    <t>Essendant Inc.</t>
  </si>
  <si>
    <t>$460.11M</t>
  </si>
  <si>
    <t>Paper</t>
  </si>
  <si>
    <t>ETSY</t>
  </si>
  <si>
    <t>Etsy, Inc.</t>
  </si>
  <si>
    <t>$1.82B</t>
  </si>
  <si>
    <t>CLWT</t>
  </si>
  <si>
    <t>Euro Tech Holdings Company Limited</t>
  </si>
  <si>
    <t>$6.8M</t>
  </si>
  <si>
    <t>Diversified Electronic Products</t>
  </si>
  <si>
    <t>EEFT</t>
  </si>
  <si>
    <t>Euronet Worldwide, Inc.</t>
  </si>
  <si>
    <t>$5.05B</t>
  </si>
  <si>
    <t>ESEA</t>
  </si>
  <si>
    <t>Euroseas Ltd.</t>
  </si>
  <si>
    <t>$14.31M</t>
  </si>
  <si>
    <t>EVEP</t>
  </si>
  <si>
    <t>EV Energy Partners, L.P.</t>
  </si>
  <si>
    <t>$26.66M</t>
  </si>
  <si>
    <t>EVBG</t>
  </si>
  <si>
    <t>Everbridge, Inc.</t>
  </si>
  <si>
    <t>$621.62M</t>
  </si>
  <si>
    <t>EVK</t>
  </si>
  <si>
    <t>Ever-Glory International Group, Inc.</t>
  </si>
  <si>
    <t>$36.98M</t>
  </si>
  <si>
    <t>MRAM</t>
  </si>
  <si>
    <t>Everspin Technologies, Inc.</t>
  </si>
  <si>
    <t>$233.18M</t>
  </si>
  <si>
    <t>EVLV</t>
  </si>
  <si>
    <t>EVINE Live Inc.</t>
  </si>
  <si>
    <t>$67.58M</t>
  </si>
  <si>
    <t>EVGN</t>
  </si>
  <si>
    <t>Evogene Ltd.</t>
  </si>
  <si>
    <t>$120.89M</t>
  </si>
  <si>
    <t>EVOK</t>
  </si>
  <si>
    <t>Evoke Pharma, Inc.</t>
  </si>
  <si>
    <t>$35.55M</t>
  </si>
  <si>
    <t>EVOL</t>
  </si>
  <si>
    <t>Evolving Systems, Inc.</t>
  </si>
  <si>
    <t>$57.7M</t>
  </si>
  <si>
    <t>EXA</t>
  </si>
  <si>
    <t>Exa Corporation</t>
  </si>
  <si>
    <t>$208.19M</t>
  </si>
  <si>
    <t>EXAS</t>
  </si>
  <si>
    <t>Exact Sciences Corporation</t>
  </si>
  <si>
    <t>$4.56B</t>
  </si>
  <si>
    <t>EXAC</t>
  </si>
  <si>
    <t>Exactech, Inc.</t>
  </si>
  <si>
    <t>$407.18M</t>
  </si>
  <si>
    <t>XELA</t>
  </si>
  <si>
    <t>Exela Technologies, Inc.</t>
  </si>
  <si>
    <t>$935.82M</t>
  </si>
  <si>
    <t>XELAU</t>
  </si>
  <si>
    <t>XELAW</t>
  </si>
  <si>
    <t>EXEL</t>
  </si>
  <si>
    <t>Exelixis, Inc.</t>
  </si>
  <si>
    <t>$7.99B</t>
  </si>
  <si>
    <t>EXFO</t>
  </si>
  <si>
    <t>EXFO Inc</t>
  </si>
  <si>
    <t>$99.19M</t>
  </si>
  <si>
    <t>EXLS</t>
  </si>
  <si>
    <t>ExlService Holdings, Inc.</t>
  </si>
  <si>
    <t>$1.91B</t>
  </si>
  <si>
    <t>EXPE</t>
  </si>
  <si>
    <t>Expedia, Inc.</t>
  </si>
  <si>
    <t>$22.13B</t>
  </si>
  <si>
    <t>EXPD</t>
  </si>
  <si>
    <t>Expeditors International of Washington, Inc.</t>
  </si>
  <si>
    <t>$10.07B</t>
  </si>
  <si>
    <t>EXPO</t>
  </si>
  <si>
    <t>Exponent, Inc.</t>
  </si>
  <si>
    <t>$1.73B</t>
  </si>
  <si>
    <t>ESRX</t>
  </si>
  <si>
    <t>Express Scripts Holding Company</t>
  </si>
  <si>
    <t>$35.95B</t>
  </si>
  <si>
    <t>XOG</t>
  </si>
  <si>
    <t>Extraction Oil &amp; Gas, Inc.</t>
  </si>
  <si>
    <t>EXTR</t>
  </si>
  <si>
    <t>Extreme Networks, Inc.</t>
  </si>
  <si>
    <t>$997.01M</t>
  </si>
  <si>
    <t>EYEG</t>
  </si>
  <si>
    <t>Eyegate Pharmaceuticals, Inc.</t>
  </si>
  <si>
    <t>$19.1M</t>
  </si>
  <si>
    <t>EYEGW</t>
  </si>
  <si>
    <t>EZPW</t>
  </si>
  <si>
    <t>EZCORP, Inc.</t>
  </si>
  <si>
    <t>$491.39M</t>
  </si>
  <si>
    <t>FFIV</t>
  </si>
  <si>
    <t>F5 Networks, Inc.</t>
  </si>
  <si>
    <t>$7.54B</t>
  </si>
  <si>
    <t>FB</t>
  </si>
  <si>
    <t>Facebook, Inc.</t>
  </si>
  <si>
    <t>$497.29B</t>
  </si>
  <si>
    <t>FALC</t>
  </si>
  <si>
    <t>FalconStor Software, Inc.</t>
  </si>
  <si>
    <t>$9.1M</t>
  </si>
  <si>
    <t>DAVE</t>
  </si>
  <si>
    <t>Famous Dave&amp;#39;s of America, Inc.</t>
  </si>
  <si>
    <t>$24M</t>
  </si>
  <si>
    <t>FANH</t>
  </si>
  <si>
    <t>Fanhua Inc.</t>
  </si>
  <si>
    <t>$552.61M</t>
  </si>
  <si>
    <t>FARM</t>
  </si>
  <si>
    <t>Farmer Brothers Company</t>
  </si>
  <si>
    <t>$519.66M</t>
  </si>
  <si>
    <t>FMAO</t>
  </si>
  <si>
    <t>Farmers &amp; Merchants Bancorp, Inc.</t>
  </si>
  <si>
    <t>$274.37M</t>
  </si>
  <si>
    <t>FFKT</t>
  </si>
  <si>
    <t>Farmers Capital Bank Corporation</t>
  </si>
  <si>
    <t>$284.03M</t>
  </si>
  <si>
    <t>FMNB</t>
  </si>
  <si>
    <t>Farmers National Banc Corp.</t>
  </si>
  <si>
    <t>$372.17M</t>
  </si>
  <si>
    <t>FARO</t>
  </si>
  <si>
    <t>FARO Technologies, Inc.</t>
  </si>
  <si>
    <t>$573.92M</t>
  </si>
  <si>
    <t>FAST</t>
  </si>
  <si>
    <t>Fastenal Company</t>
  </si>
  <si>
    <t>$12.24B</t>
  </si>
  <si>
    <t>FATE</t>
  </si>
  <si>
    <t>Fate Therapeutics, Inc.</t>
  </si>
  <si>
    <t>$119.24M</t>
  </si>
  <si>
    <t>FBSS</t>
  </si>
  <si>
    <t>Fauquier Bankshares, Inc.</t>
  </si>
  <si>
    <t>$71.39M</t>
  </si>
  <si>
    <t>FSACU</t>
  </si>
  <si>
    <t>Federal Street Acquisition Corp.</t>
  </si>
  <si>
    <t>FNHC</t>
  </si>
  <si>
    <t>Federated National Holding Company</t>
  </si>
  <si>
    <t>$227.31M</t>
  </si>
  <si>
    <t>GSM</t>
  </si>
  <si>
    <t>Ferroglobe PLC</t>
  </si>
  <si>
    <t>FCSC</t>
  </si>
  <si>
    <t>Fibrocell Science Inc</t>
  </si>
  <si>
    <t>$49.23M</t>
  </si>
  <si>
    <t>FGEN</t>
  </si>
  <si>
    <t>FibroGen, Inc</t>
  </si>
  <si>
    <t>$3.46B</t>
  </si>
  <si>
    <t>ONEQ</t>
  </si>
  <si>
    <t>Fidelity Nasdaq Composite Index Tracking Stock</t>
  </si>
  <si>
    <t>LION</t>
  </si>
  <si>
    <t>Fidelity Southern Corporation</t>
  </si>
  <si>
    <t>$580.31M</t>
  </si>
  <si>
    <t>FDUS</t>
  </si>
  <si>
    <t>Fidus Investment Corporation</t>
  </si>
  <si>
    <t>$408.09M</t>
  </si>
  <si>
    <t>FRGI</t>
  </si>
  <si>
    <t>Fiesta Restaurant Group, Inc.</t>
  </si>
  <si>
    <t>$500.68M</t>
  </si>
  <si>
    <t>FSAM</t>
  </si>
  <si>
    <t>Fifth Street Asset Management Inc.</t>
  </si>
  <si>
    <t>$204.43M</t>
  </si>
  <si>
    <t>FSC</t>
  </si>
  <si>
    <t>Fifth Street Finance Corp.</t>
  </si>
  <si>
    <t>$737.22M</t>
  </si>
  <si>
    <t>FSCFL</t>
  </si>
  <si>
    <t>FSFR</t>
  </si>
  <si>
    <t>Fifth Street Senior Floating Rate Corp.</t>
  </si>
  <si>
    <t>$244.87M</t>
  </si>
  <si>
    <t>FITB</t>
  </si>
  <si>
    <t>Fifth Third Bancorp</t>
  </si>
  <si>
    <t>$20.28B</t>
  </si>
  <si>
    <t>FITBI</t>
  </si>
  <si>
    <t>$533.16M</t>
  </si>
  <si>
    <t>FNGN</t>
  </si>
  <si>
    <t>Financial Engines, Inc.</t>
  </si>
  <si>
    <t>$2.4B</t>
  </si>
  <si>
    <t>FISI</t>
  </si>
  <si>
    <t>Financial Institutions, Inc.</t>
  </si>
  <si>
    <t>$422.08M</t>
  </si>
  <si>
    <t>FNSR</t>
  </si>
  <si>
    <t>Finisar Corporation</t>
  </si>
  <si>
    <t>$2.89B</t>
  </si>
  <si>
    <t>FNJN</t>
  </si>
  <si>
    <t>Finjan Holdings, Inc.</t>
  </si>
  <si>
    <t>$70.78M</t>
  </si>
  <si>
    <t>FNTE</t>
  </si>
  <si>
    <t>FinTech Acquisition Corp. II</t>
  </si>
  <si>
    <t>$233.2M</t>
  </si>
  <si>
    <t>FNTEU</t>
  </si>
  <si>
    <t>FNTEW</t>
  </si>
  <si>
    <t>FEYE</t>
  </si>
  <si>
    <t>FireEye, Inc.</t>
  </si>
  <si>
    <t>$2.58B</t>
  </si>
  <si>
    <t>FBNC</t>
  </si>
  <si>
    <t>First Bancorp</t>
  </si>
  <si>
    <t>$782.37M</t>
  </si>
  <si>
    <t>FNLC</t>
  </si>
  <si>
    <t>First Bancorp, Inc (ME)</t>
  </si>
  <si>
    <t>$279.19M</t>
  </si>
  <si>
    <t>FRBA</t>
  </si>
  <si>
    <t>First Bank</t>
  </si>
  <si>
    <t>$146.77M</t>
  </si>
  <si>
    <t>BUSE</t>
  </si>
  <si>
    <t>First Busey Corporation</t>
  </si>
  <si>
    <t>$1.13B</t>
  </si>
  <si>
    <t>FBIZ</t>
  </si>
  <si>
    <t>First Business Financial Services, Inc.</t>
  </si>
  <si>
    <t>$185.63M</t>
  </si>
  <si>
    <t>FCAP</t>
  </si>
  <si>
    <t>First Capital, Inc.</t>
  </si>
  <si>
    <t>$105.13M</t>
  </si>
  <si>
    <t>FCFS</t>
  </si>
  <si>
    <t>First Cash, Inc.</t>
  </si>
  <si>
    <t>$2.85B</t>
  </si>
  <si>
    <t>FCNCA</t>
  </si>
  <si>
    <t>First Citizens BancShares, Inc.</t>
  </si>
  <si>
    <t>$4.39B</t>
  </si>
  <si>
    <t>FCBC</t>
  </si>
  <si>
    <t>First Community Bancshares, Inc.</t>
  </si>
  <si>
    <t>$454.37M</t>
  </si>
  <si>
    <t>FCCO</t>
  </si>
  <si>
    <t>First Community Corporation</t>
  </si>
  <si>
    <t>$138.05M</t>
  </si>
  <si>
    <t>FBNK</t>
  </si>
  <si>
    <t>First Connecticut Bancorp, Inc.</t>
  </si>
  <si>
    <t>$391.46M</t>
  </si>
  <si>
    <t>FDEF</t>
  </si>
  <si>
    <t>First Defiance Financial Corp.</t>
  </si>
  <si>
    <t>$506.13M</t>
  </si>
  <si>
    <t>FFBC</t>
  </si>
  <si>
    <t>First Financial Bancorp.</t>
  </si>
  <si>
    <t>$1.6B</t>
  </si>
  <si>
    <t>FFBCW</t>
  </si>
  <si>
    <t>FFIN</t>
  </si>
  <si>
    <t>First Financial Bankshares, Inc.</t>
  </si>
  <si>
    <t>$2.81B</t>
  </si>
  <si>
    <t>THFF</t>
  </si>
  <si>
    <t>First Financial Corporation Indiana</t>
  </si>
  <si>
    <t>$558.01M</t>
  </si>
  <si>
    <t>FFNW</t>
  </si>
  <si>
    <t>First Financial Northwest, Inc.</t>
  </si>
  <si>
    <t>$177.77M</t>
  </si>
  <si>
    <t>FFWM</t>
  </si>
  <si>
    <t>First Foundation Inc.</t>
  </si>
  <si>
    <t>$599.55M</t>
  </si>
  <si>
    <t>FGBI</t>
  </si>
  <si>
    <t>First Guaranty Bancshares, Inc.</t>
  </si>
  <si>
    <t>$202.4M</t>
  </si>
  <si>
    <t>FHB</t>
  </si>
  <si>
    <t>First Hawaiian, Inc.</t>
  </si>
  <si>
    <t>$4.09B</t>
  </si>
  <si>
    <t>INBK</t>
  </si>
  <si>
    <t>First Internet Bancorp</t>
  </si>
  <si>
    <t>$199.32M</t>
  </si>
  <si>
    <t>INBKL</t>
  </si>
  <si>
    <t>FIBK</t>
  </si>
  <si>
    <t>First Interstate BancSystem, Inc.</t>
  </si>
  <si>
    <t>FRME</t>
  </si>
  <si>
    <t>First Merchants Corporation</t>
  </si>
  <si>
    <t>$1.74B</t>
  </si>
  <si>
    <t>FMBH</t>
  </si>
  <si>
    <t>First Mid-Illinois Bancshares, Inc.</t>
  </si>
  <si>
    <t>$444.49M</t>
  </si>
  <si>
    <t>FMBI</t>
  </si>
  <si>
    <t>First Midwest Bancorp, Inc.</t>
  </si>
  <si>
    <t>$2.49B</t>
  </si>
  <si>
    <t>FNWB</t>
  </si>
  <si>
    <t>First Northwest Bancorp</t>
  </si>
  <si>
    <t>$188.17M</t>
  </si>
  <si>
    <t>FSFG</t>
  </si>
  <si>
    <t>First Savings Financial Group, Inc.</t>
  </si>
  <si>
    <t>$119.63M</t>
  </si>
  <si>
    <t>FSLR</t>
  </si>
  <si>
    <t>First Solar, Inc.</t>
  </si>
  <si>
    <t>$5B</t>
  </si>
  <si>
    <t>FSBK</t>
  </si>
  <si>
    <t>First South Bancorp Inc</t>
  </si>
  <si>
    <t>$163.06M</t>
  </si>
  <si>
    <t>FAAR</t>
  </si>
  <si>
    <t>First Trust Alternative Absolute Return Strategy ETF</t>
  </si>
  <si>
    <t>$7.2M</t>
  </si>
  <si>
    <t>FPA</t>
  </si>
  <si>
    <t>First Trust Asia Pacific Ex-Japan AlphaDEX Fund</t>
  </si>
  <si>
    <t>BICK</t>
  </si>
  <si>
    <t>First Trust BICK Index Fund</t>
  </si>
  <si>
    <t>$184.02M</t>
  </si>
  <si>
    <t>FBZ</t>
  </si>
  <si>
    <t>First Trust Brazil AlphaDEX Fund</t>
  </si>
  <si>
    <t>$16.81M</t>
  </si>
  <si>
    <t>FCAL</t>
  </si>
  <si>
    <t>First Trust California Municipal High income ETF</t>
  </si>
  <si>
    <t>$10.1M</t>
  </si>
  <si>
    <t>FCAN</t>
  </si>
  <si>
    <t>First Trust Canada AlphaDEX Fund</t>
  </si>
  <si>
    <t>$7.29M</t>
  </si>
  <si>
    <t>FTCS</t>
  </si>
  <si>
    <t>First Trust Capital Strength ETF</t>
  </si>
  <si>
    <t>$459.46M</t>
  </si>
  <si>
    <t>FCEF</t>
  </si>
  <si>
    <t>First Trust CEF Income Opportunity ETF</t>
  </si>
  <si>
    <t>$31.7M</t>
  </si>
  <si>
    <t>FCA</t>
  </si>
  <si>
    <t>First Trust China AlphaDEX Fund</t>
  </si>
  <si>
    <t>$6.63M</t>
  </si>
  <si>
    <t>SKYY</t>
  </si>
  <si>
    <t>First Trust Cloud Computing ETF</t>
  </si>
  <si>
    <t>$931.14M</t>
  </si>
  <si>
    <t>RNDM</t>
  </si>
  <si>
    <t>First Trust Developed International Equity Select ETF</t>
  </si>
  <si>
    <t>$5.05M</t>
  </si>
  <si>
    <t>FDT</t>
  </si>
  <si>
    <t>First Trust Developed Markets Ex-US AlphaDEX Fund</t>
  </si>
  <si>
    <t>$546.7M</t>
  </si>
  <si>
    <t>FDTS</t>
  </si>
  <si>
    <t>First Trust Developed Markets ex-US Small Cap AlphaDEX Fund</t>
  </si>
  <si>
    <t>$8.03M</t>
  </si>
  <si>
    <t>FVC</t>
  </si>
  <si>
    <t>First Trust Dorsey Wright Dynamic Focus 5 ETF</t>
  </si>
  <si>
    <t>$334.11M</t>
  </si>
  <si>
    <t>FV</t>
  </si>
  <si>
    <t>First Trust Dorsey Wright Focus 5 ETF</t>
  </si>
  <si>
    <t>$2.42B</t>
  </si>
  <si>
    <t>IFV</t>
  </si>
  <si>
    <t>First Trust Dorsey Wright International Focus 5 ETF</t>
  </si>
  <si>
    <t>$711.62M</t>
  </si>
  <si>
    <t>FEM</t>
  </si>
  <si>
    <t>First Trust Emerging Markets AlphaDEX Fund</t>
  </si>
  <si>
    <t>$342.8M</t>
  </si>
  <si>
    <t>RNEM</t>
  </si>
  <si>
    <t>First Trust Emerging Markets Equity Select ETF</t>
  </si>
  <si>
    <t>$5.32M</t>
  </si>
  <si>
    <t>FEMB</t>
  </si>
  <si>
    <t>First Trust Emerging Markets Local Currency Bond ETF</t>
  </si>
  <si>
    <t>$48.3M</t>
  </si>
  <si>
    <t>FEMS</t>
  </si>
  <si>
    <t>First Trust Emerging Markets Small Cap AlphaDEX Fund</t>
  </si>
  <si>
    <t>$214.43M</t>
  </si>
  <si>
    <t>FTSM</t>
  </si>
  <si>
    <t>First Trust Enhanced Short Maturity ETF</t>
  </si>
  <si>
    <t>FEP</t>
  </si>
  <si>
    <t>First Trust Europe AlphaDEX Fund</t>
  </si>
  <si>
    <t>$538.87M</t>
  </si>
  <si>
    <t>FEUZ</t>
  </si>
  <si>
    <t>First Trust Eurozone AlphaDEX ETF</t>
  </si>
  <si>
    <t>$12.32M</t>
  </si>
  <si>
    <t>FGM</t>
  </si>
  <si>
    <t>First Trust Germany AlphaDEX Fund</t>
  </si>
  <si>
    <t>$192.15M</t>
  </si>
  <si>
    <t>FTGC</t>
  </si>
  <si>
    <t>First Trust Global Tactical Commodity Strategy Fund</t>
  </si>
  <si>
    <t>$139M</t>
  </si>
  <si>
    <t>FTHI</t>
  </si>
  <si>
    <t>First Trust High Income ETF</t>
  </si>
  <si>
    <t>$50.08M</t>
  </si>
  <si>
    <t>HYLS</t>
  </si>
  <si>
    <t>First Trust High Yield Long/Short ETF</t>
  </si>
  <si>
    <t>FHK</t>
  </si>
  <si>
    <t>First Trust Hong Kong AlphaDEX Fund</t>
  </si>
  <si>
    <t>$7.87M</t>
  </si>
  <si>
    <t>FTAG</t>
  </si>
  <si>
    <t>First Trust Indxx Global Agriculture ETF</t>
  </si>
  <si>
    <t>$7.46M</t>
  </si>
  <si>
    <t>FTRI</t>
  </si>
  <si>
    <t>First Trust Indxx Global Natural Resources Income ETF</t>
  </si>
  <si>
    <t>$9.81M</t>
  </si>
  <si>
    <t>FPXI</t>
  </si>
  <si>
    <t>First Trust International IPO ETF</t>
  </si>
  <si>
    <t>$15.34M</t>
  </si>
  <si>
    <t>YDIV</t>
  </si>
  <si>
    <t>First Trust International Multi-Asset Diversified Income Index</t>
  </si>
  <si>
    <t>$11.15M</t>
  </si>
  <si>
    <t>FJP</t>
  </si>
  <si>
    <t>First Trust Japan AlphaDEX Fund</t>
  </si>
  <si>
    <t>$67.65M</t>
  </si>
  <si>
    <t>FEX</t>
  </si>
  <si>
    <t>First Trust Large Cap Core AlphaDEX Fund</t>
  </si>
  <si>
    <t>$1.54B</t>
  </si>
  <si>
    <t>FTC</t>
  </si>
  <si>
    <t>First Trust Large Cap Growth AlphaDEX Fund</t>
  </si>
  <si>
    <t>$649.25M</t>
  </si>
  <si>
    <t>RNLC</t>
  </si>
  <si>
    <t>First Trust Large Cap US Equity Select ETF</t>
  </si>
  <si>
    <t>$2M</t>
  </si>
  <si>
    <t>FTA</t>
  </si>
  <si>
    <t>First Trust Large Cap Value AlphaDEX Fund</t>
  </si>
  <si>
    <t>$1.05B</t>
  </si>
  <si>
    <t>FLN</t>
  </si>
  <si>
    <t>First Trust Latin America AlphaDEX Fund</t>
  </si>
  <si>
    <t>$26.4M</t>
  </si>
  <si>
    <t>FTLB</t>
  </si>
  <si>
    <t>First Trust Low Beta Income ETF</t>
  </si>
  <si>
    <t>$7.66M</t>
  </si>
  <si>
    <t>LMBS</t>
  </si>
  <si>
    <t>First Trust Low Duration Opportunities ETF</t>
  </si>
  <si>
    <t>$680.56M</t>
  </si>
  <si>
    <t>FMB</t>
  </si>
  <si>
    <t>First Trust Managed Municipal ETF</t>
  </si>
  <si>
    <t>$164.92M</t>
  </si>
  <si>
    <t>FMK</t>
  </si>
  <si>
    <t>First Trust Mega Cap AlphaDEX Fund</t>
  </si>
  <si>
    <t>$15.56M</t>
  </si>
  <si>
    <t>FNX</t>
  </si>
  <si>
    <t>First Trust Mid Cap Core AlphaDEX Fund</t>
  </si>
  <si>
    <t>$697.03M</t>
  </si>
  <si>
    <t>FNY</t>
  </si>
  <si>
    <t>First Trust Mid Cap Growth AlphaDEX Fund</t>
  </si>
  <si>
    <t>$94.53M</t>
  </si>
  <si>
    <t>RNMC</t>
  </si>
  <si>
    <t>First Trust Mid Cap US Equity Select ETF</t>
  </si>
  <si>
    <t>$1.99M</t>
  </si>
  <si>
    <t>FNK</t>
  </si>
  <si>
    <t>First Trust Mid Cap Value AlphaDEX Fund</t>
  </si>
  <si>
    <t>$58.92M</t>
  </si>
  <si>
    <t>FAD</t>
  </si>
  <si>
    <t>First Trust Multi Cap Growth AlphaDEX Fund</t>
  </si>
  <si>
    <t>$103.64M</t>
  </si>
  <si>
    <t>FAB</t>
  </si>
  <si>
    <t>First Trust Multi Cap Value AlphaDEX Fund</t>
  </si>
  <si>
    <t>$105.02M</t>
  </si>
  <si>
    <t>MDIV</t>
  </si>
  <si>
    <t>First Trust Multi-Asset Diversified Income Index Fund</t>
  </si>
  <si>
    <t>$876.22M</t>
  </si>
  <si>
    <t>MCEF</t>
  </si>
  <si>
    <t>First Trust Municipal CEF Income Opportunity ETF</t>
  </si>
  <si>
    <t>$13.42M</t>
  </si>
  <si>
    <t>QABA</t>
  </si>
  <si>
    <t>First Trust NASDAQ ABA Community Bank Index Fund</t>
  </si>
  <si>
    <t>$362.28M</t>
  </si>
  <si>
    <t>FTXO</t>
  </si>
  <si>
    <t>First Trust Nasdaq Bank ETF</t>
  </si>
  <si>
    <t>$1.07B</t>
  </si>
  <si>
    <t>QCLN</t>
  </si>
  <si>
    <t>First Trust NASDAQ Clean Edge Green Energy Index Fund</t>
  </si>
  <si>
    <t>$78.27M</t>
  </si>
  <si>
    <t>GRID</t>
  </si>
  <si>
    <t xml:space="preserve">First Trust NASDAQ Clean Edge Smart Grid Infrastructure Index </t>
  </si>
  <si>
    <t>CIBR</t>
  </si>
  <si>
    <t>First Trust NASDAQ Cybersecurity ETF</t>
  </si>
  <si>
    <t>$273.91M</t>
  </si>
  <si>
    <t>FTXG</t>
  </si>
  <si>
    <t>First Trust Nasdaq Food &amp; Beverage ETF</t>
  </si>
  <si>
    <t>$3.04M</t>
  </si>
  <si>
    <t>CARZ</t>
  </si>
  <si>
    <t>First Trust NASDAQ Global Auto Index Fund</t>
  </si>
  <si>
    <t>$16.99M</t>
  </si>
  <si>
    <t>FTXN</t>
  </si>
  <si>
    <t>First Trust Nasdaq Oil &amp; Gas ETF</t>
  </si>
  <si>
    <t>$2.71M</t>
  </si>
  <si>
    <t>FTXH</t>
  </si>
  <si>
    <t>First Trust Nasdaq Pharmaceuticals ETF</t>
  </si>
  <si>
    <t>$1.97M</t>
  </si>
  <si>
    <t>FTXD</t>
  </si>
  <si>
    <t>First Trust Nasdaq Retail ETF</t>
  </si>
  <si>
    <t>$1.96M</t>
  </si>
  <si>
    <t>FTXL</t>
  </si>
  <si>
    <t>First Trust Nasdaq Semiconductor ETF</t>
  </si>
  <si>
    <t>$21.89M</t>
  </si>
  <si>
    <t>FONE</t>
  </si>
  <si>
    <t>First Trust NASDAQ Smartphone Index Fund</t>
  </si>
  <si>
    <t>$17.2M</t>
  </si>
  <si>
    <t>TDIV</t>
  </si>
  <si>
    <t>First Trust NASDAQ Technology Dividend Index Fund</t>
  </si>
  <si>
    <t>$715.84M</t>
  </si>
  <si>
    <t>FTXR</t>
  </si>
  <si>
    <t>First Trust Nasdaq Transportation ETF</t>
  </si>
  <si>
    <t>$3.47M</t>
  </si>
  <si>
    <t>QQEW</t>
  </si>
  <si>
    <t>First Trust NASDAQ-100 Equal Weighted Index Fund</t>
  </si>
  <si>
    <t>$552.06M</t>
  </si>
  <si>
    <t>QQXT</t>
  </si>
  <si>
    <t>First Trust NASDAQ-100 Ex-Technology Sector Index Fund</t>
  </si>
  <si>
    <t>$100.89M</t>
  </si>
  <si>
    <t>QTEC</t>
  </si>
  <si>
    <t>First Trust NASDAQ-100- Technology Index Fund</t>
  </si>
  <si>
    <t>$2.01B</t>
  </si>
  <si>
    <t>AIRR</t>
  </si>
  <si>
    <t>First Trust RBA American Industrial Renaissance ETF</t>
  </si>
  <si>
    <t>$171.07M</t>
  </si>
  <si>
    <t>QINC</t>
  </si>
  <si>
    <t>First Trust RBA Quality Income ETF</t>
  </si>
  <si>
    <t>$26.61M</t>
  </si>
  <si>
    <t>RDVY</t>
  </si>
  <si>
    <t>First Trust Rising Dividend Achievers ETF</t>
  </si>
  <si>
    <t>$232.76M</t>
  </si>
  <si>
    <t>RFAP</t>
  </si>
  <si>
    <t>First Trust RiverFront Dynamic Asia Pacific ETF</t>
  </si>
  <si>
    <t>$20.42M</t>
  </si>
  <si>
    <t>RFDI</t>
  </si>
  <si>
    <t>First Trust RiverFront Dynamic Developed International ETF</t>
  </si>
  <si>
    <t>$298.85M</t>
  </si>
  <si>
    <t>RFEM</t>
  </si>
  <si>
    <t>First Trust RiverFront Dynamic Emerging Markets ETF</t>
  </si>
  <si>
    <t>$47.21M</t>
  </si>
  <si>
    <t>RFEU</t>
  </si>
  <si>
    <t>First Trust RiverFront Dynamic Europe ETF</t>
  </si>
  <si>
    <t>$85.95M</t>
  </si>
  <si>
    <t>FTSL</t>
  </si>
  <si>
    <t>First Trust Senior Loan Fund ETF</t>
  </si>
  <si>
    <t>FYX</t>
  </si>
  <si>
    <t>First Trust Small Cap Core AlphaDEX Fund</t>
  </si>
  <si>
    <t>$488.08M</t>
  </si>
  <si>
    <t>FYC</t>
  </si>
  <si>
    <t>First Trust Small Cap Growth AlphaDEX Fund</t>
  </si>
  <si>
    <t>$119.51M</t>
  </si>
  <si>
    <t>RNSC</t>
  </si>
  <si>
    <t>First Trust Small Cap US Equity Select ETF</t>
  </si>
  <si>
    <t>FYT</t>
  </si>
  <si>
    <t>First Trust Small Cap Value AlphaDEX Fund</t>
  </si>
  <si>
    <t>$61.29M</t>
  </si>
  <si>
    <t>FKO</t>
  </si>
  <si>
    <t>First Trust South Korea AlphaDEX Fund</t>
  </si>
  <si>
    <t>$5.49M</t>
  </si>
  <si>
    <t>FCVT</t>
  </si>
  <si>
    <t>First Trust SSI Strategic Convertible Securities ETF</t>
  </si>
  <si>
    <t>$53.46M</t>
  </si>
  <si>
    <t>FDIV</t>
  </si>
  <si>
    <t>First Trust Strategic Income ETF</t>
  </si>
  <si>
    <t>$102.74M</t>
  </si>
  <si>
    <t>FSZ</t>
  </si>
  <si>
    <t>First Trust Switzerland AlphaDEX Fund</t>
  </si>
  <si>
    <t>$193.19M</t>
  </si>
  <si>
    <t>FTW</t>
  </si>
  <si>
    <t>First Trust Taiwan AlphaDEX Fund</t>
  </si>
  <si>
    <t>$3.78M</t>
  </si>
  <si>
    <t>FIXD</t>
  </si>
  <si>
    <t>First Trust TCW Opportunistic Fixed Income ETF</t>
  </si>
  <si>
    <t>$50.8M</t>
  </si>
  <si>
    <t>TUSA</t>
  </si>
  <si>
    <t>First Trust Total US Market AlphaDEX ETF</t>
  </si>
  <si>
    <t>$12.05M</t>
  </si>
  <si>
    <t>FKU</t>
  </si>
  <si>
    <t>First Trust United Kingdom AlphaDEX Fund</t>
  </si>
  <si>
    <t>$28.25M</t>
  </si>
  <si>
    <t>RNDV</t>
  </si>
  <si>
    <t>First Trust US Equity Dividend Select ETF</t>
  </si>
  <si>
    <t>FUNC</t>
  </si>
  <si>
    <t>First United Corporation</t>
  </si>
  <si>
    <t>$104.03M</t>
  </si>
  <si>
    <t>FUSB</t>
  </si>
  <si>
    <t>First US Bancshares, Inc.</t>
  </si>
  <si>
    <t>$69.07M</t>
  </si>
  <si>
    <t>SVVC</t>
  </si>
  <si>
    <t>Firsthand Technology Value Fund, Inc.</t>
  </si>
  <si>
    <t>$58.01M</t>
  </si>
  <si>
    <t>FSV</t>
  </si>
  <si>
    <t>FirstService Corporation</t>
  </si>
  <si>
    <t>$2.21B</t>
  </si>
  <si>
    <t>FISV</t>
  </si>
  <si>
    <t>Fiserv, Inc.</t>
  </si>
  <si>
    <t>$26.01B</t>
  </si>
  <si>
    <t>FIVE</t>
  </si>
  <si>
    <t>Five Below, Inc.</t>
  </si>
  <si>
    <t>$2.74B</t>
  </si>
  <si>
    <t>FPRX</t>
  </si>
  <si>
    <t>Five Prime Therapeutics, Inc.</t>
  </si>
  <si>
    <t>$840.55M</t>
  </si>
  <si>
    <t>FVE</t>
  </si>
  <si>
    <t>Five Star Senior Living Inc.</t>
  </si>
  <si>
    <t>$77.59M</t>
  </si>
  <si>
    <t>FIVN</t>
  </si>
  <si>
    <t>Five9, Inc.</t>
  </si>
  <si>
    <t>FLEX</t>
  </si>
  <si>
    <t>Flex Ltd.</t>
  </si>
  <si>
    <t>$8.51B</t>
  </si>
  <si>
    <t>FLKS</t>
  </si>
  <si>
    <t>Flex Pharma, Inc.</t>
  </si>
  <si>
    <t>$65.96M</t>
  </si>
  <si>
    <t>FLXN</t>
  </si>
  <si>
    <t>Flexion Therapeutics, Inc.</t>
  </si>
  <si>
    <t>$706.61M</t>
  </si>
  <si>
    <t>SKOR</t>
  </si>
  <si>
    <t>FlexShares Credit-Scored US Corporate Bond Index Fund</t>
  </si>
  <si>
    <t>LKOR</t>
  </si>
  <si>
    <t>FlexShares Credit-Scored US Long Corporate Bond Index Fund</t>
  </si>
  <si>
    <t>$13.35M</t>
  </si>
  <si>
    <t>MBSD</t>
  </si>
  <si>
    <t>FlexShares Disciplined Duration MBS Index Fund</t>
  </si>
  <si>
    <t>ASET</t>
  </si>
  <si>
    <t>FlexShares Real Assets Allocation Index Fund</t>
  </si>
  <si>
    <t>$4.2M</t>
  </si>
  <si>
    <t>ESGG</t>
  </si>
  <si>
    <t>FlexShares STOXX Global ESG Impact Index Fund</t>
  </si>
  <si>
    <t>$8.86M</t>
  </si>
  <si>
    <t>ESG</t>
  </si>
  <si>
    <t>FlexShares STOXX US ESG Impact Index Fund</t>
  </si>
  <si>
    <t>$13.22M</t>
  </si>
  <si>
    <t>QLC</t>
  </si>
  <si>
    <t>FlexShares US Quality Large Cap Index Fund</t>
  </si>
  <si>
    <t>$25.93M</t>
  </si>
  <si>
    <t>FPAY</t>
  </si>
  <si>
    <t>FlexShopper, Inc.</t>
  </si>
  <si>
    <t>$19.88M</t>
  </si>
  <si>
    <t>FLXS</t>
  </si>
  <si>
    <t>Flexsteel Industries, Inc.</t>
  </si>
  <si>
    <t>$434.06M</t>
  </si>
  <si>
    <t>FLIR</t>
  </si>
  <si>
    <t>FLIR Systems, Inc.</t>
  </si>
  <si>
    <t>$5.17B</t>
  </si>
  <si>
    <t>FLDM</t>
  </si>
  <si>
    <t>Fluidigm Corporation</t>
  </si>
  <si>
    <t>$90.89M</t>
  </si>
  <si>
    <t>FFIC</t>
  </si>
  <si>
    <t>Flushing Financial Corporation</t>
  </si>
  <si>
    <t>$826.96M</t>
  </si>
  <si>
    <t>FNBG</t>
  </si>
  <si>
    <t>FNB Bancorp</t>
  </si>
  <si>
    <t>$207.92M</t>
  </si>
  <si>
    <t>FOMX</t>
  </si>
  <si>
    <t>Foamix Pharmaceuticals Ltd.</t>
  </si>
  <si>
    <t>$165.27M</t>
  </si>
  <si>
    <t>FOGO</t>
  </si>
  <si>
    <t>Fogo de Chao, Inc.</t>
  </si>
  <si>
    <t>$386.51M</t>
  </si>
  <si>
    <t>FONR</t>
  </si>
  <si>
    <t>Fonar Corporation</t>
  </si>
  <si>
    <t>$168.69M</t>
  </si>
  <si>
    <t>FRSX</t>
  </si>
  <si>
    <t>Foresight Autonomous Holdings Ltd.</t>
  </si>
  <si>
    <t>$74.38M</t>
  </si>
  <si>
    <t>FH</t>
  </si>
  <si>
    <t>FORM Holdings Corp.</t>
  </si>
  <si>
    <t>$22.11M</t>
  </si>
  <si>
    <t>FORM</t>
  </si>
  <si>
    <t>FormFactor, Inc.</t>
  </si>
  <si>
    <t>$995.28M</t>
  </si>
  <si>
    <t>FORTY</t>
  </si>
  <si>
    <t>Formula Systems (1985) Ltd.</t>
  </si>
  <si>
    <t>$523.17M</t>
  </si>
  <si>
    <t>FORR</t>
  </si>
  <si>
    <t>Forrester Research, Inc.</t>
  </si>
  <si>
    <t>$693.56M</t>
  </si>
  <si>
    <t>FRTA</t>
  </si>
  <si>
    <t>Forterra, Inc.</t>
  </si>
  <si>
    <t>$564.42M</t>
  </si>
  <si>
    <t>FTNT</t>
  </si>
  <si>
    <t>Fortinet, Inc.</t>
  </si>
  <si>
    <t>FBIO</t>
  </si>
  <si>
    <t>Fortress Biotech, Inc.</t>
  </si>
  <si>
    <t>$211.39M</t>
  </si>
  <si>
    <t>FMCI</t>
  </si>
  <si>
    <t>Forum Merger Corporation</t>
  </si>
  <si>
    <t>$216.87M</t>
  </si>
  <si>
    <t>FMCIR</t>
  </si>
  <si>
    <t>FMCIU</t>
  </si>
  <si>
    <t>FMCIW</t>
  </si>
  <si>
    <t>FWRD</t>
  </si>
  <si>
    <t>Forward Air Corporation</t>
  </si>
  <si>
    <t>$1.55B</t>
  </si>
  <si>
    <t>FORD</t>
  </si>
  <si>
    <t>Forward Industries, Inc.</t>
  </si>
  <si>
    <t>$9.57M</t>
  </si>
  <si>
    <t>FWP</t>
  </si>
  <si>
    <t>Forward Pharma A/S</t>
  </si>
  <si>
    <t>FOSL</t>
  </si>
  <si>
    <t>Fossil Group, Inc.</t>
  </si>
  <si>
    <t>$573.82M</t>
  </si>
  <si>
    <t>FMI</t>
  </si>
  <si>
    <t>Foundation Medicine, Inc.</t>
  </si>
  <si>
    <t>$1.44B</t>
  </si>
  <si>
    <t>FOXF</t>
  </si>
  <si>
    <t>Fox Factory Holding Corp.</t>
  </si>
  <si>
    <t>$1.46B</t>
  </si>
  <si>
    <t>FRAN</t>
  </si>
  <si>
    <t>Francesca&amp;#39;s Holdings Corporation</t>
  </si>
  <si>
    <t>$344.51M</t>
  </si>
  <si>
    <t>FELE</t>
  </si>
  <si>
    <t>Franklin Electric Co., Inc.</t>
  </si>
  <si>
    <t>$1.85B</t>
  </si>
  <si>
    <t>FKLYU</t>
  </si>
  <si>
    <t>Frankly, Inc.</t>
  </si>
  <si>
    <t>FRED</t>
  </si>
  <si>
    <t>Fred&amp;#39;s, Inc.</t>
  </si>
  <si>
    <t>$248.35M</t>
  </si>
  <si>
    <t>RAIL</t>
  </si>
  <si>
    <t>Freightcar America, Inc.</t>
  </si>
  <si>
    <t>$236.76M</t>
  </si>
  <si>
    <t>FEIM</t>
  </si>
  <si>
    <t>Frequency Electronics, Inc.</t>
  </si>
  <si>
    <t>FRPT</t>
  </si>
  <si>
    <t>Freshpet, Inc.</t>
  </si>
  <si>
    <t>$564.6M</t>
  </si>
  <si>
    <t>FTEO</t>
  </si>
  <si>
    <t>FRONTEO, Inc.</t>
  </si>
  <si>
    <t>$263.81M</t>
  </si>
  <si>
    <t>FTR</t>
  </si>
  <si>
    <t>Frontier Communications Corporation</t>
  </si>
  <si>
    <t>$1.19B</t>
  </si>
  <si>
    <t>FTRPR</t>
  </si>
  <si>
    <t>FRPH</t>
  </si>
  <si>
    <t>FRP Holdings, Inc.</t>
  </si>
  <si>
    <t>$451.33M</t>
  </si>
  <si>
    <t>FSBW</t>
  </si>
  <si>
    <t>FS Bancorp, Inc.</t>
  </si>
  <si>
    <t>$139.46M</t>
  </si>
  <si>
    <t>FSBC</t>
  </si>
  <si>
    <t>FSB Bancorp, Inc.</t>
  </si>
  <si>
    <t>$29.88M</t>
  </si>
  <si>
    <t>FTD</t>
  </si>
  <si>
    <t>FTD Companies, Inc.</t>
  </si>
  <si>
    <t>$519.6M</t>
  </si>
  <si>
    <t>FTEK</t>
  </si>
  <si>
    <t>Fuel Tech, Inc.</t>
  </si>
  <si>
    <t>$20.66M</t>
  </si>
  <si>
    <t>FCEL</t>
  </si>
  <si>
    <t>FuelCell Energy, Inc.</t>
  </si>
  <si>
    <t>$94.13M</t>
  </si>
  <si>
    <t>FLGT</t>
  </si>
  <si>
    <t>Fulgent Genetics, Inc.</t>
  </si>
  <si>
    <t>$95.36M</t>
  </si>
  <si>
    <t>FORK</t>
  </si>
  <si>
    <t>Fuling Global Inc.</t>
  </si>
  <si>
    <t>$51.21M</t>
  </si>
  <si>
    <t>FLL</t>
  </si>
  <si>
    <t>Full House Resorts, Inc.</t>
  </si>
  <si>
    <t>$60.82M</t>
  </si>
  <si>
    <t>FULT</t>
  </si>
  <si>
    <t>Fulton Financial Corporation</t>
  </si>
  <si>
    <t>$3.14B</t>
  </si>
  <si>
    <t>FSNN</t>
  </si>
  <si>
    <t>Fusion Telecommunications International, Inc.</t>
  </si>
  <si>
    <t>$28.02M</t>
  </si>
  <si>
    <t>FTFT</t>
  </si>
  <si>
    <t>Future FinTech Group Inc.</t>
  </si>
  <si>
    <t>$11.38M</t>
  </si>
  <si>
    <t>FFHL</t>
  </si>
  <si>
    <t>Fuwei Films (Holdings) Co., Ltd.</t>
  </si>
  <si>
    <t>$8.97M</t>
  </si>
  <si>
    <t>WILC</t>
  </si>
  <si>
    <t>G. Willi-Food International,  Ltd.</t>
  </si>
  <si>
    <t>$87.79M</t>
  </si>
  <si>
    <t>GTHX</t>
  </si>
  <si>
    <t>G1 Therapeutics, Inc.</t>
  </si>
  <si>
    <t>$452.26M</t>
  </si>
  <si>
    <t>FOANC</t>
  </si>
  <si>
    <t>Gabelli NextShares Trust</t>
  </si>
  <si>
    <t>MOGLC</t>
  </si>
  <si>
    <t>GAIA</t>
  </si>
  <si>
    <t>Gaia, Inc.</t>
  </si>
  <si>
    <t>$181.84M</t>
  </si>
  <si>
    <t>Movies/Entertainment</t>
  </si>
  <si>
    <t>GLPG</t>
  </si>
  <si>
    <t>Galapagos NV</t>
  </si>
  <si>
    <t>$3.76B</t>
  </si>
  <si>
    <t>GALT</t>
  </si>
  <si>
    <t>Galectin Therapeutics Inc.</t>
  </si>
  <si>
    <t>$68.99M</t>
  </si>
  <si>
    <t>GALE</t>
  </si>
  <si>
    <t>Galena Biopharma, Inc.</t>
  </si>
  <si>
    <t>$15.38M</t>
  </si>
  <si>
    <t>GLMD</t>
  </si>
  <si>
    <t>Galmed Pharmaceuticals Ltd.</t>
  </si>
  <si>
    <t>$96.9M</t>
  </si>
  <si>
    <t>GLPI</t>
  </si>
  <si>
    <t>Gaming and Leisure Properties, Inc.</t>
  </si>
  <si>
    <t>$8.03B</t>
  </si>
  <si>
    <t>GPIC</t>
  </si>
  <si>
    <t>Gaming Partners International Corporation</t>
  </si>
  <si>
    <t>$86.82M</t>
  </si>
  <si>
    <t>GRMN</t>
  </si>
  <si>
    <t>Garmin Ltd.</t>
  </si>
  <si>
    <t>$9.72B</t>
  </si>
  <si>
    <t>GARS</t>
  </si>
  <si>
    <t>Garrison Capital Inc.</t>
  </si>
  <si>
    <t>$125.02M</t>
  </si>
  <si>
    <t>GDS</t>
  </si>
  <si>
    <t>GDS Holdings Limited</t>
  </si>
  <si>
    <t>$891.11M</t>
  </si>
  <si>
    <t>GEMP</t>
  </si>
  <si>
    <t>Gemphire Therapeutics Inc.</t>
  </si>
  <si>
    <t>$93.28M</t>
  </si>
  <si>
    <t>GENC</t>
  </si>
  <si>
    <t>Gencor Industries Inc.</t>
  </si>
  <si>
    <t>$233.31M</t>
  </si>
  <si>
    <t>GNCMA</t>
  </si>
  <si>
    <t>General Communication, Inc.</t>
  </si>
  <si>
    <t>$1.53B</t>
  </si>
  <si>
    <t>GFN</t>
  </si>
  <si>
    <t>General Finance Corporation</t>
  </si>
  <si>
    <t>$127.16M</t>
  </si>
  <si>
    <t>GFNCP</t>
  </si>
  <si>
    <t>GFNSL</t>
  </si>
  <si>
    <t>GENE</t>
  </si>
  <si>
    <t>Genetic Technologies Ltd</t>
  </si>
  <si>
    <t>$12.67M</t>
  </si>
  <si>
    <t>GNUS</t>
  </si>
  <si>
    <t>Genius Brands International, Inc.</t>
  </si>
  <si>
    <t>$18.81M</t>
  </si>
  <si>
    <t>GNMK</t>
  </si>
  <si>
    <t>GenMark Diagnostics, Inc.</t>
  </si>
  <si>
    <t>$588.22M</t>
  </si>
  <si>
    <t>GNCA</t>
  </si>
  <si>
    <t>Genocea Biosciences, Inc.</t>
  </si>
  <si>
    <t>$137.11M</t>
  </si>
  <si>
    <t>GHDX</t>
  </si>
  <si>
    <t>Genomic Health, Inc.</t>
  </si>
  <si>
    <t>GNTX</t>
  </si>
  <si>
    <t>Gentex Corporation</t>
  </si>
  <si>
    <t>$4.98B</t>
  </si>
  <si>
    <t>THRM</t>
  </si>
  <si>
    <t>Gentherm Inc</t>
  </si>
  <si>
    <t>GEOS</t>
  </si>
  <si>
    <t>Geospace Technologies Corporation</t>
  </si>
  <si>
    <t>$203.74M</t>
  </si>
  <si>
    <t>GABC</t>
  </si>
  <si>
    <t>German American Bancorp, Inc.</t>
  </si>
  <si>
    <t>$756.9M</t>
  </si>
  <si>
    <t>GERN</t>
  </si>
  <si>
    <t>Geron Corporation</t>
  </si>
  <si>
    <t>$358.15M</t>
  </si>
  <si>
    <t>GEVO</t>
  </si>
  <si>
    <t>Gevo, Inc.</t>
  </si>
  <si>
    <t>$10.06M</t>
  </si>
  <si>
    <t>ROCK</t>
  </si>
  <si>
    <t>Gibraltar Industries, Inc.</t>
  </si>
  <si>
    <t>$941.71M</t>
  </si>
  <si>
    <t>Steel/Iron Ore</t>
  </si>
  <si>
    <t>GIGM</t>
  </si>
  <si>
    <t>GigaMedia Limited</t>
  </si>
  <si>
    <t>$32.61M</t>
  </si>
  <si>
    <t>GIGA</t>
  </si>
  <si>
    <t>Giga-tronics Incorporated</t>
  </si>
  <si>
    <t>$8.08M</t>
  </si>
  <si>
    <t>GIII</t>
  </si>
  <si>
    <t>G-III Apparel Group, LTD.</t>
  </si>
  <si>
    <t>GILT</t>
  </si>
  <si>
    <t>Gilat Satellite Networks Ltd.</t>
  </si>
  <si>
    <t>$300.58M</t>
  </si>
  <si>
    <t>GILD</t>
  </si>
  <si>
    <t>Gilead Sciences, Inc.</t>
  </si>
  <si>
    <t>$95.69B</t>
  </si>
  <si>
    <t>GBCI</t>
  </si>
  <si>
    <t>Glacier Bancorp, Inc.</t>
  </si>
  <si>
    <t>GLAD</t>
  </si>
  <si>
    <t>Gladstone Capital Corporation</t>
  </si>
  <si>
    <t>$258.54M</t>
  </si>
  <si>
    <t>GLADO</t>
  </si>
  <si>
    <t>$55.97M</t>
  </si>
  <si>
    <t>GOOD</t>
  </si>
  <si>
    <t>Gladstone Commercial Corporation</t>
  </si>
  <si>
    <t>$596.81M</t>
  </si>
  <si>
    <t>GOODM</t>
  </si>
  <si>
    <t>GOODO</t>
  </si>
  <si>
    <t>$29.61M</t>
  </si>
  <si>
    <t>GOODP</t>
  </si>
  <si>
    <t>$25.8M</t>
  </si>
  <si>
    <t>GAIN</t>
  </si>
  <si>
    <t>Gladstone Investment Corporation</t>
  </si>
  <si>
    <t>$316.15M</t>
  </si>
  <si>
    <t>GAINM</t>
  </si>
  <si>
    <t>GAINN</t>
  </si>
  <si>
    <t>GAINO</t>
  </si>
  <si>
    <t>LAND</t>
  </si>
  <si>
    <t>Gladstone Land Corporation</t>
  </si>
  <si>
    <t>$151.69M</t>
  </si>
  <si>
    <t>LANDP</t>
  </si>
  <si>
    <t>GLBZ</t>
  </si>
  <si>
    <t>Glen Burnie Bancorp</t>
  </si>
  <si>
    <t>$29.55M</t>
  </si>
  <si>
    <t>GBT</t>
  </si>
  <si>
    <t>Global Blood Therapeutics, Inc.</t>
  </si>
  <si>
    <t>GLBR</t>
  </si>
  <si>
    <t>Global Brokerage, Inc.</t>
  </si>
  <si>
    <t>$11.98M</t>
  </si>
  <si>
    <t>ENT</t>
  </si>
  <si>
    <t>Global Eagle Entertainment Inc.</t>
  </si>
  <si>
    <t>$262.75M</t>
  </si>
  <si>
    <t>GBLI</t>
  </si>
  <si>
    <t>Global Indemnity Limited</t>
  </si>
  <si>
    <t>$662.74M</t>
  </si>
  <si>
    <t>GBLIL</t>
  </si>
  <si>
    <t>GBLIZ</t>
  </si>
  <si>
    <t>GPAC</t>
  </si>
  <si>
    <t>Global Partner Acquisition Corp.</t>
  </si>
  <si>
    <t>$196M</t>
  </si>
  <si>
    <t>GPACU</t>
  </si>
  <si>
    <t>GPACW</t>
  </si>
  <si>
    <t>SELF</t>
  </si>
  <si>
    <t>Global Self Storage, Inc.</t>
  </si>
  <si>
    <t>$38.1M</t>
  </si>
  <si>
    <t>GSOL</t>
  </si>
  <si>
    <t>Global Sources Ltd.</t>
  </si>
  <si>
    <t>$471.12M</t>
  </si>
  <si>
    <t>GWRS</t>
  </si>
  <si>
    <t>Global Water Resources, Inc.</t>
  </si>
  <si>
    <t>$188.96M</t>
  </si>
  <si>
    <t>KRMA</t>
  </si>
  <si>
    <t>Global X Conscious Companies ETF</t>
  </si>
  <si>
    <t>FINX</t>
  </si>
  <si>
    <t>Global X FinTech ETF</t>
  </si>
  <si>
    <t>ACTX</t>
  </si>
  <si>
    <t>Global X Guru Activist ETF</t>
  </si>
  <si>
    <t>BFIT</t>
  </si>
  <si>
    <t>Global X Health &amp; Wellness Thematic ETF</t>
  </si>
  <si>
    <t>SNSR</t>
  </si>
  <si>
    <t>Global X Internet of Things ETF</t>
  </si>
  <si>
    <t>LNGR</t>
  </si>
  <si>
    <t>Global X Longevity Thematic ETF</t>
  </si>
  <si>
    <t>MILN</t>
  </si>
  <si>
    <t>Global X Millennials Thematic ETF</t>
  </si>
  <si>
    <t>$4.51M</t>
  </si>
  <si>
    <t>EFAS</t>
  </si>
  <si>
    <t>Global X MSCI SuperDividend EAFE ETF</t>
  </si>
  <si>
    <t>QQQC</t>
  </si>
  <si>
    <t>Global X NASDAQ China Technology ETF</t>
  </si>
  <si>
    <t>$22.05M</t>
  </si>
  <si>
    <t>BOTZ</t>
  </si>
  <si>
    <t>Global X Robotics &amp; Artificial Intelligence ETF</t>
  </si>
  <si>
    <t>CATH</t>
  </si>
  <si>
    <t>Global X S&amp;P 500 Catholic Values ETF</t>
  </si>
  <si>
    <t>SOCL</t>
  </si>
  <si>
    <t>Global X Social Media ETF</t>
  </si>
  <si>
    <t>$125.91M</t>
  </si>
  <si>
    <t>ALTY</t>
  </si>
  <si>
    <t>Global X SuperDividend Alternatives ETF</t>
  </si>
  <si>
    <t>SRET</t>
  </si>
  <si>
    <t>Global X SuperDividend REIT ETF</t>
  </si>
  <si>
    <t>$3.06M</t>
  </si>
  <si>
    <t>YLCO</t>
  </si>
  <si>
    <t>Global X Yieldco Index ETF</t>
  </si>
  <si>
    <t>$3.09M</t>
  </si>
  <si>
    <t>GLBS</t>
  </si>
  <si>
    <t>Globus Maritime Limited</t>
  </si>
  <si>
    <t>$27.91M</t>
  </si>
  <si>
    <t>GLUU</t>
  </si>
  <si>
    <t>Glu Mobile Inc.</t>
  </si>
  <si>
    <t>$421.74M</t>
  </si>
  <si>
    <t>GLYC</t>
  </si>
  <si>
    <t>GlycoMimetics, Inc.</t>
  </si>
  <si>
    <t>$390.39M</t>
  </si>
  <si>
    <t>GOGO</t>
  </si>
  <si>
    <t>Gogo Inc.</t>
  </si>
  <si>
    <t>GLNG</t>
  </si>
  <si>
    <t>Golar LNG Limited</t>
  </si>
  <si>
    <t>GMLP</t>
  </si>
  <si>
    <t>Golar LNG Partners LP</t>
  </si>
  <si>
    <t>GDEN</t>
  </si>
  <si>
    <t>Golden Entertainment, Inc.</t>
  </si>
  <si>
    <t>$457.16M</t>
  </si>
  <si>
    <t>GOGL</t>
  </si>
  <si>
    <t>Golden Ocean Group Limited</t>
  </si>
  <si>
    <t>GBDC</t>
  </si>
  <si>
    <t>Golub Capital BDC, Inc.</t>
  </si>
  <si>
    <t>GTIM</t>
  </si>
  <si>
    <t>Good Times Restaurants Inc.</t>
  </si>
  <si>
    <t>$41.81M</t>
  </si>
  <si>
    <t>GPRO</t>
  </si>
  <si>
    <t>GoPro, Inc.</t>
  </si>
  <si>
    <t>GSHT</t>
  </si>
  <si>
    <t>Gores Holdings II, Inc.</t>
  </si>
  <si>
    <t>$503M</t>
  </si>
  <si>
    <t>GSHTU</t>
  </si>
  <si>
    <t>GSHTW</t>
  </si>
  <si>
    <t>GOV</t>
  </si>
  <si>
    <t>Government Properties Income Trust</t>
  </si>
  <si>
    <t>GOVNI</t>
  </si>
  <si>
    <t>GPIA</t>
  </si>
  <si>
    <t>GP Investments Acquisition Corp.</t>
  </si>
  <si>
    <t>$199.4M</t>
  </si>
  <si>
    <t>GPIAU</t>
  </si>
  <si>
    <t>GPIAW</t>
  </si>
  <si>
    <t>LOPE</t>
  </si>
  <si>
    <t>Grand Canyon Education, Inc.</t>
  </si>
  <si>
    <t>$3.87B</t>
  </si>
  <si>
    <t>GRVY</t>
  </si>
  <si>
    <t>GRAVITY Co., Ltd.</t>
  </si>
  <si>
    <t>$51.94M</t>
  </si>
  <si>
    <t>FULLL</t>
  </si>
  <si>
    <t>Great Elm Capital Corp.</t>
  </si>
  <si>
    <t>GECC</t>
  </si>
  <si>
    <t>$124.47M</t>
  </si>
  <si>
    <t>GEC</t>
  </si>
  <si>
    <t xml:space="preserve">Great Elm Capital Group, Inc. </t>
  </si>
  <si>
    <t>$78.88M</t>
  </si>
  <si>
    <t>GLDD</t>
  </si>
  <si>
    <t>Great Lakes Dredge &amp; Dock Corporation</t>
  </si>
  <si>
    <t>$233.34M</t>
  </si>
  <si>
    <t>GSBC</t>
  </si>
  <si>
    <t>Great Southern Bancorp, Inc.</t>
  </si>
  <si>
    <t>$729.2M</t>
  </si>
  <si>
    <t>GNBC</t>
  </si>
  <si>
    <t>Green Bancorp, Inc.</t>
  </si>
  <si>
    <t>$836.99M</t>
  </si>
  <si>
    <t>GRBK</t>
  </si>
  <si>
    <t>Green Brick Partners, Inc.</t>
  </si>
  <si>
    <t>$515.23M</t>
  </si>
  <si>
    <t>GPP</t>
  </si>
  <si>
    <t>Green Plains Partners LP</t>
  </si>
  <si>
    <t>$586.95M</t>
  </si>
  <si>
    <t>GPRE</t>
  </si>
  <si>
    <t>Green Plains, Inc.</t>
  </si>
  <si>
    <t>$790.27M</t>
  </si>
  <si>
    <t>GCBC</t>
  </si>
  <si>
    <t>Greene County Bancorp, Inc.</t>
  </si>
  <si>
    <t>$210.86M</t>
  </si>
  <si>
    <t>GLRE</t>
  </si>
  <si>
    <t>Greenlight Reinsurance, Ltd.</t>
  </si>
  <si>
    <t>$849.53M</t>
  </si>
  <si>
    <t>GSUM</t>
  </si>
  <si>
    <t>Gridsum Holding Inc.</t>
  </si>
  <si>
    <t>$240.26M</t>
  </si>
  <si>
    <t>GRIF</t>
  </si>
  <si>
    <t>Griffin Industrial Realty, Inc.</t>
  </si>
  <si>
    <t>$161.52M</t>
  </si>
  <si>
    <t>GRFS</t>
  </si>
  <si>
    <t>Grifols, S.A.</t>
  </si>
  <si>
    <t>$14.27B</t>
  </si>
  <si>
    <t>GRPN</t>
  </si>
  <si>
    <t>Groupon, Inc.</t>
  </si>
  <si>
    <t>OMAB</t>
  </si>
  <si>
    <t>Grupo Aeroportuario del Centro Norte S.A.B. de C.V.</t>
  </si>
  <si>
    <t>GGAL</t>
  </si>
  <si>
    <t>Grupo Financiero Galicia S.A.</t>
  </si>
  <si>
    <t>$4.83B</t>
  </si>
  <si>
    <t>GSIT</t>
  </si>
  <si>
    <t>GSI Technology, Inc.</t>
  </si>
  <si>
    <t>$146.24M</t>
  </si>
  <si>
    <t>GSVC</t>
  </si>
  <si>
    <t>GSV Capital Corp</t>
  </si>
  <si>
    <t>$85.62M</t>
  </si>
  <si>
    <t>GTXI</t>
  </si>
  <si>
    <t>GTx, Inc.</t>
  </si>
  <si>
    <t>$93.52M</t>
  </si>
  <si>
    <t>GTYH</t>
  </si>
  <si>
    <t>GTY Technology Holdings, Inc.</t>
  </si>
  <si>
    <t>$693.45M</t>
  </si>
  <si>
    <t>GTYHU</t>
  </si>
  <si>
    <t>GTYHW</t>
  </si>
  <si>
    <t>GBNK</t>
  </si>
  <si>
    <t>Guaranty Bancorp</t>
  </si>
  <si>
    <t>$749.94M</t>
  </si>
  <si>
    <t>GNTY</t>
  </si>
  <si>
    <t>Guaranty Bancshares, Inc.</t>
  </si>
  <si>
    <t>$338.07M</t>
  </si>
  <si>
    <t>GFED</t>
  </si>
  <si>
    <t>Guaranty Federal Bancshares, Inc.</t>
  </si>
  <si>
    <t>$94.26M</t>
  </si>
  <si>
    <t>GUID</t>
  </si>
  <si>
    <t>Guidance Software, Inc.</t>
  </si>
  <si>
    <t>$215.8M</t>
  </si>
  <si>
    <t>GIFI</t>
  </si>
  <si>
    <t>Gulf Island Fabrication, Inc.</t>
  </si>
  <si>
    <t>$164.11M</t>
  </si>
  <si>
    <t>GURE</t>
  </si>
  <si>
    <t>Gulf Resources, Inc.</t>
  </si>
  <si>
    <t>$86.57M</t>
  </si>
  <si>
    <t>GPOR</t>
  </si>
  <si>
    <t>Gulfport Energy Corporation</t>
  </si>
  <si>
    <t>GWPH</t>
  </si>
  <si>
    <t>GW Pharmaceuticals Plc</t>
  </si>
  <si>
    <t>$2.73B</t>
  </si>
  <si>
    <t>GWGH</t>
  </si>
  <si>
    <t>GWG Holdings, Inc</t>
  </si>
  <si>
    <t>$62.13M</t>
  </si>
  <si>
    <t>GYRO</t>
  </si>
  <si>
    <t>Gyrodyne , LLC</t>
  </si>
  <si>
    <t>$29.95M</t>
  </si>
  <si>
    <t>HEES</t>
  </si>
  <si>
    <t>H&amp;E Equipment Services, Inc.</t>
  </si>
  <si>
    <t>$819.55M</t>
  </si>
  <si>
    <t>HLG</t>
  </si>
  <si>
    <t>Hailiang Education Group Inc.</t>
  </si>
  <si>
    <t>$251.86M</t>
  </si>
  <si>
    <t>HNRG</t>
  </si>
  <si>
    <t>Hallador Energy Company</t>
  </si>
  <si>
    <t>$194.99M</t>
  </si>
  <si>
    <t>HALL</t>
  </si>
  <si>
    <t>Hallmark Financial Services, Inc.</t>
  </si>
  <si>
    <t>$200.93M</t>
  </si>
  <si>
    <t>HALO</t>
  </si>
  <si>
    <t>Halozyme Therapeutics, Inc.</t>
  </si>
  <si>
    <t>HBK</t>
  </si>
  <si>
    <t>Hamilton Bancorp, Inc.</t>
  </si>
  <si>
    <t>$49.46M</t>
  </si>
  <si>
    <t>HLNE</t>
  </si>
  <si>
    <t>Hamilton Lane Incorporated</t>
  </si>
  <si>
    <t>HBHC</t>
  </si>
  <si>
    <t>Hancock Holding Company</t>
  </si>
  <si>
    <t>$3.9B</t>
  </si>
  <si>
    <t>HBHCL</t>
  </si>
  <si>
    <t>HNH</t>
  </si>
  <si>
    <t>Handy &amp; Harman Ltd.</t>
  </si>
  <si>
    <t>$389.25M</t>
  </si>
  <si>
    <t>HAFC</t>
  </si>
  <si>
    <t>Hanmi Financial Corporation</t>
  </si>
  <si>
    <t>$928.25M</t>
  </si>
  <si>
    <t>HQCL</t>
  </si>
  <si>
    <t xml:space="preserve">Hanwha Q CELLS Co., Ltd. </t>
  </si>
  <si>
    <t>$710.79M</t>
  </si>
  <si>
    <t>HONE</t>
  </si>
  <si>
    <t>HarborOne Bancorp, Inc.</t>
  </si>
  <si>
    <t>$611.58M</t>
  </si>
  <si>
    <t>HDNG</t>
  </si>
  <si>
    <t>Hardinge Inc.</t>
  </si>
  <si>
    <t>$183.75M</t>
  </si>
  <si>
    <t>HLIT</t>
  </si>
  <si>
    <t>Harmonic Inc.</t>
  </si>
  <si>
    <t>$310.58M</t>
  </si>
  <si>
    <t>HBIO</t>
  </si>
  <si>
    <t>Harvard Bioscience, Inc.</t>
  </si>
  <si>
    <t>$107.99M</t>
  </si>
  <si>
    <t>HCAP</t>
  </si>
  <si>
    <t>Harvest Capital Credit Corporation</t>
  </si>
  <si>
    <t>$84.06M</t>
  </si>
  <si>
    <t>HCAPL</t>
  </si>
  <si>
    <t>HAS</t>
  </si>
  <si>
    <t>Hasbro, Inc.</t>
  </si>
  <si>
    <t>$12.69B</t>
  </si>
  <si>
    <t>HA</t>
  </si>
  <si>
    <t>Hawaiian Holdings, Inc.</t>
  </si>
  <si>
    <t>$2.28B</t>
  </si>
  <si>
    <t>HCOM</t>
  </si>
  <si>
    <t>Hawaiian Telcom Holdco, Inc.</t>
  </si>
  <si>
    <t>$361.54M</t>
  </si>
  <si>
    <t>HWKN</t>
  </si>
  <si>
    <t>Hawkins, Inc.</t>
  </si>
  <si>
    <t>$448.03M</t>
  </si>
  <si>
    <t>HWBK</t>
  </si>
  <si>
    <t>Hawthorn Bancshares, Inc.</t>
  </si>
  <si>
    <t>$120.56M</t>
  </si>
  <si>
    <t>HAYN</t>
  </si>
  <si>
    <t>Haynes International, Inc.</t>
  </si>
  <si>
    <t>$382.99M</t>
  </si>
  <si>
    <t>HDS</t>
  </si>
  <si>
    <t>HD Supply Holdings, Inc.</t>
  </si>
  <si>
    <t>$6.35B</t>
  </si>
  <si>
    <t>HIIQ</t>
  </si>
  <si>
    <t>Health Insurance Innovations, Inc.</t>
  </si>
  <si>
    <t>$516.28M</t>
  </si>
  <si>
    <t>HCSG</t>
  </si>
  <si>
    <t>Healthcare Services Group, Inc.</t>
  </si>
  <si>
    <t>$3.79B</t>
  </si>
  <si>
    <t>HQY</t>
  </si>
  <si>
    <t>HealthEquity, Inc.</t>
  </si>
  <si>
    <t>HSTM</t>
  </si>
  <si>
    <t>HealthStream, Inc.</t>
  </si>
  <si>
    <t>$744.56M</t>
  </si>
  <si>
    <t>HTLD</t>
  </si>
  <si>
    <t>Heartland Express, Inc.</t>
  </si>
  <si>
    <t>$1.72B</t>
  </si>
  <si>
    <t>HTLF</t>
  </si>
  <si>
    <t>Heartland Financial USA, Inc.</t>
  </si>
  <si>
    <t>HTBX</t>
  </si>
  <si>
    <t>Heat Biologics, Inc.</t>
  </si>
  <si>
    <t>$17.88M</t>
  </si>
  <si>
    <t>HEBT</t>
  </si>
  <si>
    <t>Hebron Technology Co., Ltd.</t>
  </si>
  <si>
    <t>$48.81M</t>
  </si>
  <si>
    <t>HSII</t>
  </si>
  <si>
    <t>Heidrick &amp; Struggles International, Inc.</t>
  </si>
  <si>
    <t>$351.28M</t>
  </si>
  <si>
    <t>HELE</t>
  </si>
  <si>
    <t>Helen of Troy Limited</t>
  </si>
  <si>
    <t>HMNY</t>
  </si>
  <si>
    <t>Helios and Matheson Analytics Inc</t>
  </si>
  <si>
    <t>$19.52M</t>
  </si>
  <si>
    <t>HMTV</t>
  </si>
  <si>
    <t>Hemisphere Media Group, Inc.</t>
  </si>
  <si>
    <t>$550.52M</t>
  </si>
  <si>
    <t>HNNA</t>
  </si>
  <si>
    <t>Hennessy Advisors, Inc.</t>
  </si>
  <si>
    <t>$123.67M</t>
  </si>
  <si>
    <t>HSIC</t>
  </si>
  <si>
    <t>Henry Schein, Inc.</t>
  </si>
  <si>
    <t>$13.8B</t>
  </si>
  <si>
    <t>HTBK</t>
  </si>
  <si>
    <t>Heritage Commerce Corp</t>
  </si>
  <si>
    <t>$525.82M</t>
  </si>
  <si>
    <t>HFWA</t>
  </si>
  <si>
    <t>Heritage Financial Corporation</t>
  </si>
  <si>
    <t>$817.04M</t>
  </si>
  <si>
    <t>HCCI</t>
  </si>
  <si>
    <t>Heritage-Crystal Clean, Inc.</t>
  </si>
  <si>
    <t>$426.29M</t>
  </si>
  <si>
    <t>MLHR</t>
  </si>
  <si>
    <t>Herman Miller, Inc.</t>
  </si>
  <si>
    <t>HRTX</t>
  </si>
  <si>
    <t xml:space="preserve">Heron Therapeutics, Inc.  </t>
  </si>
  <si>
    <t>$851.1M</t>
  </si>
  <si>
    <t>HSKA</t>
  </si>
  <si>
    <t>Heska Corporation</t>
  </si>
  <si>
    <t>$734.6M</t>
  </si>
  <si>
    <t>HIBB</t>
  </si>
  <si>
    <t>Hibbett Sports, Inc.</t>
  </si>
  <si>
    <t>$308.38M</t>
  </si>
  <si>
    <t>SNLN</t>
  </si>
  <si>
    <t>Highland/iBoxx Senior Loan ETF</t>
  </si>
  <si>
    <t>$481.76M</t>
  </si>
  <si>
    <t>HPJ</t>
  </si>
  <si>
    <t>Highpower International Inc</t>
  </si>
  <si>
    <t>$74.17M</t>
  </si>
  <si>
    <t>HIHO</t>
  </si>
  <si>
    <t>Highway Holdings Limited</t>
  </si>
  <si>
    <t>$13.81M</t>
  </si>
  <si>
    <t>HIMX</t>
  </si>
  <si>
    <t>Himax Technologies, Inc.</t>
  </si>
  <si>
    <t>HIFS</t>
  </si>
  <si>
    <t>Hingham Institution for Savings</t>
  </si>
  <si>
    <t>$374.75M</t>
  </si>
  <si>
    <t>HSGX</t>
  </si>
  <si>
    <t>Histogenics Corporation</t>
  </si>
  <si>
    <t>$39.9M</t>
  </si>
  <si>
    <t>HMNF</t>
  </si>
  <si>
    <t>HMN Financial, Inc.</t>
  </si>
  <si>
    <t>$80.51M</t>
  </si>
  <si>
    <t>HMSY</t>
  </si>
  <si>
    <t>HMS Holdings Corp</t>
  </si>
  <si>
    <t>HOLI</t>
  </si>
  <si>
    <t>Hollysys Automation Technologies, Ltd.</t>
  </si>
  <si>
    <t>HOLX</t>
  </si>
  <si>
    <t>Hologic, Inc.</t>
  </si>
  <si>
    <t>$10.93B</t>
  </si>
  <si>
    <t>HBCP</t>
  </si>
  <si>
    <t>Home Bancorp, Inc.</t>
  </si>
  <si>
    <t>$296.14M</t>
  </si>
  <si>
    <t>HOMB</t>
  </si>
  <si>
    <t>Home BancShares, Inc.</t>
  </si>
  <si>
    <t>$3.58B</t>
  </si>
  <si>
    <t>HFBL</t>
  </si>
  <si>
    <t>Home Federal Bancorp, Inc. of Louisiana</t>
  </si>
  <si>
    <t>$52.54M</t>
  </si>
  <si>
    <t>HMST</t>
  </si>
  <si>
    <t>HomeStreet, Inc.</t>
  </si>
  <si>
    <t>$693.61M</t>
  </si>
  <si>
    <t>HMTA</t>
  </si>
  <si>
    <t>HomeTown Bankshares Corporation</t>
  </si>
  <si>
    <t>$61.71M</t>
  </si>
  <si>
    <t>HTBI</t>
  </si>
  <si>
    <t>HomeTrust Bancshares, Inc.</t>
  </si>
  <si>
    <t>$442.9M</t>
  </si>
  <si>
    <t>HOFT</t>
  </si>
  <si>
    <t>Hooker Furniture Corporation</t>
  </si>
  <si>
    <t>$495.87M</t>
  </si>
  <si>
    <t>HOPE</t>
  </si>
  <si>
    <t>Hope Bancorp, Inc.</t>
  </si>
  <si>
    <t>HFBC</t>
  </si>
  <si>
    <t>HopFed Bancorp, Inc.</t>
  </si>
  <si>
    <t>$96.19M</t>
  </si>
  <si>
    <t>HBNC</t>
  </si>
  <si>
    <t>Horizon Bancorp (IN)</t>
  </si>
  <si>
    <t>$581.47M</t>
  </si>
  <si>
    <t>HZNP</t>
  </si>
  <si>
    <t>Horizon Pharma plc</t>
  </si>
  <si>
    <t>$1.99B</t>
  </si>
  <si>
    <t>HRZN</t>
  </si>
  <si>
    <t>Horizon Technology Finance Corporation</t>
  </si>
  <si>
    <t>$125.11M</t>
  </si>
  <si>
    <t>DAX</t>
  </si>
  <si>
    <t>Horizons DAX Germany ETF</t>
  </si>
  <si>
    <t>$17.55M</t>
  </si>
  <si>
    <t>QYLD</t>
  </si>
  <si>
    <t>Horizons NASDAQ-100 Covered Call ETF</t>
  </si>
  <si>
    <t>$19.18M</t>
  </si>
  <si>
    <t>HDP</t>
  </si>
  <si>
    <t>Hortonworks, Inc.</t>
  </si>
  <si>
    <t>$977.62M</t>
  </si>
  <si>
    <t>HPT</t>
  </si>
  <si>
    <t>Hospitality Properties Trust</t>
  </si>
  <si>
    <t>$4.73B</t>
  </si>
  <si>
    <t>TWNK</t>
  </si>
  <si>
    <t>Hostess Brands, Inc.</t>
  </si>
  <si>
    <t>$1.97B</t>
  </si>
  <si>
    <t>TWNKW</t>
  </si>
  <si>
    <t>HMHC</t>
  </si>
  <si>
    <t>Houghton Mifflin Harcourt Company</t>
  </si>
  <si>
    <t>Books</t>
  </si>
  <si>
    <t>HWCC</t>
  </si>
  <si>
    <t>Houston Wire &amp; Cable Company</t>
  </si>
  <si>
    <t>$96.51M</t>
  </si>
  <si>
    <t>HOVNP</t>
  </si>
  <si>
    <t>Hovnanian Enterprises Inc</t>
  </si>
  <si>
    <t>$33.75M</t>
  </si>
  <si>
    <t>HBMD</t>
  </si>
  <si>
    <t>Howard Bancorp, Inc.</t>
  </si>
  <si>
    <t>$183.19M</t>
  </si>
  <si>
    <t>HSNI</t>
  </si>
  <si>
    <t>HSN, Inc.</t>
  </si>
  <si>
    <t>HTGM</t>
  </si>
  <si>
    <t>HTG Molecular Diagnostics, Inc.</t>
  </si>
  <si>
    <t>$24.48M</t>
  </si>
  <si>
    <t>HUBG</t>
  </si>
  <si>
    <t>Hub Group, Inc.</t>
  </si>
  <si>
    <t>HSON</t>
  </si>
  <si>
    <t>Hudson Global, Inc.</t>
  </si>
  <si>
    <t>$45.2M</t>
  </si>
  <si>
    <t>HDSN</t>
  </si>
  <si>
    <t>Hudson Technologies, Inc.</t>
  </si>
  <si>
    <t>$333.56M</t>
  </si>
  <si>
    <t>HUNT</t>
  </si>
  <si>
    <t>Hunter Maritime Acquisition Corp.</t>
  </si>
  <si>
    <t>$42.44M</t>
  </si>
  <si>
    <t>HUNTU</t>
  </si>
  <si>
    <t>HUNTW</t>
  </si>
  <si>
    <t>HBAN</t>
  </si>
  <si>
    <t>Huntington Bancshares Incorporated</t>
  </si>
  <si>
    <t>$14.55B</t>
  </si>
  <si>
    <t>HBANN</t>
  </si>
  <si>
    <t>HBANO</t>
  </si>
  <si>
    <t>HBANP</t>
  </si>
  <si>
    <t>HURC</t>
  </si>
  <si>
    <t>Hurco Companies, Inc.</t>
  </si>
  <si>
    <t>$231.18M</t>
  </si>
  <si>
    <t>HURN</t>
  </si>
  <si>
    <t>Huron Consulting Group Inc.</t>
  </si>
  <si>
    <t>$736.17M</t>
  </si>
  <si>
    <t>HCM</t>
  </si>
  <si>
    <t>Hutchison China MediTech Limited</t>
  </si>
  <si>
    <t>HBP</t>
  </si>
  <si>
    <t>Huttig Building Products, Inc.</t>
  </si>
  <si>
    <t>$147.47M</t>
  </si>
  <si>
    <t>HVBC</t>
  </si>
  <si>
    <t>HV Bancorp, Inc.</t>
  </si>
  <si>
    <t>$31.64M</t>
  </si>
  <si>
    <t>HYGS</t>
  </si>
  <si>
    <t>Hydrogenics Corporation</t>
  </si>
  <si>
    <t>$118.06M</t>
  </si>
  <si>
    <t>IDSY</t>
  </si>
  <si>
    <t>I.D. Systems, Inc.</t>
  </si>
  <si>
    <t>$122.03M</t>
  </si>
  <si>
    <t>IAC</t>
  </si>
  <si>
    <t>IAC/InterActiveCorp</t>
  </si>
  <si>
    <t>$8.43B</t>
  </si>
  <si>
    <t>IBKC</t>
  </si>
  <si>
    <t>IBERIABANK Corporation</t>
  </si>
  <si>
    <t>$4.34B</t>
  </si>
  <si>
    <t>IBKCO</t>
  </si>
  <si>
    <t>IBKCP</t>
  </si>
  <si>
    <t>ICAD</t>
  </si>
  <si>
    <t>icad inc.</t>
  </si>
  <si>
    <t>$62.96M</t>
  </si>
  <si>
    <t>IEP</t>
  </si>
  <si>
    <t>Icahn Enterprises L.P.</t>
  </si>
  <si>
    <t>$8.94B</t>
  </si>
  <si>
    <t>ICCH</t>
  </si>
  <si>
    <t>ICC Holdings, Inc.</t>
  </si>
  <si>
    <t>$55.73M</t>
  </si>
  <si>
    <t>ICFI</t>
  </si>
  <si>
    <t>ICF International, Inc.</t>
  </si>
  <si>
    <t>$842.13M</t>
  </si>
  <si>
    <t>ICHR</t>
  </si>
  <si>
    <t>Ichor Holdings</t>
  </si>
  <si>
    <t>$481.56M</t>
  </si>
  <si>
    <t>ICLR</t>
  </si>
  <si>
    <t>ICON plc</t>
  </si>
  <si>
    <t>$5.66B</t>
  </si>
  <si>
    <t>ICON</t>
  </si>
  <si>
    <t>Iconix Brand Group, Inc.</t>
  </si>
  <si>
    <t>$350.36M</t>
  </si>
  <si>
    <t>ICUI</t>
  </si>
  <si>
    <t>ICU Medical, Inc.</t>
  </si>
  <si>
    <t>$3.4B</t>
  </si>
  <si>
    <t>IPWR</t>
  </si>
  <si>
    <t>Ideal Power Inc.</t>
  </si>
  <si>
    <t>INVE</t>
  </si>
  <si>
    <t>Identiv, Inc.</t>
  </si>
  <si>
    <t>$56.63M</t>
  </si>
  <si>
    <t>IDRA</t>
  </si>
  <si>
    <t>Idera Pharmaceuticals, Inc.</t>
  </si>
  <si>
    <t>$266.98M</t>
  </si>
  <si>
    <t>IDXX</t>
  </si>
  <si>
    <t>IDEXX Laboratories, Inc.</t>
  </si>
  <si>
    <t>$13.51B</t>
  </si>
  <si>
    <t>IESC</t>
  </si>
  <si>
    <t>IES Holdings, Inc.</t>
  </si>
  <si>
    <t>$326.87M</t>
  </si>
  <si>
    <t>IROQ</t>
  </si>
  <si>
    <t>IF Bancorp, Inc.</t>
  </si>
  <si>
    <t>$80.38M</t>
  </si>
  <si>
    <t>IFMK</t>
  </si>
  <si>
    <t>iFresh Inc.</t>
  </si>
  <si>
    <t>$187.09M</t>
  </si>
  <si>
    <t>RXDX</t>
  </si>
  <si>
    <t>Ignyta, Inc.</t>
  </si>
  <si>
    <t>$550.88M</t>
  </si>
  <si>
    <t>INFO</t>
  </si>
  <si>
    <t>IHS Markit Ltd.</t>
  </si>
  <si>
    <t>$18.1B</t>
  </si>
  <si>
    <t>IIVI</t>
  </si>
  <si>
    <t>II-VI Incorporated</t>
  </si>
  <si>
    <t>KANG</t>
  </si>
  <si>
    <t>iKang Healthcare Group, Inc.</t>
  </si>
  <si>
    <t>$985.49M</t>
  </si>
  <si>
    <t>IKNX</t>
  </si>
  <si>
    <t>Ikonics Corporation</t>
  </si>
  <si>
    <t>$18.35M</t>
  </si>
  <si>
    <t>ILG</t>
  </si>
  <si>
    <t>ILG, Inc</t>
  </si>
  <si>
    <t>$3.24B</t>
  </si>
  <si>
    <t>ILMN</t>
  </si>
  <si>
    <t>Illumina, Inc.</t>
  </si>
  <si>
    <t>$28.85B</t>
  </si>
  <si>
    <t>ISNS</t>
  </si>
  <si>
    <t>Image Sensing Systems, Inc.</t>
  </si>
  <si>
    <t>$16.22M</t>
  </si>
  <si>
    <t>IMMR</t>
  </si>
  <si>
    <t>Immersion Corporation</t>
  </si>
  <si>
    <t>$193.42M</t>
  </si>
  <si>
    <t>ICCC</t>
  </si>
  <si>
    <t>ImmuCell Corporation</t>
  </si>
  <si>
    <t>$37.36M</t>
  </si>
  <si>
    <t>IMDZ</t>
  </si>
  <si>
    <t>Immune Design Corp.</t>
  </si>
  <si>
    <t>$256.2M</t>
  </si>
  <si>
    <t xml:space="preserve">IMNP          </t>
  </si>
  <si>
    <t>Immune Pharmaceuticals Inc.</t>
  </si>
  <si>
    <t>$15.15M</t>
  </si>
  <si>
    <t>IMGN</t>
  </si>
  <si>
    <t>ImmunoGen, Inc.</t>
  </si>
  <si>
    <t>$521.46M</t>
  </si>
  <si>
    <t>IMMU</t>
  </si>
  <si>
    <t>Immunomedics, Inc.</t>
  </si>
  <si>
    <t>$938.63M</t>
  </si>
  <si>
    <t>IMRN</t>
  </si>
  <si>
    <t>Immuron Limited</t>
  </si>
  <si>
    <t>$16.79M</t>
  </si>
  <si>
    <t>IMRNW</t>
  </si>
  <si>
    <t>IPXL</t>
  </si>
  <si>
    <t>Impax Laboratories, Inc.</t>
  </si>
  <si>
    <t>IMPV</t>
  </si>
  <si>
    <t>Imperva, Inc.</t>
  </si>
  <si>
    <t>$1.49B</t>
  </si>
  <si>
    <t>PI</t>
  </si>
  <si>
    <t>Impinj, Inc.</t>
  </si>
  <si>
    <t>$780.54M</t>
  </si>
  <si>
    <t>IMMY</t>
  </si>
  <si>
    <t>Imprimis Pharmaceuticals, Inc.</t>
  </si>
  <si>
    <t>$44.75M</t>
  </si>
  <si>
    <t>INCR</t>
  </si>
  <si>
    <t>INC Research Holdings, Inc.</t>
  </si>
  <si>
    <t>$5.85B</t>
  </si>
  <si>
    <t>INCY</t>
  </si>
  <si>
    <t>Incyte Corporation</t>
  </si>
  <si>
    <t>$26.89B</t>
  </si>
  <si>
    <t>INDB</t>
  </si>
  <si>
    <t>Independent Bank Corp.</t>
  </si>
  <si>
    <t>IBCP</t>
  </si>
  <si>
    <t>Independent Bank Corporation</t>
  </si>
  <si>
    <t>$451.26M</t>
  </si>
  <si>
    <t>IBTX</t>
  </si>
  <si>
    <t>Independent Bank Group, Inc</t>
  </si>
  <si>
    <t>INDUU</t>
  </si>
  <si>
    <t>Industrea Acquisition Corp.</t>
  </si>
  <si>
    <t>IDSA</t>
  </si>
  <si>
    <t>Industrial Services of America, Inc.</t>
  </si>
  <si>
    <t>$12.84M</t>
  </si>
  <si>
    <t>INFN</t>
  </si>
  <si>
    <t>Infinera Corporation</t>
  </si>
  <si>
    <t>INFI</t>
  </si>
  <si>
    <t>Infinity Pharmaceuticals, Inc.</t>
  </si>
  <si>
    <t>$65.39M</t>
  </si>
  <si>
    <t>IPCC</t>
  </si>
  <si>
    <t>Infinity Property and Casualty Corporation</t>
  </si>
  <si>
    <t>III</t>
  </si>
  <si>
    <t>Information Services Group, Inc.</t>
  </si>
  <si>
    <t>$155.84M</t>
  </si>
  <si>
    <t>IFON</t>
  </si>
  <si>
    <t>InfoSonics Corp</t>
  </si>
  <si>
    <t>$5.47M</t>
  </si>
  <si>
    <t>IMKTA</t>
  </si>
  <si>
    <t>Ingles Markets, Incorporated</t>
  </si>
  <si>
    <t>$548.03M</t>
  </si>
  <si>
    <t>INWK</t>
  </si>
  <si>
    <t>InnerWorkings, Inc.</t>
  </si>
  <si>
    <t>$597.79M</t>
  </si>
  <si>
    <t>INOD</t>
  </si>
  <si>
    <t>Innodata Inc.</t>
  </si>
  <si>
    <t>$40.11M</t>
  </si>
  <si>
    <t>IPHS</t>
  </si>
  <si>
    <t>Innophos Holdings, Inc.</t>
  </si>
  <si>
    <t>$913.04M</t>
  </si>
  <si>
    <t>IOSP</t>
  </si>
  <si>
    <t>Innospec Inc.</t>
  </si>
  <si>
    <t>ISSC</t>
  </si>
  <si>
    <t>Innovative Solutions and Support, Inc.</t>
  </si>
  <si>
    <t>$65.45M</t>
  </si>
  <si>
    <t>INVA</t>
  </si>
  <si>
    <t>Innoviva, Inc.</t>
  </si>
  <si>
    <t>INGN</t>
  </si>
  <si>
    <t>Inogen, Inc</t>
  </si>
  <si>
    <t>ITEK</t>
  </si>
  <si>
    <t>Inotek Pharmaceuticals Corporation</t>
  </si>
  <si>
    <t>$28.36M</t>
  </si>
  <si>
    <t>INOV</t>
  </si>
  <si>
    <t>Inovalon Holdings, Inc.</t>
  </si>
  <si>
    <t>INO</t>
  </si>
  <si>
    <t>Inovio Pharmaceuticals, Inc.</t>
  </si>
  <si>
    <t>$421.17M</t>
  </si>
  <si>
    <t>INPX</t>
  </si>
  <si>
    <t xml:space="preserve">Inpixon </t>
  </si>
  <si>
    <t>$2.21M</t>
  </si>
  <si>
    <t>INSG</t>
  </si>
  <si>
    <t>Inseego Corp.</t>
  </si>
  <si>
    <t>$64.37M</t>
  </si>
  <si>
    <t>NSIT</t>
  </si>
  <si>
    <t>Insight Enterprises, Inc.</t>
  </si>
  <si>
    <t>$1.57B</t>
  </si>
  <si>
    <t>ISIG</t>
  </si>
  <si>
    <t>Insignia Systems, Inc.</t>
  </si>
  <si>
    <t>$12.27M</t>
  </si>
  <si>
    <t>INSM</t>
  </si>
  <si>
    <t>Insmed, Inc.</t>
  </si>
  <si>
    <t>$800.31M</t>
  </si>
  <si>
    <t>INSE</t>
  </si>
  <si>
    <t>Inspired Entertainment, Inc.</t>
  </si>
  <si>
    <t>$228.38M</t>
  </si>
  <si>
    <t>IIIN</t>
  </si>
  <si>
    <t>Insteel Industries, Inc.</t>
  </si>
  <si>
    <t>$509.69M</t>
  </si>
  <si>
    <t>PODD</t>
  </si>
  <si>
    <t>Insulet Corporation</t>
  </si>
  <si>
    <t>$3.18B</t>
  </si>
  <si>
    <t>INSY</t>
  </si>
  <si>
    <t>Insys Therapeutics, Inc.</t>
  </si>
  <si>
    <t>$671.49M</t>
  </si>
  <si>
    <t>NTEC</t>
  </si>
  <si>
    <t>Intec Pharma Ltd.</t>
  </si>
  <si>
    <t>$74.87M</t>
  </si>
  <si>
    <t>IART</t>
  </si>
  <si>
    <t>Integra LifeSciences Holdings Corporation</t>
  </si>
  <si>
    <t>IDTI</t>
  </si>
  <si>
    <t>Integrated Device Technology, Inc.</t>
  </si>
  <si>
    <t>IMTE</t>
  </si>
  <si>
    <t>Integrated Media Technology Limited</t>
  </si>
  <si>
    <t>INTC</t>
  </si>
  <si>
    <t>Intel Corporation</t>
  </si>
  <si>
    <t>$171.09B</t>
  </si>
  <si>
    <t>NTLA</t>
  </si>
  <si>
    <t>Intellia Therapeutics, Inc.</t>
  </si>
  <si>
    <t>$599.84M</t>
  </si>
  <si>
    <t>IPCI</t>
  </si>
  <si>
    <t>Intellipharmaceutics International Inc.</t>
  </si>
  <si>
    <t>$34.85M</t>
  </si>
  <si>
    <t>IPAR</t>
  </si>
  <si>
    <t>Inter Parfums, Inc.</t>
  </si>
  <si>
    <t>Package Goods/Cosmetics</t>
  </si>
  <si>
    <t>IBKR</t>
  </si>
  <si>
    <t>Interactive Brokers Group, Inc.</t>
  </si>
  <si>
    <t>$16.6B</t>
  </si>
  <si>
    <t>ICPT</t>
  </si>
  <si>
    <t>Intercept Pharmaceuticals, Inc.</t>
  </si>
  <si>
    <t>$2.67B</t>
  </si>
  <si>
    <t>IDCC</t>
  </si>
  <si>
    <t>InterDigital, Inc.</t>
  </si>
  <si>
    <t>TILE</t>
  </si>
  <si>
    <t>Interface, Inc.</t>
  </si>
  <si>
    <t>$1.2B</t>
  </si>
  <si>
    <t>LINK</t>
  </si>
  <si>
    <t>Interlink Electronics, Inc.</t>
  </si>
  <si>
    <t>$61.61M</t>
  </si>
  <si>
    <t>IMI</t>
  </si>
  <si>
    <t>Intermolecular, Inc.</t>
  </si>
  <si>
    <t>$46.75M</t>
  </si>
  <si>
    <t>INAP</t>
  </si>
  <si>
    <t>Internap Corporation</t>
  </si>
  <si>
    <t>$374.87M</t>
  </si>
  <si>
    <t>IBOC</t>
  </si>
  <si>
    <t>International Bancshares Corporation</t>
  </si>
  <si>
    <t>ISCA</t>
  </si>
  <si>
    <t>International Speedway Corporation</t>
  </si>
  <si>
    <t>IGLD</t>
  </si>
  <si>
    <t>Internet Gold Golden Lines Ltd.</t>
  </si>
  <si>
    <t>$128.09M</t>
  </si>
  <si>
    <t>IIJI</t>
  </si>
  <si>
    <t>Internet Initiative Japan, Inc.</t>
  </si>
  <si>
    <t>$829.11M</t>
  </si>
  <si>
    <t>IDXG</t>
  </si>
  <si>
    <t>Interpace Diagnostics Group, Inc.</t>
  </si>
  <si>
    <t>$16.63M</t>
  </si>
  <si>
    <t>XENT</t>
  </si>
  <si>
    <t>Intersect ENT, Inc.</t>
  </si>
  <si>
    <t>$891.74M</t>
  </si>
  <si>
    <t>INTX</t>
  </si>
  <si>
    <t>Intersections, Inc.</t>
  </si>
  <si>
    <t>$94.06M</t>
  </si>
  <si>
    <t>IVAC</t>
  </si>
  <si>
    <t>Intevac, Inc.</t>
  </si>
  <si>
    <t>$199.31M</t>
  </si>
  <si>
    <t>INTL</t>
  </si>
  <si>
    <t>INTL FCStone Inc.</t>
  </si>
  <si>
    <t>$722.99M</t>
  </si>
  <si>
    <t>ITCI</t>
  </si>
  <si>
    <t>Intra-Cellular Therapies Inc.</t>
  </si>
  <si>
    <t>$468.51M</t>
  </si>
  <si>
    <t>IIN</t>
  </si>
  <si>
    <t>IntriCon Corporation</t>
  </si>
  <si>
    <t>$60.27M</t>
  </si>
  <si>
    <t>INTU</t>
  </si>
  <si>
    <t>Intuit Inc.</t>
  </si>
  <si>
    <t>$34.89B</t>
  </si>
  <si>
    <t>ISRG</t>
  </si>
  <si>
    <t>Intuitive Surgical, Inc.</t>
  </si>
  <si>
    <t>$34.71B</t>
  </si>
  <si>
    <t>SNAK</t>
  </si>
  <si>
    <t>Inventure Foods, Inc.</t>
  </si>
  <si>
    <t>$63.79M</t>
  </si>
  <si>
    <t>ISTR</t>
  </si>
  <si>
    <t>Investar Holding Corporation</t>
  </si>
  <si>
    <t>$202.31M</t>
  </si>
  <si>
    <t>ISBC</t>
  </si>
  <si>
    <t>Investors Bancorp, Inc.</t>
  </si>
  <si>
    <t>ITIC</t>
  </si>
  <si>
    <t>Investors Title Company</t>
  </si>
  <si>
    <t>$336.88M</t>
  </si>
  <si>
    <t>NVIV</t>
  </si>
  <si>
    <t>InVivo Therapeutics Holdings Corp.</t>
  </si>
  <si>
    <t>$57.88M</t>
  </si>
  <si>
    <t>IVTY</t>
  </si>
  <si>
    <t>Invuity, Inc.</t>
  </si>
  <si>
    <t>$108.27M</t>
  </si>
  <si>
    <t>IONS</t>
  </si>
  <si>
    <t>Ionis Pharmaceuticals, Inc.</t>
  </si>
  <si>
    <t>$5.99B</t>
  </si>
  <si>
    <t>IOVA</t>
  </si>
  <si>
    <t>Iovance Biotherapeutics, Inc.</t>
  </si>
  <si>
    <t>$354.18M</t>
  </si>
  <si>
    <t>IPAS</t>
  </si>
  <si>
    <t>iPass Inc.</t>
  </si>
  <si>
    <t>$41.08M</t>
  </si>
  <si>
    <t>DTYS</t>
  </si>
  <si>
    <t>iPath US Treasury 10-year Bear ETN</t>
  </si>
  <si>
    <t>$47.18M</t>
  </si>
  <si>
    <t>DTYL</t>
  </si>
  <si>
    <t>iPath US Treasury 10-year Bull ETN</t>
  </si>
  <si>
    <t>$5.27M</t>
  </si>
  <si>
    <t>DTUS</t>
  </si>
  <si>
    <t>iPath US Treasury 2-year Bear ETN</t>
  </si>
  <si>
    <t>$8M</t>
  </si>
  <si>
    <t>DTUL</t>
  </si>
  <si>
    <t>iPath US Treasury 2-year Bull ETN</t>
  </si>
  <si>
    <t>$4.46M</t>
  </si>
  <si>
    <t>DFVS</t>
  </si>
  <si>
    <t>iPath US Treasury 5-year Bear ETN</t>
  </si>
  <si>
    <t>$1.24M</t>
  </si>
  <si>
    <t>DFVL</t>
  </si>
  <si>
    <t>iPath US Treasury 5-year Bull ETN</t>
  </si>
  <si>
    <t>$4.89M</t>
  </si>
  <si>
    <t>FLAT</t>
  </si>
  <si>
    <t>iPath US Treasury Flattener ETN</t>
  </si>
  <si>
    <t>$3.52M</t>
  </si>
  <si>
    <t>DLBS</t>
  </si>
  <si>
    <t>iPath US Treasury Long Bond Bear ETN</t>
  </si>
  <si>
    <t>$17.97M</t>
  </si>
  <si>
    <t>DLBL</t>
  </si>
  <si>
    <t>iPath US Treasury Long Bond Bull ETN</t>
  </si>
  <si>
    <t>$5.4M</t>
  </si>
  <si>
    <t>STPP</t>
  </si>
  <si>
    <t>iPath US Treasury Steepener ETN</t>
  </si>
  <si>
    <t>$3.34M</t>
  </si>
  <si>
    <t>IPGP</t>
  </si>
  <si>
    <t>IPG Photonics Corporation</t>
  </si>
  <si>
    <t>$8.75B</t>
  </si>
  <si>
    <t>CSML</t>
  </si>
  <si>
    <t>IQ Chaikin U.S. Small Cap ETF</t>
  </si>
  <si>
    <t>$148.15M</t>
  </si>
  <si>
    <t>IRMD</t>
  </si>
  <si>
    <t>iRadimed Corporation</t>
  </si>
  <si>
    <t>$106.35M</t>
  </si>
  <si>
    <t>IRTC</t>
  </si>
  <si>
    <t>iRhythm Technologies, Inc.</t>
  </si>
  <si>
    <t>$974.49M</t>
  </si>
  <si>
    <t>IRIX</t>
  </si>
  <si>
    <t>IRIDEX Corporation</t>
  </si>
  <si>
    <t>$94.78M</t>
  </si>
  <si>
    <t>IRDM</t>
  </si>
  <si>
    <t>Iridium Communications Inc</t>
  </si>
  <si>
    <t>$991.34M</t>
  </si>
  <si>
    <t>IRDMB</t>
  </si>
  <si>
    <t>$191.8M</t>
  </si>
  <si>
    <t>IRBT</t>
  </si>
  <si>
    <t>iRobot Corporation</t>
  </si>
  <si>
    <t>$2.91B</t>
  </si>
  <si>
    <t>Consumer Electronics/Appliances</t>
  </si>
  <si>
    <t>IRWD</t>
  </si>
  <si>
    <t>Ironwood Pharmaceuticals, Inc.</t>
  </si>
  <si>
    <t>IRCP</t>
  </si>
  <si>
    <t>IRSA Propiedades Comerciales S.A.</t>
  </si>
  <si>
    <t>PMPT</t>
  </si>
  <si>
    <t>iSectors Post-MPT Growth ETF</t>
  </si>
  <si>
    <t>$12.83M</t>
  </si>
  <si>
    <t>SLQD</t>
  </si>
  <si>
    <t>iShares 0-5 Year Investment Grade Corporate Bond ETF</t>
  </si>
  <si>
    <t>$515.92M</t>
  </si>
  <si>
    <t>CSJ</t>
  </si>
  <si>
    <t>iShares 1-3 Year Credit Bond ETF</t>
  </si>
  <si>
    <t>$11.74B</t>
  </si>
  <si>
    <t>ISHG</t>
  </si>
  <si>
    <t>iShares 1-3 Year International Treasury Bond ETF</t>
  </si>
  <si>
    <t>$79.65M</t>
  </si>
  <si>
    <t>SHY</t>
  </si>
  <si>
    <t>iShares 1-3 Year Treasury Bond ETF</t>
  </si>
  <si>
    <t>$10.99B</t>
  </si>
  <si>
    <t>TLT</t>
  </si>
  <si>
    <t>iShares 20+ Year Treasury Bond ETF</t>
  </si>
  <si>
    <t>IEI</t>
  </si>
  <si>
    <t>iShares 3-7 Year Treasury Bond ETF</t>
  </si>
  <si>
    <t>$7.36B</t>
  </si>
  <si>
    <t>IEF</t>
  </si>
  <si>
    <t>iShares 7-10 Year Treasury Bond ETF</t>
  </si>
  <si>
    <t>AIA</t>
  </si>
  <si>
    <t>iShares Asia 50 ETF</t>
  </si>
  <si>
    <t>$458.03M</t>
  </si>
  <si>
    <t>COMT</t>
  </si>
  <si>
    <t>iShares Commodities Select Strategy ETF</t>
  </si>
  <si>
    <t>$206.49M</t>
  </si>
  <si>
    <t>ISTB</t>
  </si>
  <si>
    <t>iShares Core 1-5 Year USD Bond ETF</t>
  </si>
  <si>
    <t>IXUS</t>
  </si>
  <si>
    <t>iShares Core MSCI Total International Stock ETF</t>
  </si>
  <si>
    <t>$6.96B</t>
  </si>
  <si>
    <t>IUSG</t>
  </si>
  <si>
    <t>iShares Core S&amp;P U.S. Growth ETF</t>
  </si>
  <si>
    <t>IUSV</t>
  </si>
  <si>
    <t>iShares Core S&amp;P U.S. Value ETF</t>
  </si>
  <si>
    <t>$2.34B</t>
  </si>
  <si>
    <t>IUSB</t>
  </si>
  <si>
    <t>iShares Core Total USD Bond Market ETF</t>
  </si>
  <si>
    <t>HEWG</t>
  </si>
  <si>
    <t>iShares Currency Hedged MSCI Germany ETF</t>
  </si>
  <si>
    <t>$812.82M</t>
  </si>
  <si>
    <t>SUSB</t>
  </si>
  <si>
    <t>iShares ESG 1-5 Year USD Corporate Bond ETF</t>
  </si>
  <si>
    <t>$10.07M</t>
  </si>
  <si>
    <t>SUSC</t>
  </si>
  <si>
    <t>iShares ESG USD Corporate Bond ETF</t>
  </si>
  <si>
    <t>$10.16M</t>
  </si>
  <si>
    <t>XT</t>
  </si>
  <si>
    <t>iShares Exponential Technologies ETF</t>
  </si>
  <si>
    <t>FALN</t>
  </si>
  <si>
    <t>iShares Fallen Angels USD Bond ETF</t>
  </si>
  <si>
    <t>$10.98M</t>
  </si>
  <si>
    <t>IFEU</t>
  </si>
  <si>
    <t>iShares FTSE EPRA/NAREIT Europe Index Fund</t>
  </si>
  <si>
    <t>$38.6M</t>
  </si>
  <si>
    <t>IFGL</t>
  </si>
  <si>
    <t>iShares FTSE EPRA/NAREIT Global Real Estate ex-U.S. Index Fund</t>
  </si>
  <si>
    <t>$547.91M</t>
  </si>
  <si>
    <t>IGF</t>
  </si>
  <si>
    <t>iShares Global Infrastructure ETF</t>
  </si>
  <si>
    <t>GNMA</t>
  </si>
  <si>
    <t>iShares GNMA Bond ETF</t>
  </si>
  <si>
    <t>$126.88M</t>
  </si>
  <si>
    <t>HYXE</t>
  </si>
  <si>
    <t>iShares iBoxx $ High Yield ex Oil &amp; Gas Corporate Bond ETF</t>
  </si>
  <si>
    <t>$10.44M</t>
  </si>
  <si>
    <t>CIU</t>
  </si>
  <si>
    <t>iShares Intermediate Credit Bond ETF</t>
  </si>
  <si>
    <t>$7.28B</t>
  </si>
  <si>
    <t>IGOV</t>
  </si>
  <si>
    <t>iShares International Treasury Bond ETF</t>
  </si>
  <si>
    <t>$673.83M</t>
  </si>
  <si>
    <t>EMB</t>
  </si>
  <si>
    <t>iShares J.P. Morgan USD Emerging Markets Bond ETF</t>
  </si>
  <si>
    <t>$11.88B</t>
  </si>
  <si>
    <t>MBB</t>
  </si>
  <si>
    <t>iShares MBS ETF</t>
  </si>
  <si>
    <t>$10.64B</t>
  </si>
  <si>
    <t>JKI</t>
  </si>
  <si>
    <t>iShares Morningstar Mid-Cap ETF</t>
  </si>
  <si>
    <t>$380.1M</t>
  </si>
  <si>
    <t>ACWX</t>
  </si>
  <si>
    <t>iShares MSCI ACWI ex US Index Fund</t>
  </si>
  <si>
    <t>ACWI</t>
  </si>
  <si>
    <t>iShares MSCI ACWI Index Fund</t>
  </si>
  <si>
    <t>$7.29B</t>
  </si>
  <si>
    <t>AAXJ</t>
  </si>
  <si>
    <t>iShares MSCI All Country Asia ex Japan Index Fund</t>
  </si>
  <si>
    <t>EWZS</t>
  </si>
  <si>
    <t>iShares MSCI Brazil Small-Cap ETF</t>
  </si>
  <si>
    <t>$58.06M</t>
  </si>
  <si>
    <t>MCHI</t>
  </si>
  <si>
    <t>iShares MSCI China ETF</t>
  </si>
  <si>
    <t>$2.7B</t>
  </si>
  <si>
    <t>ESGD</t>
  </si>
  <si>
    <t>iShares MSCI EAFE ESG Optimized ETF</t>
  </si>
  <si>
    <t>$123.06M</t>
  </si>
  <si>
    <t>SCZ</t>
  </si>
  <si>
    <t>iShares MSCI EAFE Small-Cap ETF</t>
  </si>
  <si>
    <t>$8.79B</t>
  </si>
  <si>
    <t>ESGE</t>
  </si>
  <si>
    <t>iShares MSCI EM ESG Optimized ETF</t>
  </si>
  <si>
    <t>$75.54M</t>
  </si>
  <si>
    <t>EEMA</t>
  </si>
  <si>
    <t>iShares MSCI Emerging Markets Asia Index Fund</t>
  </si>
  <si>
    <t>$496.01M</t>
  </si>
  <si>
    <t>EMXC</t>
  </si>
  <si>
    <t>iShares MSCI Emerging Markets ex China ETF</t>
  </si>
  <si>
    <t>EUFN</t>
  </si>
  <si>
    <t>iShares MSCI Europe Financials Sector Index Fund</t>
  </si>
  <si>
    <t>IEUS</t>
  </si>
  <si>
    <t>iShares MSCI Europe Small-Cap ETF</t>
  </si>
  <si>
    <t>$162.45M</t>
  </si>
  <si>
    <t>RING</t>
  </si>
  <si>
    <t>iShares MSCI Global Gold Miners ETF</t>
  </si>
  <si>
    <t>$364.91M</t>
  </si>
  <si>
    <t>MPCT</t>
  </si>
  <si>
    <t>iShares MSCI Global Impact ETF</t>
  </si>
  <si>
    <t>$25.06M</t>
  </si>
  <si>
    <t>ENZL</t>
  </si>
  <si>
    <t>iShares MSCI New Zealand Capped ETF</t>
  </si>
  <si>
    <t>$178.49M</t>
  </si>
  <si>
    <t>QAT</t>
  </si>
  <si>
    <t>iShares MSCI Qatar Capped ETF</t>
  </si>
  <si>
    <t>$52.62M</t>
  </si>
  <si>
    <t>TUR</t>
  </si>
  <si>
    <t>iShares MSCI Turkey ETF</t>
  </si>
  <si>
    <t>$413.54M</t>
  </si>
  <si>
    <t>UAE</t>
  </si>
  <si>
    <t>iShares MSCI UAE Capped ETF</t>
  </si>
  <si>
    <t>$50.06M</t>
  </si>
  <si>
    <t>ESGU</t>
  </si>
  <si>
    <t>iShares MSCI USA ESG Optimized ETF</t>
  </si>
  <si>
    <t>$5.43M</t>
  </si>
  <si>
    <t>IBB</t>
  </si>
  <si>
    <t>iShares Nasdaq Biotechnology Index Fund</t>
  </si>
  <si>
    <t>$9.29B</t>
  </si>
  <si>
    <t>SOXX</t>
  </si>
  <si>
    <t>iShares PHLX SOX Semiconductor Sector Index Fund</t>
  </si>
  <si>
    <t>EMIF</t>
  </si>
  <si>
    <t>iShares S&amp;P Emerging Markets Infrastructure Index Fund</t>
  </si>
  <si>
    <t>$50.54M</t>
  </si>
  <si>
    <t>ICLN</t>
  </si>
  <si>
    <t>iShares S&amp;P Global Clean Energy Index Fund</t>
  </si>
  <si>
    <t>$99.74M</t>
  </si>
  <si>
    <t>WOOD</t>
  </si>
  <si>
    <t>iShares S&amp;P Global Timber &amp; Forestry Index Fund</t>
  </si>
  <si>
    <t>$268.64M</t>
  </si>
  <si>
    <t>INDY</t>
  </si>
  <si>
    <t>iShares S&amp;P India Nifty 50 Index Fund</t>
  </si>
  <si>
    <t>IJT</t>
  </si>
  <si>
    <t>iShares S&amp;P Small-Cap 600 Growth ETF</t>
  </si>
  <si>
    <t>$4.42B</t>
  </si>
  <si>
    <t>DVY</t>
  </si>
  <si>
    <t>iShares Select Dividend ETF</t>
  </si>
  <si>
    <t>$17B</t>
  </si>
  <si>
    <t>SHV</t>
  </si>
  <si>
    <t>iShares Short Treasury Bond ETF</t>
  </si>
  <si>
    <t>$5.75B</t>
  </si>
  <si>
    <t>CRED</t>
  </si>
  <si>
    <t>iShares U.S. Credit Bond ETF</t>
  </si>
  <si>
    <t>PFF</t>
  </si>
  <si>
    <t>iShares U.S. Preferred Stock ETF</t>
  </si>
  <si>
    <t>$18.65B</t>
  </si>
  <si>
    <t>ISRL</t>
  </si>
  <si>
    <t>Isramco, Inc.</t>
  </si>
  <si>
    <t>$310.36M</t>
  </si>
  <si>
    <t>ITI</t>
  </si>
  <si>
    <t>Iteris, Inc.</t>
  </si>
  <si>
    <t>$208.42M</t>
  </si>
  <si>
    <t>ITRI</t>
  </si>
  <si>
    <t>Itron, Inc.</t>
  </si>
  <si>
    <t>$2.83B</t>
  </si>
  <si>
    <t>ITRN</t>
  </si>
  <si>
    <t>Ituran Location and Control Ltd.</t>
  </si>
  <si>
    <t>ITUS</t>
  </si>
  <si>
    <t>ITUS Corporation</t>
  </si>
  <si>
    <t>$11.93M</t>
  </si>
  <si>
    <t>IVENC</t>
  </si>
  <si>
    <t>Ivy NextShares</t>
  </si>
  <si>
    <t>IVFGC</t>
  </si>
  <si>
    <t>IVFVC</t>
  </si>
  <si>
    <t>IXYS</t>
  </si>
  <si>
    <t>IXYS Corporation</t>
  </si>
  <si>
    <t>$515.13M</t>
  </si>
  <si>
    <t>IZEA</t>
  </si>
  <si>
    <t>IZEA Inc.</t>
  </si>
  <si>
    <t>JJSF</t>
  </si>
  <si>
    <t>J &amp; J Snack Foods Corp.</t>
  </si>
  <si>
    <t>$2.39B</t>
  </si>
  <si>
    <t>MAYS</t>
  </si>
  <si>
    <t>J. W. Mays, Inc.</t>
  </si>
  <si>
    <t>$72.16M</t>
  </si>
  <si>
    <t>JBHT</t>
  </si>
  <si>
    <t>J.B. Hunt Transport Services, Inc.</t>
  </si>
  <si>
    <t>$9.95B</t>
  </si>
  <si>
    <t>JCOM</t>
  </si>
  <si>
    <t>j2 Global, Inc.</t>
  </si>
  <si>
    <t>$3.71B</t>
  </si>
  <si>
    <t>JASO</t>
  </si>
  <si>
    <t>JA Solar Holdings, Co., Ltd.</t>
  </si>
  <si>
    <t>$298.74M</t>
  </si>
  <si>
    <t>JKHY</t>
  </si>
  <si>
    <t>Jack Henry &amp; Associates, Inc.</t>
  </si>
  <si>
    <t>$8.28B</t>
  </si>
  <si>
    <t>JACK</t>
  </si>
  <si>
    <t>Jack In The Box Inc.</t>
  </si>
  <si>
    <t>$2.79B</t>
  </si>
  <si>
    <t>JXSB</t>
  </si>
  <si>
    <t>Jacksonville Bancorp Inc.</t>
  </si>
  <si>
    <t>$53.76M</t>
  </si>
  <si>
    <t>JAGX</t>
  </si>
  <si>
    <t>Jaguar Animal Health, Inc.</t>
  </si>
  <si>
    <t>$29.98M</t>
  </si>
  <si>
    <t>JAKK</t>
  </si>
  <si>
    <t>JAKKS Pacific, Inc.</t>
  </si>
  <si>
    <t>$98.09M</t>
  </si>
  <si>
    <t>JMBA</t>
  </si>
  <si>
    <t>Jamba, Inc.</t>
  </si>
  <si>
    <t>$131.07M</t>
  </si>
  <si>
    <t>JRVR</t>
  </si>
  <si>
    <t>James River Group Holdings, Ltd.</t>
  </si>
  <si>
    <t>SGQI</t>
  </si>
  <si>
    <t>Janus Henderson SG Global Quality Income ETF</t>
  </si>
  <si>
    <t>JSML</t>
  </si>
  <si>
    <t>Janus Henderson Small Cap Growth Alpha ETF</t>
  </si>
  <si>
    <t>$6.9M</t>
  </si>
  <si>
    <t>JSMD</t>
  </si>
  <si>
    <t>Janus Henderson Small/Mid Cap Growth Alpha ETF</t>
  </si>
  <si>
    <t>$12.3M</t>
  </si>
  <si>
    <t>JASN</t>
  </si>
  <si>
    <t>Jason Industries, Inc.</t>
  </si>
  <si>
    <t>$31.68M</t>
  </si>
  <si>
    <t>JASNW</t>
  </si>
  <si>
    <t>JAZZ</t>
  </si>
  <si>
    <t>Jazz Pharmaceuticals plc</t>
  </si>
  <si>
    <t>$9.15B</t>
  </si>
  <si>
    <t>JD</t>
  </si>
  <si>
    <t>JD.com, Inc.</t>
  </si>
  <si>
    <t>$68.35B</t>
  </si>
  <si>
    <t>JSYN</t>
  </si>
  <si>
    <t>Jensyn Acquistion Corp.</t>
  </si>
  <si>
    <t>$52.78M</t>
  </si>
  <si>
    <t>JSYNR</t>
  </si>
  <si>
    <t>JSYNU</t>
  </si>
  <si>
    <t>JSYNW</t>
  </si>
  <si>
    <t>JBLU</t>
  </si>
  <si>
    <t>JetBlue Airways Corporation</t>
  </si>
  <si>
    <t>$7.17B</t>
  </si>
  <si>
    <t>JTPY</t>
  </si>
  <si>
    <t>JetPay Corporation</t>
  </si>
  <si>
    <t>$31.96M</t>
  </si>
  <si>
    <t>JCTCF</t>
  </si>
  <si>
    <t>Jewett-Cameron Trading Company</t>
  </si>
  <si>
    <t>$30.54M</t>
  </si>
  <si>
    <t>WYIG</t>
  </si>
  <si>
    <t>JM Global Holding Company</t>
  </si>
  <si>
    <t>$65.49M</t>
  </si>
  <si>
    <t>WYIGU</t>
  </si>
  <si>
    <t>$66.87M</t>
  </si>
  <si>
    <t>WYIGW</t>
  </si>
  <si>
    <t>JMU</t>
  </si>
  <si>
    <t>JMU Limited</t>
  </si>
  <si>
    <t>$163.14M</t>
  </si>
  <si>
    <t>JBSS</t>
  </si>
  <si>
    <t>John B. Sanfilippo &amp; Son, Inc.</t>
  </si>
  <si>
    <t>$714.32M</t>
  </si>
  <si>
    <t>JOUT</t>
  </si>
  <si>
    <t>Johnson Outdoors Inc.</t>
  </si>
  <si>
    <t>$573.38M</t>
  </si>
  <si>
    <t>JNCE</t>
  </si>
  <si>
    <t>Jounce Therapeutics, Inc.</t>
  </si>
  <si>
    <t>$383.15M</t>
  </si>
  <si>
    <t>JNP</t>
  </si>
  <si>
    <t>Juniper Pharmaceuticals, Inc.</t>
  </si>
  <si>
    <t>$52.05M</t>
  </si>
  <si>
    <t>JUNO</t>
  </si>
  <si>
    <t>Juno Therapeutics, Inc.</t>
  </si>
  <si>
    <t>$3.07B</t>
  </si>
  <si>
    <t>KTWO</t>
  </si>
  <si>
    <t>K2M Group Holdings, Inc.</t>
  </si>
  <si>
    <t>KALU</t>
  </si>
  <si>
    <t>Kaiser Aluminum Corporation</t>
  </si>
  <si>
    <t>KALA</t>
  </si>
  <si>
    <t>Kala Pharmaceuticals, Inc.</t>
  </si>
  <si>
    <t>$462.18M</t>
  </si>
  <si>
    <t>KALV</t>
  </si>
  <si>
    <t>KalVista Pharmaceuticals, Inc.</t>
  </si>
  <si>
    <t>$69.93M</t>
  </si>
  <si>
    <t>KMDA</t>
  </si>
  <si>
    <t>Kamada Ltd.</t>
  </si>
  <si>
    <t>$165.72M</t>
  </si>
  <si>
    <t>KNDI</t>
  </si>
  <si>
    <t>Kandi Technologies Group, Inc.</t>
  </si>
  <si>
    <t>$192.09M</t>
  </si>
  <si>
    <t>Auto Manufacturing</t>
  </si>
  <si>
    <t>KPTI</t>
  </si>
  <si>
    <t>Karyopharm Therapeutics Inc.</t>
  </si>
  <si>
    <t>$417M</t>
  </si>
  <si>
    <t>KAAC</t>
  </si>
  <si>
    <t>Kayne Anderson Acquisition Corp.</t>
  </si>
  <si>
    <t>$457.5M</t>
  </si>
  <si>
    <t>KAACU</t>
  </si>
  <si>
    <t>KAACW</t>
  </si>
  <si>
    <t>KBLM</t>
  </si>
  <si>
    <t>KBL Merger Corp. IV</t>
  </si>
  <si>
    <t>KBLMR</t>
  </si>
  <si>
    <t>KBLMU</t>
  </si>
  <si>
    <t>KBLMW</t>
  </si>
  <si>
    <t>KBSF</t>
  </si>
  <si>
    <t>KBS Fashion Group Limited</t>
  </si>
  <si>
    <t>$3.77M</t>
  </si>
  <si>
    <t>KCAP</t>
  </si>
  <si>
    <t>KCAP Financial, Inc.</t>
  </si>
  <si>
    <t>$127.92M</t>
  </si>
  <si>
    <t>KRNY</t>
  </si>
  <si>
    <t>Kearny Financial</t>
  </si>
  <si>
    <t>KELYA</t>
  </si>
  <si>
    <t>Kelly Services, Inc.</t>
  </si>
  <si>
    <t>$843.86M</t>
  </si>
  <si>
    <t>KELYB</t>
  </si>
  <si>
    <t>$880.62M</t>
  </si>
  <si>
    <t>KMPH</t>
  </si>
  <si>
    <t>KemPharm, Inc.</t>
  </si>
  <si>
    <t>$45.41M</t>
  </si>
  <si>
    <t>KFFB</t>
  </si>
  <si>
    <t>Kentucky First Federal Bancorp</t>
  </si>
  <si>
    <t>$80.34M</t>
  </si>
  <si>
    <t>KERX</t>
  </si>
  <si>
    <t>Keryx Biopharmaceuticals, Inc.</t>
  </si>
  <si>
    <t>$774.25M</t>
  </si>
  <si>
    <t>KEQU</t>
  </si>
  <si>
    <t>Kewaunee Scientific Corporation</t>
  </si>
  <si>
    <t>$69.54M</t>
  </si>
  <si>
    <t>KTEC</t>
  </si>
  <si>
    <t>Key Technology, Inc.</t>
  </si>
  <si>
    <t>$93.41M</t>
  </si>
  <si>
    <t>KTCC</t>
  </si>
  <si>
    <t>Key Tronic Corporation</t>
  </si>
  <si>
    <t>$75.43M</t>
  </si>
  <si>
    <t>KFRC</t>
  </si>
  <si>
    <t>Kforce, Inc.</t>
  </si>
  <si>
    <t>$485.1M</t>
  </si>
  <si>
    <t>KE</t>
  </si>
  <si>
    <t>Kimball Electronics, Inc.</t>
  </si>
  <si>
    <t>$518.13M</t>
  </si>
  <si>
    <t>KBAL</t>
  </si>
  <si>
    <t>Kimball International, Inc.</t>
  </si>
  <si>
    <t>$614.56M</t>
  </si>
  <si>
    <t>KIN</t>
  </si>
  <si>
    <t>Kindred Biosciences, Inc.</t>
  </si>
  <si>
    <t>$167.84M</t>
  </si>
  <si>
    <t>KGJI</t>
  </si>
  <si>
    <t>Kingold Jewelry Inc.</t>
  </si>
  <si>
    <t>$110.25M</t>
  </si>
  <si>
    <t>KINS</t>
  </si>
  <si>
    <t>Kingstone Companies, Inc</t>
  </si>
  <si>
    <t>$163.05M</t>
  </si>
  <si>
    <t>KONE</t>
  </si>
  <si>
    <t>Kingtone Wirelessinfo Solution Holding Ltd</t>
  </si>
  <si>
    <t>$5.06M</t>
  </si>
  <si>
    <t>KNSL</t>
  </si>
  <si>
    <t>Kinsale Capital Group, Inc.</t>
  </si>
  <si>
    <t>$861.81M</t>
  </si>
  <si>
    <t>KIRK</t>
  </si>
  <si>
    <t>Kirkland&amp;#39;s, Inc.</t>
  </si>
  <si>
    <t>$155.19M</t>
  </si>
  <si>
    <t>KITE</t>
  </si>
  <si>
    <t>Kite Pharma, Inc.</t>
  </si>
  <si>
    <t>$6.79B</t>
  </si>
  <si>
    <t>KTOV</t>
  </si>
  <si>
    <t>Kitov Pharmaceuticals Holdings Ltd.</t>
  </si>
  <si>
    <t>$16.17M</t>
  </si>
  <si>
    <t>KTOVW</t>
  </si>
  <si>
    <t>KLAC</t>
  </si>
  <si>
    <t>KLA-Tencor Corporation</t>
  </si>
  <si>
    <t>$14.22B</t>
  </si>
  <si>
    <t>KLXI</t>
  </si>
  <si>
    <t>KLX Inc.</t>
  </si>
  <si>
    <t>KONA</t>
  </si>
  <si>
    <t>Kona Grill, Inc.</t>
  </si>
  <si>
    <t>$17.68M</t>
  </si>
  <si>
    <t>KOPN</t>
  </si>
  <si>
    <t>Kopin Corporation</t>
  </si>
  <si>
    <t>$293.26M</t>
  </si>
  <si>
    <t>KRNT</t>
  </si>
  <si>
    <t>Kornit Digital Ltd.</t>
  </si>
  <si>
    <t>$626.93M</t>
  </si>
  <si>
    <t>KOSS</t>
  </si>
  <si>
    <t>Koss Corporation</t>
  </si>
  <si>
    <t>$12.77M</t>
  </si>
  <si>
    <t>KWEB</t>
  </si>
  <si>
    <t>KraneShares CSI China Internet ETF</t>
  </si>
  <si>
    <t>$191.05M</t>
  </si>
  <si>
    <t>KTOS</t>
  </si>
  <si>
    <t>Kratos Defense &amp; Security Solutions, Inc.</t>
  </si>
  <si>
    <t>KLIC</t>
  </si>
  <si>
    <t>Kulicke and Soffa Industries, Inc.</t>
  </si>
  <si>
    <t>KURA</t>
  </si>
  <si>
    <t>Kura Oncology, Inc.</t>
  </si>
  <si>
    <t>$192.65M</t>
  </si>
  <si>
    <t>KVHI</t>
  </si>
  <si>
    <t>KVH Industries, Inc.</t>
  </si>
  <si>
    <t>$202.5M</t>
  </si>
  <si>
    <t>FSTR</t>
  </si>
  <si>
    <t>L.B. Foster Company</t>
  </si>
  <si>
    <t>$198.57M</t>
  </si>
  <si>
    <t>LJPC</t>
  </si>
  <si>
    <t>La Jolla Pharmaceutical Company</t>
  </si>
  <si>
    <t>$718.35M</t>
  </si>
  <si>
    <t>LSBK</t>
  </si>
  <si>
    <t>Lake Shore Bancorp, Inc.</t>
  </si>
  <si>
    <t>$95.62M</t>
  </si>
  <si>
    <t>LBAI</t>
  </si>
  <si>
    <t>Lakeland Bancorp, Inc.</t>
  </si>
  <si>
    <t>$906.8M</t>
  </si>
  <si>
    <t>LKFN</t>
  </si>
  <si>
    <t>Lakeland Financial Corporation</t>
  </si>
  <si>
    <t>LAKE</t>
  </si>
  <si>
    <t>Lakeland Industries, Inc.</t>
  </si>
  <si>
    <t>$111.87M</t>
  </si>
  <si>
    <t>LRCX</t>
  </si>
  <si>
    <t>Lam Research Corporation</t>
  </si>
  <si>
    <t>$25.19B</t>
  </si>
  <si>
    <t>LAMR</t>
  </si>
  <si>
    <t>Lamar Advertising Company</t>
  </si>
  <si>
    <t>LANC</t>
  </si>
  <si>
    <t>Lancaster Colony Corporation</t>
  </si>
  <si>
    <t>LCA</t>
  </si>
  <si>
    <t>Landcadia Holdings, Inc.</t>
  </si>
  <si>
    <t>$314.06M</t>
  </si>
  <si>
    <t>LCAHU</t>
  </si>
  <si>
    <t>LCAHW</t>
  </si>
  <si>
    <t>LNDC</t>
  </si>
  <si>
    <t>Landec Corporation</t>
  </si>
  <si>
    <t>$344.05M</t>
  </si>
  <si>
    <t>LARK</t>
  </si>
  <si>
    <t>Landmark Bancorp Inc.</t>
  </si>
  <si>
    <t>$110.91M</t>
  </si>
  <si>
    <t>LMRK</t>
  </si>
  <si>
    <t>Landmark Infrastructure Partners LP</t>
  </si>
  <si>
    <t>$385.61M</t>
  </si>
  <si>
    <t>LMRKO</t>
  </si>
  <si>
    <t>LMRKP</t>
  </si>
  <si>
    <t>LE</t>
  </si>
  <si>
    <t>Lands&amp;#39; End, Inc.</t>
  </si>
  <si>
    <t>$435.6M</t>
  </si>
  <si>
    <t>LSTR</t>
  </si>
  <si>
    <t>Landstar System, Inc.</t>
  </si>
  <si>
    <t>LNTH</t>
  </si>
  <si>
    <t>Lantheus Holdings, Inc.</t>
  </si>
  <si>
    <t>$705.93M</t>
  </si>
  <si>
    <t>LTRX</t>
  </si>
  <si>
    <t>Lantronix, Inc.</t>
  </si>
  <si>
    <t>$37.99M</t>
  </si>
  <si>
    <t>LSCC</t>
  </si>
  <si>
    <t>Lattice Semiconductor Corporation</t>
  </si>
  <si>
    <t>$824.72M</t>
  </si>
  <si>
    <t>LAUR</t>
  </si>
  <si>
    <t>Laureate Education, Inc.</t>
  </si>
  <si>
    <t>$2.84B</t>
  </si>
  <si>
    <t>LAWS</t>
  </si>
  <si>
    <t>Lawson Products, Inc.</t>
  </si>
  <si>
    <t>$204.55M</t>
  </si>
  <si>
    <t>LAYN</t>
  </si>
  <si>
    <t>Layne Christensen Company</t>
  </si>
  <si>
    <t>$208.09M</t>
  </si>
  <si>
    <t>LCNB</t>
  </si>
  <si>
    <t>LCNB Corporation</t>
  </si>
  <si>
    <t>$200.28M</t>
  </si>
  <si>
    <t>LBIX</t>
  </si>
  <si>
    <t>Leading Brands Inc</t>
  </si>
  <si>
    <t>$3.53M</t>
  </si>
  <si>
    <t>LPTX</t>
  </si>
  <si>
    <t>LEAP THERAPEUTICS, INC.</t>
  </si>
  <si>
    <t>$59.64M</t>
  </si>
  <si>
    <t>LGCY</t>
  </si>
  <si>
    <t>Legacy Reserves LP</t>
  </si>
  <si>
    <t>$105.68M</t>
  </si>
  <si>
    <t>LGCYO</t>
  </si>
  <si>
    <t>$43.33M</t>
  </si>
  <si>
    <t>LGCYP</t>
  </si>
  <si>
    <t>$13M</t>
  </si>
  <si>
    <t>LTXB</t>
  </si>
  <si>
    <t>LegacyTexas Financial Group, Inc.</t>
  </si>
  <si>
    <t>$1.86B</t>
  </si>
  <si>
    <t>DDBI</t>
  </si>
  <si>
    <t>Legg Mason Developed EX-US Diversified Core ETF</t>
  </si>
  <si>
    <t>$5.74M</t>
  </si>
  <si>
    <t>EDBI</t>
  </si>
  <si>
    <t>Legg Mason Emerging Markets Diversified Core ETF</t>
  </si>
  <si>
    <t>INFR</t>
  </si>
  <si>
    <t>Legg Mason Global Infrastructure ETF</t>
  </si>
  <si>
    <t>LVHD</t>
  </si>
  <si>
    <t>Legg Mason Low Volatility High Dividend ETF</t>
  </si>
  <si>
    <t>SQLV</t>
  </si>
  <si>
    <t>Legg Mason Small-Cap Quality Value ETF</t>
  </si>
  <si>
    <t>UDBI</t>
  </si>
  <si>
    <t>Legg Mason US Diversified Core ETF</t>
  </si>
  <si>
    <t>$3.12M</t>
  </si>
  <si>
    <t>LMAT</t>
  </si>
  <si>
    <t>LeMaitre Vascular, Inc.</t>
  </si>
  <si>
    <t>$647.92M</t>
  </si>
  <si>
    <t>TREE</t>
  </si>
  <si>
    <t>LendingTree, Inc.</t>
  </si>
  <si>
    <t>$2.75B</t>
  </si>
  <si>
    <t>LXRX</t>
  </si>
  <si>
    <t>Lexicon Pharmaceuticals, Inc.</t>
  </si>
  <si>
    <t>$1.59B</t>
  </si>
  <si>
    <t>LGIH</t>
  </si>
  <si>
    <t>LGI Homes, Inc.</t>
  </si>
  <si>
    <t>LHCG</t>
  </si>
  <si>
    <t>LHC Group</t>
  </si>
  <si>
    <t>LLIT</t>
  </si>
  <si>
    <t>Lianluo Smart Limited</t>
  </si>
  <si>
    <t>$24.06M</t>
  </si>
  <si>
    <t>LBRDA</t>
  </si>
  <si>
    <t>Liberty Broadband Corporation</t>
  </si>
  <si>
    <t>$18.01B</t>
  </si>
  <si>
    <t>LBRDK</t>
  </si>
  <si>
    <t>$18.16B</t>
  </si>
  <si>
    <t>LEXEA</t>
  </si>
  <si>
    <t>Liberty Expedia Holdings, Inc.</t>
  </si>
  <si>
    <t>$3.05B</t>
  </si>
  <si>
    <t>LEXEB</t>
  </si>
  <si>
    <t>$3.25B</t>
  </si>
  <si>
    <t>LBTYA</t>
  </si>
  <si>
    <t>Liberty Global plc</t>
  </si>
  <si>
    <t>$29B</t>
  </si>
  <si>
    <t>LBTYB</t>
  </si>
  <si>
    <t>$30.09B</t>
  </si>
  <si>
    <t>LBTYK</t>
  </si>
  <si>
    <t>$27.88B</t>
  </si>
  <si>
    <t>LILA</t>
  </si>
  <si>
    <t>$4.58B</t>
  </si>
  <si>
    <t>LILAK</t>
  </si>
  <si>
    <t>$4.55B</t>
  </si>
  <si>
    <t>LVNTA</t>
  </si>
  <si>
    <t>Liberty Interactive Corporation</t>
  </si>
  <si>
    <t>LVNTB</t>
  </si>
  <si>
    <t>$4.82B</t>
  </si>
  <si>
    <t>QVCA</t>
  </si>
  <si>
    <t>QVCB</t>
  </si>
  <si>
    <t>$9.82B</t>
  </si>
  <si>
    <t>BATRA</t>
  </si>
  <si>
    <t>Liberty Media Corporation</t>
  </si>
  <si>
    <t>BATRK</t>
  </si>
  <si>
    <t>FWONA</t>
  </si>
  <si>
    <t>FWONK</t>
  </si>
  <si>
    <t>$7.41B</t>
  </si>
  <si>
    <t>LSXMA</t>
  </si>
  <si>
    <t>LSXMB</t>
  </si>
  <si>
    <t>LSXMK</t>
  </si>
  <si>
    <t>$15.28B</t>
  </si>
  <si>
    <t>TAX</t>
  </si>
  <si>
    <t>Liberty Tax, Inc.</t>
  </si>
  <si>
    <t>$176.29M</t>
  </si>
  <si>
    <t>LTRPA</t>
  </si>
  <si>
    <t>Liberty TripAdvisor Holdings, Inc.</t>
  </si>
  <si>
    <t>$862.54M</t>
  </si>
  <si>
    <t>LTRPB</t>
  </si>
  <si>
    <t>$919.22M</t>
  </si>
  <si>
    <t>LPNT</t>
  </si>
  <si>
    <t>LifePoint Health, Inc.</t>
  </si>
  <si>
    <t>LCUT</t>
  </si>
  <si>
    <t>Lifetime Brands, Inc.</t>
  </si>
  <si>
    <t>$248.52M</t>
  </si>
  <si>
    <t>LFVN</t>
  </si>
  <si>
    <t>Lifevantage Corporation</t>
  </si>
  <si>
    <t>$51.1M</t>
  </si>
  <si>
    <t>LWAY</t>
  </si>
  <si>
    <t>Lifeway Foods, Inc.</t>
  </si>
  <si>
    <t>$151.53M</t>
  </si>
  <si>
    <t>LGND</t>
  </si>
  <si>
    <t>Ligand Pharmaceuticals Incorporated</t>
  </si>
  <si>
    <t>$2.71B</t>
  </si>
  <si>
    <t>LTBR</t>
  </si>
  <si>
    <t>Lightbridge Corporation</t>
  </si>
  <si>
    <t>$11.5M</t>
  </si>
  <si>
    <t>LPTH</t>
  </si>
  <si>
    <t>LightPath Technologies, Inc.</t>
  </si>
  <si>
    <t>$64.63M</t>
  </si>
  <si>
    <t>LLEX</t>
  </si>
  <si>
    <t>Lilis Energy, Inc.</t>
  </si>
  <si>
    <t>$186.05M</t>
  </si>
  <si>
    <t>LMB</t>
  </si>
  <si>
    <t>Limbach Holdings, Inc.</t>
  </si>
  <si>
    <t>$93.11M</t>
  </si>
  <si>
    <t>LLNW</t>
  </si>
  <si>
    <t>Limelight Networks, Inc.</t>
  </si>
  <si>
    <t>$400.94M</t>
  </si>
  <si>
    <t>LMNR</t>
  </si>
  <si>
    <t>Limoneira Co</t>
  </si>
  <si>
    <t>$313.74M</t>
  </si>
  <si>
    <t>LINC</t>
  </si>
  <si>
    <t>Lincoln Educational Services Corporation</t>
  </si>
  <si>
    <t>$78.85M</t>
  </si>
  <si>
    <t>LECO</t>
  </si>
  <si>
    <t>Lincoln Electric Holdings, Inc.</t>
  </si>
  <si>
    <t>$5.81B</t>
  </si>
  <si>
    <t>LIND</t>
  </si>
  <si>
    <t xml:space="preserve">Lindblad Expeditions Holdings Inc. </t>
  </si>
  <si>
    <t>$470.04M</t>
  </si>
  <si>
    <t>LINDW</t>
  </si>
  <si>
    <t>LINU</t>
  </si>
  <si>
    <t>LiNiu Technology Group</t>
  </si>
  <si>
    <t>$15.42M</t>
  </si>
  <si>
    <t>LPCN</t>
  </si>
  <si>
    <t>Lipocine Inc.</t>
  </si>
  <si>
    <t>$87.09M</t>
  </si>
  <si>
    <t>LQDT</t>
  </si>
  <si>
    <t>Liquidity Services, Inc.</t>
  </si>
  <si>
    <t>$192.17M</t>
  </si>
  <si>
    <t>LFUS</t>
  </si>
  <si>
    <t>Littelfuse, Inc.</t>
  </si>
  <si>
    <t>LIVN</t>
  </si>
  <si>
    <t>LivaNova PLC</t>
  </si>
  <si>
    <t>$2.95B</t>
  </si>
  <si>
    <t>LOB</t>
  </si>
  <si>
    <t>Live Oak Bancshares, Inc.</t>
  </si>
  <si>
    <t>$834.82M</t>
  </si>
  <si>
    <t>LIVE</t>
  </si>
  <si>
    <t>Live Ventures Incorporated</t>
  </si>
  <si>
    <t>$24.46M</t>
  </si>
  <si>
    <t>LPSN</t>
  </si>
  <si>
    <t>LivePerson, Inc.</t>
  </si>
  <si>
    <t>$768.65M</t>
  </si>
  <si>
    <t>LKQ</t>
  </si>
  <si>
    <t>LKQ Corporation</t>
  </si>
  <si>
    <t>$10.6B</t>
  </si>
  <si>
    <t>LMFA</t>
  </si>
  <si>
    <t>LM Funding America, Inc.</t>
  </si>
  <si>
    <t>$13.55M</t>
  </si>
  <si>
    <t>LMFAW</t>
  </si>
  <si>
    <t>LOGI</t>
  </si>
  <si>
    <t>Logitech International S.A.</t>
  </si>
  <si>
    <t>$5.89B</t>
  </si>
  <si>
    <t>LOGM</t>
  </si>
  <si>
    <t>LogMein, Inc.</t>
  </si>
  <si>
    <t>EVAR</t>
  </si>
  <si>
    <t>Lombard Medical, Inc.</t>
  </si>
  <si>
    <t>$13.41M</t>
  </si>
  <si>
    <t>CNCR</t>
  </si>
  <si>
    <t>Loncar Cancer Immunotherapy ETF</t>
  </si>
  <si>
    <t>LONE</t>
  </si>
  <si>
    <t>Lonestar Resources US Inc.</t>
  </si>
  <si>
    <t>$75.73M</t>
  </si>
  <si>
    <t>LTEA</t>
  </si>
  <si>
    <t>Long Island Iced Tea Corp.</t>
  </si>
  <si>
    <t>$38.35M</t>
  </si>
  <si>
    <t>LORL</t>
  </si>
  <si>
    <t>Loral Space and Communications, Inc.</t>
  </si>
  <si>
    <t>$1.47B</t>
  </si>
  <si>
    <t>LOXO</t>
  </si>
  <si>
    <t>Loxo Oncology, Inc.</t>
  </si>
  <si>
    <t>LPLA</t>
  </si>
  <si>
    <t>LPL Financial Holdings Inc.</t>
  </si>
  <si>
    <t>LRAD</t>
  </si>
  <si>
    <t>LRAD Corporation</t>
  </si>
  <si>
    <t>$48.02M</t>
  </si>
  <si>
    <t>LYTS</t>
  </si>
  <si>
    <t>LSI Industries Inc.</t>
  </si>
  <si>
    <t>$152.4M</t>
  </si>
  <si>
    <t>LULU</t>
  </si>
  <si>
    <t>lululemon athletica inc.</t>
  </si>
  <si>
    <t>$8.55B</t>
  </si>
  <si>
    <t>LITE</t>
  </si>
  <si>
    <t>Lumentum Holdings Inc.</t>
  </si>
  <si>
    <t>LMNX</t>
  </si>
  <si>
    <t>Luminex Corporation</t>
  </si>
  <si>
    <t>$892.14M</t>
  </si>
  <si>
    <t>LMOS</t>
  </si>
  <si>
    <t>Lumos Networks Corp.</t>
  </si>
  <si>
    <t>$428.36M</t>
  </si>
  <si>
    <t>LUNA</t>
  </si>
  <si>
    <t>Luna Innovations Incorporated</t>
  </si>
  <si>
    <t>$34.15M</t>
  </si>
  <si>
    <t>MBTF</t>
  </si>
  <si>
    <t>M B T Financial Corp</t>
  </si>
  <si>
    <t>$219.55M</t>
  </si>
  <si>
    <t>MACQ</t>
  </si>
  <si>
    <t>M I Acquisitions, Inc.</t>
  </si>
  <si>
    <t>$71.01M</t>
  </si>
  <si>
    <t>MACQU</t>
  </si>
  <si>
    <t>MACQW</t>
  </si>
  <si>
    <t>MIII</t>
  </si>
  <si>
    <t>M III Acquisition Corp.</t>
  </si>
  <si>
    <t>$188.07M</t>
  </si>
  <si>
    <t>MIIIU</t>
  </si>
  <si>
    <t>MIIIW</t>
  </si>
  <si>
    <t>MBVX</t>
  </si>
  <si>
    <t>MabVax Therapeutics Holdings, Inc.</t>
  </si>
  <si>
    <t>$6.45M</t>
  </si>
  <si>
    <t>MCBC</t>
  </si>
  <si>
    <t>Macatawa Bank Corporation</t>
  </si>
  <si>
    <t>$324.45M</t>
  </si>
  <si>
    <t>MFNC</t>
  </si>
  <si>
    <t>Mackinac Financial Corporation</t>
  </si>
  <si>
    <t>$90.9M</t>
  </si>
  <si>
    <t>MTSI</t>
  </si>
  <si>
    <t>MACOM Technology Solutions Holdings, Inc.</t>
  </si>
  <si>
    <t>MGNX</t>
  </si>
  <si>
    <t>MacroGenics, Inc.</t>
  </si>
  <si>
    <t>$616.37M</t>
  </si>
  <si>
    <t>MDGL</t>
  </si>
  <si>
    <t>Madrigal Pharmaceuticals, Inc.</t>
  </si>
  <si>
    <t>$195.06M</t>
  </si>
  <si>
    <t>MAGS</t>
  </si>
  <si>
    <t>Magal Security Systems Ltd.</t>
  </si>
  <si>
    <t>$109.48M</t>
  </si>
  <si>
    <t>MGLN</t>
  </si>
  <si>
    <t>Magellan Health, Inc.</t>
  </si>
  <si>
    <t>MGIC</t>
  </si>
  <si>
    <t>Magic Software Enterprises Ltd.</t>
  </si>
  <si>
    <t>$351.44M</t>
  </si>
  <si>
    <t>CALL</t>
  </si>
  <si>
    <t>magicJack VocalTec Ltd</t>
  </si>
  <si>
    <t>$125.55M</t>
  </si>
  <si>
    <t>MNGA</t>
  </si>
  <si>
    <t>MagneGas Corporation</t>
  </si>
  <si>
    <t>$3.81M</t>
  </si>
  <si>
    <t>MGYR</t>
  </si>
  <si>
    <t>Magyar Bancorp, Inc.</t>
  </si>
  <si>
    <t>$74.51M</t>
  </si>
  <si>
    <t>MHLD</t>
  </si>
  <si>
    <t>Maiden Holdings, Ltd.</t>
  </si>
  <si>
    <t>$913.14M</t>
  </si>
  <si>
    <t>MSFG</t>
  </si>
  <si>
    <t>MainSource Financial Group, Inc.</t>
  </si>
  <si>
    <t>$906.9M</t>
  </si>
  <si>
    <t>MMYT</t>
  </si>
  <si>
    <t>MakeMyTrip Limited</t>
  </si>
  <si>
    <t>MBUU</t>
  </si>
  <si>
    <t>Malibu Boats, Inc.</t>
  </si>
  <si>
    <t>$488.06M</t>
  </si>
  <si>
    <t>MLVF</t>
  </si>
  <si>
    <t>Malvern Bancorp, Inc.</t>
  </si>
  <si>
    <t>$164.97M</t>
  </si>
  <si>
    <t>MAMS</t>
  </si>
  <si>
    <t>MAM Software Group, Inc.</t>
  </si>
  <si>
    <t>$83.43M</t>
  </si>
  <si>
    <t>TUSK</t>
  </si>
  <si>
    <t>Mammoth Energy Services, Inc.</t>
  </si>
  <si>
    <t>$543.82M</t>
  </si>
  <si>
    <t>MANH</t>
  </si>
  <si>
    <t>Manhattan Associates, Inc.</t>
  </si>
  <si>
    <t>LOAN</t>
  </si>
  <si>
    <t>Manhattan Bridge Capital, Inc</t>
  </si>
  <si>
    <t>$43.35M</t>
  </si>
  <si>
    <t>MNTX</t>
  </si>
  <si>
    <t>Manitex International, Inc.</t>
  </si>
  <si>
    <t>$136.59M</t>
  </si>
  <si>
    <t>MTEX</t>
  </si>
  <si>
    <t>Mannatech, Incorporated</t>
  </si>
  <si>
    <t>$43.37M</t>
  </si>
  <si>
    <t>MNKD</t>
  </si>
  <si>
    <t>MannKind Corporation</t>
  </si>
  <si>
    <t>$116.16M</t>
  </si>
  <si>
    <t>MANT</t>
  </si>
  <si>
    <t>ManTech International Corporation</t>
  </si>
  <si>
    <t>MARA</t>
  </si>
  <si>
    <t>Marathon Patent Group, Inc.</t>
  </si>
  <si>
    <t>MCHX</t>
  </si>
  <si>
    <t>Marchex, Inc.</t>
  </si>
  <si>
    <t>$123.53M</t>
  </si>
  <si>
    <t>MARPS</t>
  </si>
  <si>
    <t>Marine Petroleum Trust</t>
  </si>
  <si>
    <t>$6.97M</t>
  </si>
  <si>
    <t>MRNS</t>
  </si>
  <si>
    <t>Marinus Pharmaceuticals, Inc.</t>
  </si>
  <si>
    <t>$56.84M</t>
  </si>
  <si>
    <t>MKTX</t>
  </si>
  <si>
    <t>MarketAxess Holdings, Inc.</t>
  </si>
  <si>
    <t>MRLN</t>
  </si>
  <si>
    <t>Marlin Business Services Corp.</t>
  </si>
  <si>
    <t>$321.9M</t>
  </si>
  <si>
    <t>MAR</t>
  </si>
  <si>
    <t>Marriott International</t>
  </si>
  <si>
    <t>$39.39B</t>
  </si>
  <si>
    <t>MBII</t>
  </si>
  <si>
    <t>Marrone Bio Innovations, Inc.</t>
  </si>
  <si>
    <t>$37.62M</t>
  </si>
  <si>
    <t>MRTN</t>
  </si>
  <si>
    <t>Marten Transport, Ltd.</t>
  </si>
  <si>
    <t>$890.75M</t>
  </si>
  <si>
    <t>MMLP</t>
  </si>
  <si>
    <t>Martin Midstream Partners L.P.</t>
  </si>
  <si>
    <t>$680.6M</t>
  </si>
  <si>
    <t>MRVL</t>
  </si>
  <si>
    <t>Marvell Technology Group Ltd.</t>
  </si>
  <si>
    <t>$7.84B</t>
  </si>
  <si>
    <t>MASI</t>
  </si>
  <si>
    <t>Masimo Corporation</t>
  </si>
  <si>
    <t>MTCH</t>
  </si>
  <si>
    <t>Match Group, Inc.</t>
  </si>
  <si>
    <t>$4.95B</t>
  </si>
  <si>
    <t>MTLS</t>
  </si>
  <si>
    <t>Materialise NV</t>
  </si>
  <si>
    <t>$685.75M</t>
  </si>
  <si>
    <t>MPAC</t>
  </si>
  <si>
    <t>Matlin &amp; Partners Acquisition Corporation</t>
  </si>
  <si>
    <t>$393.25M</t>
  </si>
  <si>
    <t>MPACU</t>
  </si>
  <si>
    <t>MPACW</t>
  </si>
  <si>
    <t>MTRX</t>
  </si>
  <si>
    <t>Matrix Service Company</t>
  </si>
  <si>
    <t>$292.83M</t>
  </si>
  <si>
    <t>MAT</t>
  </si>
  <si>
    <t>Mattel, Inc.</t>
  </si>
  <si>
    <t>$6.31B</t>
  </si>
  <si>
    <t>MATR</t>
  </si>
  <si>
    <t>Mattersight Corporation</t>
  </si>
  <si>
    <t>$96.42M</t>
  </si>
  <si>
    <t>MATW</t>
  </si>
  <si>
    <t>Matthews International Corporation</t>
  </si>
  <si>
    <t>MXIM</t>
  </si>
  <si>
    <t>Maxim Integrated Products, Inc.</t>
  </si>
  <si>
    <t>$12.79B</t>
  </si>
  <si>
    <t>MXPT</t>
  </si>
  <si>
    <t>MaxPoint Interactive, Inc.</t>
  </si>
  <si>
    <t>$44.19M</t>
  </si>
  <si>
    <t>MXWL</t>
  </si>
  <si>
    <t>Maxwell Technologies, Inc.</t>
  </si>
  <si>
    <t>$217.61M</t>
  </si>
  <si>
    <t>MZOR</t>
  </si>
  <si>
    <t>Mazor Robotics Ltd.</t>
  </si>
  <si>
    <t>$870.96M</t>
  </si>
  <si>
    <t>MBFI</t>
  </si>
  <si>
    <t>MB Financial Inc.</t>
  </si>
  <si>
    <t>$3.41B</t>
  </si>
  <si>
    <t>MBFIP</t>
  </si>
  <si>
    <t>$102.88M</t>
  </si>
  <si>
    <t>MCFT</t>
  </si>
  <si>
    <t>MCBC Holdings, Inc.</t>
  </si>
  <si>
    <t>$336.8M</t>
  </si>
  <si>
    <t>MGRC</t>
  </si>
  <si>
    <t>McGrath RentCorp</t>
  </si>
  <si>
    <t>$947.04M</t>
  </si>
  <si>
    <t>MDCA</t>
  </si>
  <si>
    <t>MDC Partners Inc.</t>
  </si>
  <si>
    <t>$541.8M</t>
  </si>
  <si>
    <t>MFIN</t>
  </si>
  <si>
    <t>Medallion Financial Corp.</t>
  </si>
  <si>
    <t>$61.18M</t>
  </si>
  <si>
    <t>MFINL</t>
  </si>
  <si>
    <t>MTBC</t>
  </si>
  <si>
    <t>Medical Transcription Billing, Corp.</t>
  </si>
  <si>
    <t>$16.65M</t>
  </si>
  <si>
    <t>MTBCP</t>
  </si>
  <si>
    <t>$7.49M</t>
  </si>
  <si>
    <t>MNOV</t>
  </si>
  <si>
    <t>MediciNova, Inc.</t>
  </si>
  <si>
    <t>$165.17M</t>
  </si>
  <si>
    <t>MDSO</t>
  </si>
  <si>
    <t>Medidata Solutions, Inc.</t>
  </si>
  <si>
    <t>MDGS</t>
  </si>
  <si>
    <t>Medigus Ltd.</t>
  </si>
  <si>
    <t>$4.1M</t>
  </si>
  <si>
    <t>MDWD</t>
  </si>
  <si>
    <t>MediWound Ltd.</t>
  </si>
  <si>
    <t>$152.58M</t>
  </si>
  <si>
    <t>MDVX</t>
  </si>
  <si>
    <t>Medovex Corp.</t>
  </si>
  <si>
    <t>$18.62M</t>
  </si>
  <si>
    <t>MDVXW</t>
  </si>
  <si>
    <t>MEDP</t>
  </si>
  <si>
    <t>Medpace Holdings, Inc.</t>
  </si>
  <si>
    <t>$1.31B</t>
  </si>
  <si>
    <t>MEIP</t>
  </si>
  <si>
    <t>MEI Pharma, Inc.</t>
  </si>
  <si>
    <t>$100.02M</t>
  </si>
  <si>
    <t>MLCO</t>
  </si>
  <si>
    <t>Melco Resorts &amp; Entertainment Limited</t>
  </si>
  <si>
    <t>$10.23B</t>
  </si>
  <si>
    <t>MLNX</t>
  </si>
  <si>
    <t>Mellanox Technologies, Ltd.</t>
  </si>
  <si>
    <t>MELR</t>
  </si>
  <si>
    <t>Melrose Bancorp, Inc.</t>
  </si>
  <si>
    <t>$46.58M</t>
  </si>
  <si>
    <t>MTSL</t>
  </si>
  <si>
    <t>MER Telemanagement Solutions Ltd.</t>
  </si>
  <si>
    <t>$4.81M</t>
  </si>
  <si>
    <t>MELI</t>
  </si>
  <si>
    <t>MercadoLibre, Inc.</t>
  </si>
  <si>
    <t>$11.12B</t>
  </si>
  <si>
    <t>MBWM</t>
  </si>
  <si>
    <t>Mercantile Bank Corporation</t>
  </si>
  <si>
    <t>$523.95M</t>
  </si>
  <si>
    <t>MERC</t>
  </si>
  <si>
    <t>Mercer International Inc.</t>
  </si>
  <si>
    <t>$708.69M</t>
  </si>
  <si>
    <t>MRCY</t>
  </si>
  <si>
    <t>Mercury Systems Inc</t>
  </si>
  <si>
    <t>EBSB</t>
  </si>
  <si>
    <t>Meridian Bancorp, Inc.</t>
  </si>
  <si>
    <t>$954.97M</t>
  </si>
  <si>
    <t>VIVO</t>
  </si>
  <si>
    <t>Meridian Bioscience Inc.</t>
  </si>
  <si>
    <t>$571.85M</t>
  </si>
  <si>
    <t>MRDN</t>
  </si>
  <si>
    <t>Meridian Waste Solutions, Inc</t>
  </si>
  <si>
    <t>$10.84M</t>
  </si>
  <si>
    <t>MRDNW</t>
  </si>
  <si>
    <t>MMSI</t>
  </si>
  <si>
    <t>Merit Medical Systems, Inc.</t>
  </si>
  <si>
    <t>MACK</t>
  </si>
  <si>
    <t>Merrimack Pharmaceuticals, Inc.</t>
  </si>
  <si>
    <t>$172.56M</t>
  </si>
  <si>
    <t>MRSN</t>
  </si>
  <si>
    <t>Mersana Therapeutics, Inc.</t>
  </si>
  <si>
    <t>$343.31M</t>
  </si>
  <si>
    <t>MRUS</t>
  </si>
  <si>
    <t>Merus N.V.</t>
  </si>
  <si>
    <t>$312.02M</t>
  </si>
  <si>
    <t>MLAB</t>
  </si>
  <si>
    <t>Mesa Laboratories, Inc.</t>
  </si>
  <si>
    <t>$522.49M</t>
  </si>
  <si>
    <t>MESO</t>
  </si>
  <si>
    <t>Mesoblast Limited</t>
  </si>
  <si>
    <t>$568.68M</t>
  </si>
  <si>
    <t>CASH</t>
  </si>
  <si>
    <t>Meta Financial Group, Inc.</t>
  </si>
  <si>
    <t>$684.42M</t>
  </si>
  <si>
    <t>MEOH</t>
  </si>
  <si>
    <t>Methanex Corporation</t>
  </si>
  <si>
    <t>MGCD</t>
  </si>
  <si>
    <t>MGC Diagnostics Corporation</t>
  </si>
  <si>
    <t>$35.19M</t>
  </si>
  <si>
    <t>MGEE</t>
  </si>
  <si>
    <t>MGE Energy Inc.</t>
  </si>
  <si>
    <t>MGPI</t>
  </si>
  <si>
    <t>MGP Ingredients, Inc.</t>
  </si>
  <si>
    <t>$967.85M</t>
  </si>
  <si>
    <t>MBOT</t>
  </si>
  <si>
    <t xml:space="preserve">Microbot Medical Inc. </t>
  </si>
  <si>
    <t>$36.62M</t>
  </si>
  <si>
    <t>MCHP</t>
  </si>
  <si>
    <t>Microchip Technology Incorporated</t>
  </si>
  <si>
    <t>$19.69B</t>
  </si>
  <si>
    <t>MU</t>
  </si>
  <si>
    <t>Micron Technology, Inc.</t>
  </si>
  <si>
    <t>$32.13B</t>
  </si>
  <si>
    <t>MICT</t>
  </si>
  <si>
    <t>Micronet Enertec Technologies, Inc.</t>
  </si>
  <si>
    <t>$5.8M</t>
  </si>
  <si>
    <t>MICTW</t>
  </si>
  <si>
    <t>MSCC</t>
  </si>
  <si>
    <t>Microsemi Corporation</t>
  </si>
  <si>
    <t>$5.95B</t>
  </si>
  <si>
    <t>MSFT</t>
  </si>
  <si>
    <t>Microsoft Corporation</t>
  </si>
  <si>
    <t>$560.65B</t>
  </si>
  <si>
    <t>MSTR</t>
  </si>
  <si>
    <t>MicroStrategy Incorporated</t>
  </si>
  <si>
    <t>MVIS</t>
  </si>
  <si>
    <t>Microvision, Inc.</t>
  </si>
  <si>
    <t>$176.13M</t>
  </si>
  <si>
    <t>MPB</t>
  </si>
  <si>
    <t>Mid Penn Bancorp</t>
  </si>
  <si>
    <t>MTP</t>
  </si>
  <si>
    <t>Midatech Pharma PLC</t>
  </si>
  <si>
    <t>$63.31M</t>
  </si>
  <si>
    <t>MCEP</t>
  </si>
  <si>
    <t>Mid-Con Energy Partners, LP</t>
  </si>
  <si>
    <t>$31.9M</t>
  </si>
  <si>
    <t>MBCN</t>
  </si>
  <si>
    <t>Middlefield Banc Corp.</t>
  </si>
  <si>
    <t>$140.84M</t>
  </si>
  <si>
    <t>MSEX</t>
  </si>
  <si>
    <t>Middlesex Water Company</t>
  </si>
  <si>
    <t>$634.89M</t>
  </si>
  <si>
    <t>MSBI</t>
  </si>
  <si>
    <t>Midland States Bancorp, Inc.</t>
  </si>
  <si>
    <t>$586.37M</t>
  </si>
  <si>
    <t>MOFG</t>
  </si>
  <si>
    <t>MidWestOne Financial Group, Inc.</t>
  </si>
  <si>
    <t>$413.23M</t>
  </si>
  <si>
    <t>MIME</t>
  </si>
  <si>
    <t>Mimecast Limited</t>
  </si>
  <si>
    <t>MDXG</t>
  </si>
  <si>
    <t>MiMedx Group, Inc</t>
  </si>
  <si>
    <t>MNDO</t>
  </si>
  <si>
    <t>MIND C.T.I. Ltd.</t>
  </si>
  <si>
    <t>$47.65M</t>
  </si>
  <si>
    <t>MB</t>
  </si>
  <si>
    <t>MINDBODY, Inc.</t>
  </si>
  <si>
    <t>NERV</t>
  </si>
  <si>
    <t>Minerva Neurosciences, Inc</t>
  </si>
  <si>
    <t>$284.81M</t>
  </si>
  <si>
    <t>MGEN</t>
  </si>
  <si>
    <t>Miragen Therapeutics, Inc.</t>
  </si>
  <si>
    <t>$275.72M</t>
  </si>
  <si>
    <t>MRTX</t>
  </si>
  <si>
    <t>Mirati Therapeutics, Inc.</t>
  </si>
  <si>
    <t>$118.61M</t>
  </si>
  <si>
    <t>MIRN</t>
  </si>
  <si>
    <t>Mirna Therapeutics, Inc.</t>
  </si>
  <si>
    <t>$35.04M</t>
  </si>
  <si>
    <t>MSON</t>
  </si>
  <si>
    <t>MISONIX, Inc.</t>
  </si>
  <si>
    <t>$74.89M</t>
  </si>
  <si>
    <t>MIND</t>
  </si>
  <si>
    <t>Mitcham Industries, Inc.</t>
  </si>
  <si>
    <t>$44.85M</t>
  </si>
  <si>
    <t>MINDP</t>
  </si>
  <si>
    <t>MITK</t>
  </si>
  <si>
    <t>Mitek Systems, Inc.</t>
  </si>
  <si>
    <t>$327.46M</t>
  </si>
  <si>
    <t>MITL</t>
  </si>
  <si>
    <t>Mitel Networks Corporation</t>
  </si>
  <si>
    <t>$986.75M</t>
  </si>
  <si>
    <t>MKSI</t>
  </si>
  <si>
    <t>MKS Instruments, Inc.</t>
  </si>
  <si>
    <t>MMAC</t>
  </si>
  <si>
    <t>MMA Capital Management, LLC</t>
  </si>
  <si>
    <t>$142.74M</t>
  </si>
  <si>
    <t>MINI</t>
  </si>
  <si>
    <t>Mobile Mini, Inc.</t>
  </si>
  <si>
    <t>MOBL</t>
  </si>
  <si>
    <t>MobileIron, Inc.</t>
  </si>
  <si>
    <t>$385.96M</t>
  </si>
  <si>
    <t>MMDM</t>
  </si>
  <si>
    <t>Modern Media Acquisition Corp.</t>
  </si>
  <si>
    <t>$251.51M</t>
  </si>
  <si>
    <t>MMDMR</t>
  </si>
  <si>
    <t>MMDMU</t>
  </si>
  <si>
    <t>MMDMW</t>
  </si>
  <si>
    <t>MLNK</t>
  </si>
  <si>
    <t>ModusLink Global Solutions, Inc</t>
  </si>
  <si>
    <t>$86.11M</t>
  </si>
  <si>
    <t>MTEM</t>
  </si>
  <si>
    <t>Molecular Templates, Inc.</t>
  </si>
  <si>
    <t>$39.05M</t>
  </si>
  <si>
    <t>MBRX</t>
  </si>
  <si>
    <t>Moleculin Biotech, Inc.</t>
  </si>
  <si>
    <t>$45.1M</t>
  </si>
  <si>
    <t>MNTA</t>
  </si>
  <si>
    <t>Momenta Pharmaceuticals, Inc.</t>
  </si>
  <si>
    <t>$1.24B</t>
  </si>
  <si>
    <t>MOMO</t>
  </si>
  <si>
    <t>Momo Inc.</t>
  </si>
  <si>
    <t>$9.03B</t>
  </si>
  <si>
    <t>MCRI</t>
  </si>
  <si>
    <t>Monarch Casino &amp; Resort, Inc.</t>
  </si>
  <si>
    <t>$594.95M</t>
  </si>
  <si>
    <t>MDLZ</t>
  </si>
  <si>
    <t>Mondelez International, Inc.</t>
  </si>
  <si>
    <t>$65.79B</t>
  </si>
  <si>
    <t>MGI</t>
  </si>
  <si>
    <t>Moneygram International, Inc.</t>
  </si>
  <si>
    <t>$856.26M</t>
  </si>
  <si>
    <t>MPWR</t>
  </si>
  <si>
    <t>Monolithic Power Systems, Inc.</t>
  </si>
  <si>
    <t>TYPE</t>
  </si>
  <si>
    <t>Monotype Imaging Holdings Inc.</t>
  </si>
  <si>
    <t>$786.37M</t>
  </si>
  <si>
    <t>MNRO</t>
  </si>
  <si>
    <t>Monro Muffler Brake, Inc.</t>
  </si>
  <si>
    <t>MRCC</t>
  </si>
  <si>
    <t>Monroe Capital Corporation</t>
  </si>
  <si>
    <t>$237.12M</t>
  </si>
  <si>
    <t>MNST</t>
  </si>
  <si>
    <t>Monster Beverage Corporation</t>
  </si>
  <si>
    <t>$29.88B</t>
  </si>
  <si>
    <t>MSDI</t>
  </si>
  <si>
    <t>Monster Digital, Inc.</t>
  </si>
  <si>
    <t>$5.25M</t>
  </si>
  <si>
    <t>MSDIW</t>
  </si>
  <si>
    <t>MORN</t>
  </si>
  <si>
    <t>Morningstar, Inc.</t>
  </si>
  <si>
    <t>$3.51B</t>
  </si>
  <si>
    <t>MOSY</t>
  </si>
  <si>
    <t>MoSys, Inc.</t>
  </si>
  <si>
    <t>$7.34M</t>
  </si>
  <si>
    <t>MTFB</t>
  </si>
  <si>
    <t>Motif Bio plc</t>
  </si>
  <si>
    <t>$72.97M</t>
  </si>
  <si>
    <t>MTFBW</t>
  </si>
  <si>
    <t>MPAA</t>
  </si>
  <si>
    <t>Motorcar Parts of America, Inc.</t>
  </si>
  <si>
    <t>$483.02M</t>
  </si>
  <si>
    <t>MPVD</t>
  </si>
  <si>
    <t>Mountain Province Diamonds Inc.</t>
  </si>
  <si>
    <t>$592.68M</t>
  </si>
  <si>
    <t>MOXC</t>
  </si>
  <si>
    <t>Moxian, Inc.</t>
  </si>
  <si>
    <t>$213.75M</t>
  </si>
  <si>
    <t>MRVC</t>
  </si>
  <si>
    <t>MRV Communications, Inc.</t>
  </si>
  <si>
    <t>$67.78M</t>
  </si>
  <si>
    <t>MSBF</t>
  </si>
  <si>
    <t>MSB Financial Corp.</t>
  </si>
  <si>
    <t>$98.54M</t>
  </si>
  <si>
    <t>MSG</t>
  </si>
  <si>
    <t>MSG Networks Inc.</t>
  </si>
  <si>
    <t>$5.07B</t>
  </si>
  <si>
    <t>MTGE</t>
  </si>
  <si>
    <t>MTGE Investment Corp.</t>
  </si>
  <si>
    <t>$886.19M</t>
  </si>
  <si>
    <t>MTGEP</t>
  </si>
  <si>
    <t>$51.6M</t>
  </si>
  <si>
    <t>MTSC</t>
  </si>
  <si>
    <t>MTS Systems Corporation</t>
  </si>
  <si>
    <t>$898.19M</t>
  </si>
  <si>
    <t>LABL</t>
  </si>
  <si>
    <t>Multi-Color Corporation</t>
  </si>
  <si>
    <t>MFSF</t>
  </si>
  <si>
    <t>MutualFirst Financial Inc.</t>
  </si>
  <si>
    <t>$260.35M</t>
  </si>
  <si>
    <t>MYSZ</t>
  </si>
  <si>
    <t>My Size, Inc.</t>
  </si>
  <si>
    <t>$18.49M</t>
  </si>
  <si>
    <t>MYL</t>
  </si>
  <si>
    <t>Mylan N.V.</t>
  </si>
  <si>
    <t>$17.04B</t>
  </si>
  <si>
    <t>MYND</t>
  </si>
  <si>
    <t>MYnd Analytics, Inc.</t>
  </si>
  <si>
    <t>$15.64M</t>
  </si>
  <si>
    <t>MYNDW</t>
  </si>
  <si>
    <t>MYOK</t>
  </si>
  <si>
    <t>MyoKardia, Inc.</t>
  </si>
  <si>
    <t>MYOS</t>
  </si>
  <si>
    <t>MYOS RENS Technology Inc.</t>
  </si>
  <si>
    <t>$9.47M</t>
  </si>
  <si>
    <t>MYRG</t>
  </si>
  <si>
    <t>MYR Group, Inc.</t>
  </si>
  <si>
    <t>$428.95M</t>
  </si>
  <si>
    <t>MYGN</t>
  </si>
  <si>
    <t>Myriad Genetics, Inc.</t>
  </si>
  <si>
    <t>NBRV</t>
  </si>
  <si>
    <t>Nabriva Therapeutics plc</t>
  </si>
  <si>
    <t>$285.71M</t>
  </si>
  <si>
    <t>NAKD</t>
  </si>
  <si>
    <t>Naked Brand Group Inc.</t>
  </si>
  <si>
    <t>$13.86M</t>
  </si>
  <si>
    <t>NNDM</t>
  </si>
  <si>
    <t>Nano Dimension Ltd.</t>
  </si>
  <si>
    <t>$49.09M</t>
  </si>
  <si>
    <t>NANO</t>
  </si>
  <si>
    <t>Nanometrics Incorporated</t>
  </si>
  <si>
    <t>$637.64M</t>
  </si>
  <si>
    <t>NSTG</t>
  </si>
  <si>
    <t>NanoString Technologies, Inc.</t>
  </si>
  <si>
    <t>$384.65M</t>
  </si>
  <si>
    <t>NH</t>
  </si>
  <si>
    <t>NantHealth, Inc.</t>
  </si>
  <si>
    <t>$514.66M</t>
  </si>
  <si>
    <t>NK</t>
  </si>
  <si>
    <t>NantKwest, Inc.</t>
  </si>
  <si>
    <t>$511.01M</t>
  </si>
  <si>
    <t>NSSC</t>
  </si>
  <si>
    <t>NAPCO Security Technologies, Inc.</t>
  </si>
  <si>
    <t>$174.31M</t>
  </si>
  <si>
    <t>NDAQ</t>
  </si>
  <si>
    <t>Nasdaq, Inc.</t>
  </si>
  <si>
    <t>$12.55B</t>
  </si>
  <si>
    <t>NTRA</t>
  </si>
  <si>
    <t>Natera, Inc.</t>
  </si>
  <si>
    <t>$431.52M</t>
  </si>
  <si>
    <t>NATH</t>
  </si>
  <si>
    <t>Nathan&amp;#39;s Famous, Inc.</t>
  </si>
  <si>
    <t>$251.58M</t>
  </si>
  <si>
    <t>NAUH</t>
  </si>
  <si>
    <t>National American University Holdings, Inc.</t>
  </si>
  <si>
    <t>$52.33M</t>
  </si>
  <si>
    <t>NKSH</t>
  </si>
  <si>
    <t>National Bankshares, Inc.</t>
  </si>
  <si>
    <t>$265.79M</t>
  </si>
  <si>
    <t>FIZZ</t>
  </si>
  <si>
    <t>National Beverage Corp.</t>
  </si>
  <si>
    <t>NCMI</t>
  </si>
  <si>
    <t>National CineMedia, Inc.</t>
  </si>
  <si>
    <t>$405.41M</t>
  </si>
  <si>
    <t>NCOM</t>
  </si>
  <si>
    <t>National Commerce Corporation</t>
  </si>
  <si>
    <t>$561.41M</t>
  </si>
  <si>
    <t>NESR</t>
  </si>
  <si>
    <t>National Energy Services Reunited Corp.</t>
  </si>
  <si>
    <t>$274.77M</t>
  </si>
  <si>
    <t>NESRW</t>
  </si>
  <si>
    <t>NGHC</t>
  </si>
  <si>
    <t>National General Holdings Corp</t>
  </si>
  <si>
    <t>$2.03B</t>
  </si>
  <si>
    <t>NGHCN</t>
  </si>
  <si>
    <t>NGHCO</t>
  </si>
  <si>
    <t>NGHCP</t>
  </si>
  <si>
    <t>$57.97M</t>
  </si>
  <si>
    <t>NGHCZ</t>
  </si>
  <si>
    <t>NHLD</t>
  </si>
  <si>
    <t>National Holdings Corporation</t>
  </si>
  <si>
    <t>$34.2M</t>
  </si>
  <si>
    <t>NHLDW</t>
  </si>
  <si>
    <t>NATI</t>
  </si>
  <si>
    <t>National Instruments Corporation</t>
  </si>
  <si>
    <t>$5.3B</t>
  </si>
  <si>
    <t>NRCIA</t>
  </si>
  <si>
    <t>National Research Corporation</t>
  </si>
  <si>
    <t>$739.39M</t>
  </si>
  <si>
    <t>NRCIB</t>
  </si>
  <si>
    <t>NSEC</t>
  </si>
  <si>
    <t>National Security Group, Inc.</t>
  </si>
  <si>
    <t>$35.12M</t>
  </si>
  <si>
    <t>NWLI</t>
  </si>
  <si>
    <t>National Western Life Group, Inc.</t>
  </si>
  <si>
    <t>NAII</t>
  </si>
  <si>
    <t>Natural Alternatives International, Inc.</t>
  </si>
  <si>
    <t>$68M</t>
  </si>
  <si>
    <t>NHTC</t>
  </si>
  <si>
    <t>Natural Health Trends Corp.</t>
  </si>
  <si>
    <t>$237.39M</t>
  </si>
  <si>
    <t>NATR</t>
  </si>
  <si>
    <t>Nature&amp;#39;s Sunshine Products, Inc.</t>
  </si>
  <si>
    <t>$231.08M</t>
  </si>
  <si>
    <t>BABY</t>
  </si>
  <si>
    <t>Natus Medical Incorporated</t>
  </si>
  <si>
    <t>ISM</t>
  </si>
  <si>
    <t>Navient Corporation</t>
  </si>
  <si>
    <t>JSM</t>
  </si>
  <si>
    <t>NAVI</t>
  </si>
  <si>
    <t>NBTB</t>
  </si>
  <si>
    <t>NBT Bancorp Inc.</t>
  </si>
  <si>
    <t>NCIT</t>
  </si>
  <si>
    <t>NCI, Inc.</t>
  </si>
  <si>
    <t>$272.34M</t>
  </si>
  <si>
    <t>NCSM</t>
  </si>
  <si>
    <t>NCS Multistage Holdings, Inc.</t>
  </si>
  <si>
    <t>$928.18M</t>
  </si>
  <si>
    <t>NKTR</t>
  </si>
  <si>
    <t>Nektar Therapeutics</t>
  </si>
  <si>
    <t>NEOG</t>
  </si>
  <si>
    <t>Neogen Corporation</t>
  </si>
  <si>
    <t>$2.59B</t>
  </si>
  <si>
    <t>NEO</t>
  </si>
  <si>
    <t>NeoGenomics, Inc.</t>
  </si>
  <si>
    <t>$737.7M</t>
  </si>
  <si>
    <t>Precision Instruments</t>
  </si>
  <si>
    <t>NEON</t>
  </si>
  <si>
    <t>Neonode Inc.</t>
  </si>
  <si>
    <t>$51.78M</t>
  </si>
  <si>
    <t>NEOS</t>
  </si>
  <si>
    <t>Neos Therapeutics, Inc.</t>
  </si>
  <si>
    <t>$157.92M</t>
  </si>
  <si>
    <t>NEOT</t>
  </si>
  <si>
    <t>Neothetics, Inc.</t>
  </si>
  <si>
    <t>$6.36M</t>
  </si>
  <si>
    <t>NVCN</t>
  </si>
  <si>
    <t>Neovasc Inc.</t>
  </si>
  <si>
    <t>$91.83M</t>
  </si>
  <si>
    <t>NEPT</t>
  </si>
  <si>
    <t>Neptune Technologies &amp; Bioresources Inc</t>
  </si>
  <si>
    <t>UEPS</t>
  </si>
  <si>
    <t>Net 1 UEPS Technologies, Inc.</t>
  </si>
  <si>
    <t>$535.59M</t>
  </si>
  <si>
    <t>NETE</t>
  </si>
  <si>
    <t>Net Element, Inc.</t>
  </si>
  <si>
    <t>$6.65M</t>
  </si>
  <si>
    <t>NTAP</t>
  </si>
  <si>
    <t>NetApp, Inc.</t>
  </si>
  <si>
    <t>$11.54B</t>
  </si>
  <si>
    <t>NTES</t>
  </si>
  <si>
    <t>NetEase, Inc.</t>
  </si>
  <si>
    <t>$40.59B</t>
  </si>
  <si>
    <t>NFLX</t>
  </si>
  <si>
    <t>Netflix, Inc.</t>
  </si>
  <si>
    <t>$77.01B</t>
  </si>
  <si>
    <t>NTGR</t>
  </si>
  <si>
    <t>NETGEAR, Inc.</t>
  </si>
  <si>
    <t>$1.48B</t>
  </si>
  <si>
    <t>NLST</t>
  </si>
  <si>
    <t>Netlist, Inc.</t>
  </si>
  <si>
    <t>$66.79M</t>
  </si>
  <si>
    <t>NTCT</t>
  </si>
  <si>
    <t>NetScout Systems, Inc.</t>
  </si>
  <si>
    <t>$3.02B</t>
  </si>
  <si>
    <t>NTWK</t>
  </si>
  <si>
    <t>NetSol Technologies Inc.</t>
  </si>
  <si>
    <t>$48.98M</t>
  </si>
  <si>
    <t>CUR</t>
  </si>
  <si>
    <t>Neuralstem, Inc.</t>
  </si>
  <si>
    <t>$13.53M</t>
  </si>
  <si>
    <t>NBIX</t>
  </si>
  <si>
    <t>Neurocrine Biosciences, Inc.</t>
  </si>
  <si>
    <t>NDRM</t>
  </si>
  <si>
    <t>NeuroDerm Ltd.</t>
  </si>
  <si>
    <t>NURO</t>
  </si>
  <si>
    <t>NeuroMetrix, Inc.</t>
  </si>
  <si>
    <t>$3.59M</t>
  </si>
  <si>
    <t>NUROW</t>
  </si>
  <si>
    <t>NTRP</t>
  </si>
  <si>
    <t>Neurotrope, Inc.</t>
  </si>
  <si>
    <t>$31.32M</t>
  </si>
  <si>
    <t>NBEV</t>
  </si>
  <si>
    <t>New Age Beverages Corporation</t>
  </si>
  <si>
    <t>$153.09M</t>
  </si>
  <si>
    <t>NYMT</t>
  </si>
  <si>
    <t>New York Mortgage Trust, Inc.</t>
  </si>
  <si>
    <t>$690.37M</t>
  </si>
  <si>
    <t>NYMTO</t>
  </si>
  <si>
    <t>NYMTP</t>
  </si>
  <si>
    <t>NEWA</t>
  </si>
  <si>
    <t>Newater Technology, Inc.</t>
  </si>
  <si>
    <t>$97.51M</t>
  </si>
  <si>
    <t>NLNK</t>
  </si>
  <si>
    <t>NewLink Genetics Corporation</t>
  </si>
  <si>
    <t>$207.71M</t>
  </si>
  <si>
    <t>NWS</t>
  </si>
  <si>
    <t>News Corporation</t>
  </si>
  <si>
    <t>$8.49B</t>
  </si>
  <si>
    <t>NWSA</t>
  </si>
  <si>
    <t>NEWS</t>
  </si>
  <si>
    <t>NewStar Financial, Inc.</t>
  </si>
  <si>
    <t>$455.65M</t>
  </si>
  <si>
    <t>NEWT</t>
  </si>
  <si>
    <t>Newtek Business Services Corp.</t>
  </si>
  <si>
    <t>$299.83M</t>
  </si>
  <si>
    <t>NEWTL</t>
  </si>
  <si>
    <t>NEWTZ</t>
  </si>
  <si>
    <t>NXEO</t>
  </si>
  <si>
    <t>Nexeo Solutions, Inc.</t>
  </si>
  <si>
    <t>$724.97M</t>
  </si>
  <si>
    <t>NXEOU</t>
  </si>
  <si>
    <t>NXEOW</t>
  </si>
  <si>
    <t>NXST</t>
  </si>
  <si>
    <t>Nexstar Media Group, Inc.</t>
  </si>
  <si>
    <t>$2.93B</t>
  </si>
  <si>
    <t>NEXT</t>
  </si>
  <si>
    <t>NextDecade Corporation</t>
  </si>
  <si>
    <t>$894.42M</t>
  </si>
  <si>
    <t>NEXTW</t>
  </si>
  <si>
    <t>NFEC</t>
  </si>
  <si>
    <t>NF Energy Saving Corporation</t>
  </si>
  <si>
    <t>$6.58M</t>
  </si>
  <si>
    <t>NODK</t>
  </si>
  <si>
    <t>NI Holdings, Inc.</t>
  </si>
  <si>
    <t>$400.08M</t>
  </si>
  <si>
    <t>EGOV</t>
  </si>
  <si>
    <t>NIC Inc.</t>
  </si>
  <si>
    <t>NICE</t>
  </si>
  <si>
    <t>NICE Ltd</t>
  </si>
  <si>
    <t>$4.54B</t>
  </si>
  <si>
    <t>NICK</t>
  </si>
  <si>
    <t>Nicholas Financial, Inc.</t>
  </si>
  <si>
    <t>$68.62M</t>
  </si>
  <si>
    <t>NCBS</t>
  </si>
  <si>
    <t>Nicolet Bankshares Inc.</t>
  </si>
  <si>
    <t>$528.34M</t>
  </si>
  <si>
    <t>NIHD</t>
  </si>
  <si>
    <t>NII Holdings, Inc.</t>
  </si>
  <si>
    <t>$54.43M</t>
  </si>
  <si>
    <t>NMIH</t>
  </si>
  <si>
    <t>NMI Holdings Inc</t>
  </si>
  <si>
    <t>$742.29M</t>
  </si>
  <si>
    <t>NNBR</t>
  </si>
  <si>
    <t>NN, Inc.</t>
  </si>
  <si>
    <t>$718.21M</t>
  </si>
  <si>
    <t>NDLS</t>
  </si>
  <si>
    <t>Noodles &amp; Company</t>
  </si>
  <si>
    <t>$166.4M</t>
  </si>
  <si>
    <t>NDSN</t>
  </si>
  <si>
    <t>Nordson Corporation</t>
  </si>
  <si>
    <t>$7.4B</t>
  </si>
  <si>
    <t>NSYS</t>
  </si>
  <si>
    <t>Nortech Systems Incorporated</t>
  </si>
  <si>
    <t>$9.84M</t>
  </si>
  <si>
    <t>NBN</t>
  </si>
  <si>
    <t>Northeast Bancorp</t>
  </si>
  <si>
    <t>$187.46M</t>
  </si>
  <si>
    <t>NTIC</t>
  </si>
  <si>
    <t>Northern Technologies International Corporation</t>
  </si>
  <si>
    <t>$79M</t>
  </si>
  <si>
    <t>NTRS</t>
  </si>
  <si>
    <t>Northern Trust Corporation</t>
  </si>
  <si>
    <t>$20.29B</t>
  </si>
  <si>
    <t>NTRSP</t>
  </si>
  <si>
    <t>$437.4M</t>
  </si>
  <si>
    <t>NFBK</t>
  </si>
  <si>
    <t>Northfield Bancorp, Inc.</t>
  </si>
  <si>
    <t>$803.1M</t>
  </si>
  <si>
    <t>NRIM</t>
  </si>
  <si>
    <t>Northrim BanCorp Inc</t>
  </si>
  <si>
    <t>$193.5M</t>
  </si>
  <si>
    <t>NWBI</t>
  </si>
  <si>
    <t>Northwest Bancshares, Inc.</t>
  </si>
  <si>
    <t>NWPX</t>
  </si>
  <si>
    <t>Northwest Pipe Company</t>
  </si>
  <si>
    <t>$156.22M</t>
  </si>
  <si>
    <t>NCLH</t>
  </si>
  <si>
    <t>Norwegian Cruise Line Holdings Ltd.</t>
  </si>
  <si>
    <t>$13.54B</t>
  </si>
  <si>
    <t>NWFL</t>
  </si>
  <si>
    <t>Norwood Financial Corp.</t>
  </si>
  <si>
    <t>$171.98M</t>
  </si>
  <si>
    <t>NVFY</t>
  </si>
  <si>
    <t>Nova Lifestyle, Inc</t>
  </si>
  <si>
    <t>$39.91M</t>
  </si>
  <si>
    <t>NVMI</t>
  </si>
  <si>
    <t>Nova Measuring Instruments Ltd.</t>
  </si>
  <si>
    <t>$679.84M</t>
  </si>
  <si>
    <t>NVDQ</t>
  </si>
  <si>
    <t>Novadaq Technologies Inc</t>
  </si>
  <si>
    <t>$675.14M</t>
  </si>
  <si>
    <t>NOVN</t>
  </si>
  <si>
    <t>Novan, Inc.</t>
  </si>
  <si>
    <t>$74.9M</t>
  </si>
  <si>
    <t>NOVT</t>
  </si>
  <si>
    <t>Novanta Inc.</t>
  </si>
  <si>
    <t>NVAX</t>
  </si>
  <si>
    <t>Novavax, Inc.</t>
  </si>
  <si>
    <t>$274.47M</t>
  </si>
  <si>
    <t>NVLN</t>
  </si>
  <si>
    <t xml:space="preserve">Novelion Therapeutics Inc. </t>
  </si>
  <si>
    <t>$150.13M</t>
  </si>
  <si>
    <t>NVCR</t>
  </si>
  <si>
    <t>NovoCure Limited</t>
  </si>
  <si>
    <t>NVGN</t>
  </si>
  <si>
    <t>Novogen Limited</t>
  </si>
  <si>
    <t>$16.58M</t>
  </si>
  <si>
    <t>NVUS</t>
  </si>
  <si>
    <t>Novus Therapeutics, Inc.</t>
  </si>
  <si>
    <t>$1.09M</t>
  </si>
  <si>
    <t>NUAN</t>
  </si>
  <si>
    <t>Nuance Communications, Inc.</t>
  </si>
  <si>
    <t>$4.9B</t>
  </si>
  <si>
    <t>NMRX</t>
  </si>
  <si>
    <t>Numerex Corp.</t>
  </si>
  <si>
    <t>$84.41M</t>
  </si>
  <si>
    <t>NTNX</t>
  </si>
  <si>
    <t>Nutanix, Inc.</t>
  </si>
  <si>
    <t>$3.32B</t>
  </si>
  <si>
    <t>NUTR</t>
  </si>
  <si>
    <t>Nutraceutical International Corporation</t>
  </si>
  <si>
    <t>$388.84M</t>
  </si>
  <si>
    <t>NTRI</t>
  </si>
  <si>
    <t>NutriSystem Inc</t>
  </si>
  <si>
    <t>NUVA</t>
  </si>
  <si>
    <t>NuVasive, Inc.</t>
  </si>
  <si>
    <t>NVTR</t>
  </si>
  <si>
    <t>Nuvectra Corporation</t>
  </si>
  <si>
    <t>$124.42M</t>
  </si>
  <si>
    <t>QQQX</t>
  </si>
  <si>
    <t>Nuveen NASDAQ 100 Dynamic Overwrite Fund</t>
  </si>
  <si>
    <t>$815.73M</t>
  </si>
  <si>
    <t>NVEE</t>
  </si>
  <si>
    <t>NV5 Global, Inc.</t>
  </si>
  <si>
    <t>$470.54M</t>
  </si>
  <si>
    <t>NVEC</t>
  </si>
  <si>
    <t>NVE Corporation</t>
  </si>
  <si>
    <t>$359.25M</t>
  </si>
  <si>
    <t>NVDA</t>
  </si>
  <si>
    <t>NVIDIA Corporation</t>
  </si>
  <si>
    <t>$101.33B</t>
  </si>
  <si>
    <t>NXPI</t>
  </si>
  <si>
    <t>NXP Semiconductors N.V.</t>
  </si>
  <si>
    <t>$38.2B</t>
  </si>
  <si>
    <t>NXTM</t>
  </si>
  <si>
    <t>NxStage Medical, Inc.</t>
  </si>
  <si>
    <t>NXTD</t>
  </si>
  <si>
    <t>NXT-ID Inc.</t>
  </si>
  <si>
    <t>$25.1M</t>
  </si>
  <si>
    <t>NXTDW</t>
  </si>
  <si>
    <t>NYMX</t>
  </si>
  <si>
    <t>Nymox Pharmaceutical Corporation</t>
  </si>
  <si>
    <t>$185.15M</t>
  </si>
  <si>
    <t>OIIM</t>
  </si>
  <si>
    <t>O2Micro International Limited</t>
  </si>
  <si>
    <t>$42.64M</t>
  </si>
  <si>
    <t>OVLY</t>
  </si>
  <si>
    <t>Oak Valley Bancorp (CA)</t>
  </si>
  <si>
    <t>$129.34M</t>
  </si>
  <si>
    <t>OASM</t>
  </si>
  <si>
    <t>Oasmia Pharmaceutical AB</t>
  </si>
  <si>
    <t>$42.56M</t>
  </si>
  <si>
    <t>OBLN</t>
  </si>
  <si>
    <t>Obalon Therapeutics, Inc.</t>
  </si>
  <si>
    <t>$147.88M</t>
  </si>
  <si>
    <t>OBSV</t>
  </si>
  <si>
    <t>ObsEva SA</t>
  </si>
  <si>
    <t>$232.31M</t>
  </si>
  <si>
    <t>OBCI</t>
  </si>
  <si>
    <t>Ocean Bio-Chem, Inc.</t>
  </si>
  <si>
    <t>$36.43M</t>
  </si>
  <si>
    <t>OPTT</t>
  </si>
  <si>
    <t>Ocean Power Technologies, Inc.</t>
  </si>
  <si>
    <t>$15.97M</t>
  </si>
  <si>
    <t>ORIG</t>
  </si>
  <si>
    <t>Ocean Rig UDW Inc.</t>
  </si>
  <si>
    <t>$17.01M</t>
  </si>
  <si>
    <t>OCFC</t>
  </si>
  <si>
    <t>OceanFirst Financial Corp.</t>
  </si>
  <si>
    <t>$875.67M</t>
  </si>
  <si>
    <t>OCRX</t>
  </si>
  <si>
    <t>Ocera Therapeutics, Inc.</t>
  </si>
  <si>
    <t>$29.16M</t>
  </si>
  <si>
    <t>OCLR</t>
  </si>
  <si>
    <t>Oclaro, Inc.</t>
  </si>
  <si>
    <t>OFED</t>
  </si>
  <si>
    <t>Oconee Federal Financial Corp.</t>
  </si>
  <si>
    <t>$157.62M</t>
  </si>
  <si>
    <t>OCUL</t>
  </si>
  <si>
    <t>Ocular Therapeutix, Inc.</t>
  </si>
  <si>
    <t>$172.72M</t>
  </si>
  <si>
    <t>OMEX</t>
  </si>
  <si>
    <t>Odyssey Marine Exploration, Inc.</t>
  </si>
  <si>
    <t>$33.72M</t>
  </si>
  <si>
    <t>ODP</t>
  </si>
  <si>
    <t>Office Depot, Inc.</t>
  </si>
  <si>
    <t>$3.17B</t>
  </si>
  <si>
    <t>OFS</t>
  </si>
  <si>
    <t>OFS Capital Corporation</t>
  </si>
  <si>
    <t>$177.31M</t>
  </si>
  <si>
    <t>OHAI</t>
  </si>
  <si>
    <t>OHA Investment Corporation</t>
  </si>
  <si>
    <t>$24.21M</t>
  </si>
  <si>
    <t>OVBC</t>
  </si>
  <si>
    <t>Ohio Valley Banc Corp.</t>
  </si>
  <si>
    <t>$149.86M</t>
  </si>
  <si>
    <t>OHRP</t>
  </si>
  <si>
    <t>Ohr Pharmaceuticals, Inc.</t>
  </si>
  <si>
    <t>$33.73M</t>
  </si>
  <si>
    <t>OKTA</t>
  </si>
  <si>
    <t>Okta, Inc.</t>
  </si>
  <si>
    <t>$2.24B</t>
  </si>
  <si>
    <t>ODFL</t>
  </si>
  <si>
    <t>Old Dominion Freight Line, Inc.</t>
  </si>
  <si>
    <t>$7.98B</t>
  </si>
  <si>
    <t>OLBK</t>
  </si>
  <si>
    <t>Old Line Bancshares, Inc.</t>
  </si>
  <si>
    <t>$336.43M</t>
  </si>
  <si>
    <t>ONB</t>
  </si>
  <si>
    <t>Old National Bancorp</t>
  </si>
  <si>
    <t>OPOF</t>
  </si>
  <si>
    <t>Old Point Financial Corporation</t>
  </si>
  <si>
    <t>$159.39M</t>
  </si>
  <si>
    <t>OSBC</t>
  </si>
  <si>
    <t>Old Second Bancorp, Inc.</t>
  </si>
  <si>
    <t>$347.57M</t>
  </si>
  <si>
    <t>OSBCP</t>
  </si>
  <si>
    <t>OLLI</t>
  </si>
  <si>
    <t>Ollie&amp;#39;s Bargain Outlet Holdings, Inc.</t>
  </si>
  <si>
    <t>ZEUS</t>
  </si>
  <si>
    <t>Olympic Steel, Inc.</t>
  </si>
  <si>
    <t>$198.3M</t>
  </si>
  <si>
    <t>OFLX</t>
  </si>
  <si>
    <t>Omega Flex, Inc.</t>
  </si>
  <si>
    <t>$597.64M</t>
  </si>
  <si>
    <t>OMER</t>
  </si>
  <si>
    <t>Omeros Corporation</t>
  </si>
  <si>
    <t>$954.37M</t>
  </si>
  <si>
    <t>OMNT</t>
  </si>
  <si>
    <t>Ominto, Inc.</t>
  </si>
  <si>
    <t>$102.29M</t>
  </si>
  <si>
    <t>OMCL</t>
  </si>
  <si>
    <t>Omnicell, Inc.</t>
  </si>
  <si>
    <t>ON</t>
  </si>
  <si>
    <t>ON Semiconductor Corporation</t>
  </si>
  <si>
    <t>$6.92B</t>
  </si>
  <si>
    <t>OTIV</t>
  </si>
  <si>
    <t>On Track Innovations Ltd</t>
  </si>
  <si>
    <t>$53.01M</t>
  </si>
  <si>
    <t>ONS</t>
  </si>
  <si>
    <t>Oncobiologics, Inc.</t>
  </si>
  <si>
    <t>$24.44M</t>
  </si>
  <si>
    <t>ONSIW</t>
  </si>
  <si>
    <t>ONSIZ</t>
  </si>
  <si>
    <t>OMED</t>
  </si>
  <si>
    <t>OncoMed Pharmaceuticals, Inc.</t>
  </si>
  <si>
    <t>$153.91M</t>
  </si>
  <si>
    <t>ONTX</t>
  </si>
  <si>
    <t>Onconova Therapeutics, Inc.</t>
  </si>
  <si>
    <t>$19.07M</t>
  </si>
  <si>
    <t>ONTXW</t>
  </si>
  <si>
    <t>ONCS</t>
  </si>
  <si>
    <t>OncoSec Medical Incorporated</t>
  </si>
  <si>
    <t>$20.43M</t>
  </si>
  <si>
    <t>OHGI</t>
  </si>
  <si>
    <t>One Horizon Group, Inc.</t>
  </si>
  <si>
    <t>$5.14M</t>
  </si>
  <si>
    <t>ONVI</t>
  </si>
  <si>
    <t>Onvia, Inc.</t>
  </si>
  <si>
    <t>$29.93M</t>
  </si>
  <si>
    <t>OTEX</t>
  </si>
  <si>
    <t>Open Text Corporation</t>
  </si>
  <si>
    <t>$8.67B</t>
  </si>
  <si>
    <t>OPXA</t>
  </si>
  <si>
    <t>Opexa Therapeutics, Inc.</t>
  </si>
  <si>
    <t>$7.04M</t>
  </si>
  <si>
    <t>OPXAW</t>
  </si>
  <si>
    <t>OPGN</t>
  </si>
  <si>
    <t>OpGen, Inc.</t>
  </si>
  <si>
    <t>$16.75M</t>
  </si>
  <si>
    <t>OPGNW</t>
  </si>
  <si>
    <t>OPHT</t>
  </si>
  <si>
    <t>Ophthotech Corporation</t>
  </si>
  <si>
    <t>$95.61M</t>
  </si>
  <si>
    <t>OPK</t>
  </si>
  <si>
    <t>Opko Health, Inc.</t>
  </si>
  <si>
    <t>$3.43B</t>
  </si>
  <si>
    <t>OBAS</t>
  </si>
  <si>
    <t>Optibase Ltd.</t>
  </si>
  <si>
    <t>$48.49M</t>
  </si>
  <si>
    <t>OCC</t>
  </si>
  <si>
    <t>Optical Cable Corporation</t>
  </si>
  <si>
    <t>$16.94M</t>
  </si>
  <si>
    <t>OPHC</t>
  </si>
  <si>
    <t>OptimumBank Holdings, Inc.</t>
  </si>
  <si>
    <t>$3.22M</t>
  </si>
  <si>
    <t>OPB</t>
  </si>
  <si>
    <t>Opus Bank</t>
  </si>
  <si>
    <t>$882.1M</t>
  </si>
  <si>
    <t>ORMP</t>
  </si>
  <si>
    <t>Oramed Pharmaceuticals Inc.</t>
  </si>
  <si>
    <t>$104.11M</t>
  </si>
  <si>
    <t>OSUR</t>
  </si>
  <si>
    <t>OraSure Technologies, Inc.</t>
  </si>
  <si>
    <t>ORBC</t>
  </si>
  <si>
    <t>ORBCOMM Inc.</t>
  </si>
  <si>
    <t>$826.86M</t>
  </si>
  <si>
    <t>ORBK</t>
  </si>
  <si>
    <t>Orbotech Ltd.</t>
  </si>
  <si>
    <t>ORLY</t>
  </si>
  <si>
    <t>O&amp;#39;Reilly Automotive, Inc.</t>
  </si>
  <si>
    <t>$17.87B</t>
  </si>
  <si>
    <t>OREX</t>
  </si>
  <si>
    <t>Orexigen Therapeutics, Inc.</t>
  </si>
  <si>
    <t>$35.48M</t>
  </si>
  <si>
    <t>ONVO</t>
  </si>
  <si>
    <t>Organovo Holdings, Inc.</t>
  </si>
  <si>
    <t>$221.82M</t>
  </si>
  <si>
    <t>SEED</t>
  </si>
  <si>
    <t>Origin Agritech Limited</t>
  </si>
  <si>
    <t>$34.76M</t>
  </si>
  <si>
    <t>OACQ</t>
  </si>
  <si>
    <t>Origo Acquisition Corporation</t>
  </si>
  <si>
    <t>$34.88M</t>
  </si>
  <si>
    <t>OACQR</t>
  </si>
  <si>
    <t>OACQU</t>
  </si>
  <si>
    <t>OACQW</t>
  </si>
  <si>
    <t>OESX</t>
  </si>
  <si>
    <t>Orion Energy Systems, Inc.</t>
  </si>
  <si>
    <t>$28.91M</t>
  </si>
  <si>
    <t>ORIT</t>
  </si>
  <si>
    <t>Oritani Financial Corp.</t>
  </si>
  <si>
    <t>$754.27M</t>
  </si>
  <si>
    <t>ORRF</t>
  </si>
  <si>
    <t>Orrstown Financial Services Inc</t>
  </si>
  <si>
    <t>$215.82M</t>
  </si>
  <si>
    <t>OFIX</t>
  </si>
  <si>
    <t>Orthofix International N.V.</t>
  </si>
  <si>
    <t>$872.08M</t>
  </si>
  <si>
    <t>OSIS</t>
  </si>
  <si>
    <t>OSI Systems, Inc.</t>
  </si>
  <si>
    <t>OSPRU</t>
  </si>
  <si>
    <t>Osprey Energy Acquisition Corp.</t>
  </si>
  <si>
    <t>OSN</t>
  </si>
  <si>
    <t>Ossen Innovation Co., Ltd.</t>
  </si>
  <si>
    <t>$14.05M</t>
  </si>
  <si>
    <t>OTEL</t>
  </si>
  <si>
    <t>Otelco Inc.</t>
  </si>
  <si>
    <t>$27.61M</t>
  </si>
  <si>
    <t>OTIC</t>
  </si>
  <si>
    <t>Otonomy, Inc.</t>
  </si>
  <si>
    <t>$537.89M</t>
  </si>
  <si>
    <t>OTTW</t>
  </si>
  <si>
    <t>Ottawa Bancorp, Inc.</t>
  </si>
  <si>
    <t>$47.8M</t>
  </si>
  <si>
    <t>OTTR</t>
  </si>
  <si>
    <t>Otter Tail Corporation</t>
  </si>
  <si>
    <t>$1.66B</t>
  </si>
  <si>
    <t>OVAS</t>
  </si>
  <si>
    <t>OvaScience Inc.</t>
  </si>
  <si>
    <t>$56.38M</t>
  </si>
  <si>
    <t>OSTK</t>
  </si>
  <si>
    <t>Overstock.com, Inc.</t>
  </si>
  <si>
    <t>$440.01M</t>
  </si>
  <si>
    <t>OVID</t>
  </si>
  <si>
    <t>Ovid Therapeutics Inc.</t>
  </si>
  <si>
    <t>OXBR</t>
  </si>
  <si>
    <t>Oxbridge Re Holdings Limited</t>
  </si>
  <si>
    <t>$32.56M</t>
  </si>
  <si>
    <t>OXBRW</t>
  </si>
  <si>
    <t>OXFD</t>
  </si>
  <si>
    <t>Oxford Immunotec Global PLC</t>
  </si>
  <si>
    <t>$411.45M</t>
  </si>
  <si>
    <t>OXLC</t>
  </si>
  <si>
    <t>Oxford Lane Capital Corp.</t>
  </si>
  <si>
    <t>$240.94M</t>
  </si>
  <si>
    <t>OXLCM</t>
  </si>
  <si>
    <t>OXLCO</t>
  </si>
  <si>
    <t>PFIN</t>
  </si>
  <si>
    <t>P &amp; F Industries, Inc.</t>
  </si>
  <si>
    <t>$21.34M</t>
  </si>
  <si>
    <t>PTSI</t>
  </si>
  <si>
    <t>P.A.M. Transportation Services, Inc.</t>
  </si>
  <si>
    <t>$110.83M</t>
  </si>
  <si>
    <t>PCAR</t>
  </si>
  <si>
    <t>PACCAR Inc.</t>
  </si>
  <si>
    <t>$23.86B</t>
  </si>
  <si>
    <t>PACB</t>
  </si>
  <si>
    <t>Pacific Biosciences of California, Inc.</t>
  </si>
  <si>
    <t>$478.55M</t>
  </si>
  <si>
    <t>PCBK</t>
  </si>
  <si>
    <t>Pacific Continental Corporation (Ore)</t>
  </si>
  <si>
    <t>$563.28M</t>
  </si>
  <si>
    <t>PEIX</t>
  </si>
  <si>
    <t>Pacific Ethanol, Inc.</t>
  </si>
  <si>
    <t>$234.92M</t>
  </si>
  <si>
    <t>PMBC</t>
  </si>
  <si>
    <t>Pacific Mercantile Bancorp</t>
  </si>
  <si>
    <t>$183.09M</t>
  </si>
  <si>
    <t>PPBI</t>
  </si>
  <si>
    <t>Pacific Premier Bancorp Inc</t>
  </si>
  <si>
    <t>PAAC</t>
  </si>
  <si>
    <t>Pacific Special Acquisition Corp.</t>
  </si>
  <si>
    <t>$67.12M</t>
  </si>
  <si>
    <t>PAACR</t>
  </si>
  <si>
    <t>PAACU</t>
  </si>
  <si>
    <t>PAACW</t>
  </si>
  <si>
    <t>PCRX</t>
  </si>
  <si>
    <t>Pacira Pharmaceuticals, Inc.</t>
  </si>
  <si>
    <t>PACW</t>
  </si>
  <si>
    <t>PacWest Bancorp</t>
  </si>
  <si>
    <t>PTIE</t>
  </si>
  <si>
    <t>Pain Therapeutics, Inc.</t>
  </si>
  <si>
    <t>$22.28M</t>
  </si>
  <si>
    <t>PAAS</t>
  </si>
  <si>
    <t>Pan American Silver Corp.</t>
  </si>
  <si>
    <t>$2.41B</t>
  </si>
  <si>
    <t>PANL</t>
  </si>
  <si>
    <t>Pangaea Logistics Solutions Ltd.</t>
  </si>
  <si>
    <t>$111.23M</t>
  </si>
  <si>
    <t>PZZA</t>
  </si>
  <si>
    <t>Papa John&amp;#39;s International, Inc.</t>
  </si>
  <si>
    <t>FRSH</t>
  </si>
  <si>
    <t>Papa Murphy&amp;#39;s Holdings, Inc.</t>
  </si>
  <si>
    <t>$71.2M</t>
  </si>
  <si>
    <t>PBNC</t>
  </si>
  <si>
    <t>Paragon Commercial Corporation</t>
  </si>
  <si>
    <t>$290.56M</t>
  </si>
  <si>
    <t>PRTK</t>
  </si>
  <si>
    <t xml:space="preserve">Paratek Pharmaceuticals, Inc. </t>
  </si>
  <si>
    <t>$635.73M</t>
  </si>
  <si>
    <t>PRXL</t>
  </si>
  <si>
    <t>PAREXEL International Corporation</t>
  </si>
  <si>
    <t>$4.47B</t>
  </si>
  <si>
    <t>PCYG</t>
  </si>
  <si>
    <t>Park City Group, Inc.</t>
  </si>
  <si>
    <t>$244.6M</t>
  </si>
  <si>
    <t>PSTB</t>
  </si>
  <si>
    <t>Park Sterling Corporation</t>
  </si>
  <si>
    <t>$623.46M</t>
  </si>
  <si>
    <t>PKBK</t>
  </si>
  <si>
    <t>Parke Bancorp, Inc.</t>
  </si>
  <si>
    <t>$146.62M</t>
  </si>
  <si>
    <t>PRKR</t>
  </si>
  <si>
    <t>ParkerVision, Inc.</t>
  </si>
  <si>
    <t>PKOH</t>
  </si>
  <si>
    <t>Park-Ohio Holdings Corp.</t>
  </si>
  <si>
    <t>$491.65M</t>
  </si>
  <si>
    <t>PTNR</t>
  </si>
  <si>
    <t>Partner Communications Company Ltd.</t>
  </si>
  <si>
    <t>$753.63M</t>
  </si>
  <si>
    <t>PBHC</t>
  </si>
  <si>
    <t>Pathfinder Bancorp, Inc.</t>
  </si>
  <si>
    <t>$65.12M</t>
  </si>
  <si>
    <t>PATK</t>
  </si>
  <si>
    <t>Patrick Industries, Inc.</t>
  </si>
  <si>
    <t>PNBK</t>
  </si>
  <si>
    <t>Patriot National Bancorp Inc.</t>
  </si>
  <si>
    <t>$67.88M</t>
  </si>
  <si>
    <t>PATI</t>
  </si>
  <si>
    <t>Patriot Transportation Holding, Inc.</t>
  </si>
  <si>
    <t>$64.03M</t>
  </si>
  <si>
    <t>PEGI</t>
  </si>
  <si>
    <t>Pattern Energy Group Inc.</t>
  </si>
  <si>
    <t>$2.11B</t>
  </si>
  <si>
    <t>PDCO</t>
  </si>
  <si>
    <t>Patterson Companies, Inc.</t>
  </si>
  <si>
    <t>PTEN</t>
  </si>
  <si>
    <t>Patterson-UTI Energy, Inc.</t>
  </si>
  <si>
    <t>$3.8B</t>
  </si>
  <si>
    <t>PAVM</t>
  </si>
  <si>
    <t>PAVmed Inc.</t>
  </si>
  <si>
    <t>$41.93M</t>
  </si>
  <si>
    <t>PAVMW</t>
  </si>
  <si>
    <t>PAYX</t>
  </si>
  <si>
    <t>Paychex, Inc.</t>
  </si>
  <si>
    <t>$19.78B</t>
  </si>
  <si>
    <t>PCTY</t>
  </si>
  <si>
    <t>Paylocity Holding Corporation</t>
  </si>
  <si>
    <t>PYDS</t>
  </si>
  <si>
    <t>Payment Data Systems, Inc.</t>
  </si>
  <si>
    <t>PYPL</t>
  </si>
  <si>
    <t>PayPal Holdings, Inc.</t>
  </si>
  <si>
    <t>$71.52B</t>
  </si>
  <si>
    <t>PBBI</t>
  </si>
  <si>
    <t>PB Bancorp, Inc.</t>
  </si>
  <si>
    <t>$81.21M</t>
  </si>
  <si>
    <t>CNXN</t>
  </si>
  <si>
    <t>PC Connection, Inc.</t>
  </si>
  <si>
    <t>$716.22M</t>
  </si>
  <si>
    <t>PCMI</t>
  </si>
  <si>
    <t>PCM, Inc.</t>
  </si>
  <si>
    <t>$152.39M</t>
  </si>
  <si>
    <t>PCSB</t>
  </si>
  <si>
    <t>PCSB Financial Corporation</t>
  </si>
  <si>
    <t>$313.35M</t>
  </si>
  <si>
    <t>PCTI</t>
  </si>
  <si>
    <t>PC-Tel, Inc.</t>
  </si>
  <si>
    <t>$116.48M</t>
  </si>
  <si>
    <t>PDCE</t>
  </si>
  <si>
    <t>PDC Energy, Inc.</t>
  </si>
  <si>
    <t>$2.62B</t>
  </si>
  <si>
    <t>PDFS</t>
  </si>
  <si>
    <t>PDF Solutions, Inc.</t>
  </si>
  <si>
    <t>$503.1M</t>
  </si>
  <si>
    <t>PDLI</t>
  </si>
  <si>
    <t>PDL BioPharma, Inc.</t>
  </si>
  <si>
    <t>$406.77M</t>
  </si>
  <si>
    <t>PDVW</t>
  </si>
  <si>
    <t>pdvWireless, Inc.</t>
  </si>
  <si>
    <t>$415.19M</t>
  </si>
  <si>
    <t>SKIS</t>
  </si>
  <si>
    <t>Peak Resorts, Inc.</t>
  </si>
  <si>
    <t>PGC</t>
  </si>
  <si>
    <t>Peapack-Gladstone Financial Corporation</t>
  </si>
  <si>
    <t>$552.85M</t>
  </si>
  <si>
    <t>PEGA</t>
  </si>
  <si>
    <t>Pegasystems Inc.</t>
  </si>
  <si>
    <t>PCO</t>
  </si>
  <si>
    <t>Pendrell Corporation</t>
  </si>
  <si>
    <t>$157.16M</t>
  </si>
  <si>
    <t>PENN</t>
  </si>
  <si>
    <t>Penn National Gaming, Inc.</t>
  </si>
  <si>
    <t>PVAC</t>
  </si>
  <si>
    <t>Penn Virginia Corporation</t>
  </si>
  <si>
    <t>$571.8M</t>
  </si>
  <si>
    <t>PFLT</t>
  </si>
  <si>
    <t>PennantPark Floating Rate Capital Ltd.</t>
  </si>
  <si>
    <t>$460.89M</t>
  </si>
  <si>
    <t>PNNT</t>
  </si>
  <si>
    <t>PennantPark Investment Corporation</t>
  </si>
  <si>
    <t>$532.25M</t>
  </si>
  <si>
    <t>PWOD</t>
  </si>
  <si>
    <t>Penns Woods Bancorp, Inc.</t>
  </si>
  <si>
    <t>$198.16M</t>
  </si>
  <si>
    <t>WRLS</t>
  </si>
  <si>
    <t>Pensare Acquisition Corp.</t>
  </si>
  <si>
    <t>WRLSR</t>
  </si>
  <si>
    <t>WRLSU</t>
  </si>
  <si>
    <t>WRLSW</t>
  </si>
  <si>
    <t>PEBO</t>
  </si>
  <si>
    <t>Peoples Bancorp Inc.</t>
  </si>
  <si>
    <t>$573.68M</t>
  </si>
  <si>
    <t>PEBK</t>
  </si>
  <si>
    <t>Peoples Bancorp of North Carolina, Inc.</t>
  </si>
  <si>
    <t>$170.11M</t>
  </si>
  <si>
    <t>PFBX</t>
  </si>
  <si>
    <t>Peoples Financial Corporation</t>
  </si>
  <si>
    <t>PFIS</t>
  </si>
  <si>
    <t xml:space="preserve">Peoples Financial Services Corp. </t>
  </si>
  <si>
    <t>$308.94M</t>
  </si>
  <si>
    <t>PBCT</t>
  </si>
  <si>
    <t>People&amp;#39;s United Financial, Inc.</t>
  </si>
  <si>
    <t>PBCTP</t>
  </si>
  <si>
    <t>PUB</t>
  </si>
  <si>
    <t>People&amp;#39;s Utah Bancorp</t>
  </si>
  <si>
    <t>$493.93M</t>
  </si>
  <si>
    <t>PRCP</t>
  </si>
  <si>
    <t>Perceptron, Inc.</t>
  </si>
  <si>
    <t>$67.54M</t>
  </si>
  <si>
    <t>PPHM</t>
  </si>
  <si>
    <t>Peregrine Pharmaceuticals Inc.</t>
  </si>
  <si>
    <t>$178.02M</t>
  </si>
  <si>
    <t>PPHMP</t>
  </si>
  <si>
    <t>$15.32M</t>
  </si>
  <si>
    <t>PRFT</t>
  </si>
  <si>
    <t>Perficient, Inc.</t>
  </si>
  <si>
    <t>$620.17M</t>
  </si>
  <si>
    <t>PFMT</t>
  </si>
  <si>
    <t>Performant Financial Corporation</t>
  </si>
  <si>
    <t>$101M</t>
  </si>
  <si>
    <t>PERF</t>
  </si>
  <si>
    <t>Perfumania Holdings, Inc</t>
  </si>
  <si>
    <t>$23.83M</t>
  </si>
  <si>
    <t>PERI</t>
  </si>
  <si>
    <t>Perion Network Ltd</t>
  </si>
  <si>
    <t>$105.47M</t>
  </si>
  <si>
    <t>PESI</t>
  </si>
  <si>
    <t>Perma-Fix Environmental Services, Inc.</t>
  </si>
  <si>
    <t>$43.87M</t>
  </si>
  <si>
    <t>PPIH</t>
  </si>
  <si>
    <t>Perma-Pipe International Holdings, Inc.</t>
  </si>
  <si>
    <t>$57.93M</t>
  </si>
  <si>
    <t>PTX</t>
  </si>
  <si>
    <t>Pernix Therapeutics Holdings, Inc.</t>
  </si>
  <si>
    <t>$30.9M</t>
  </si>
  <si>
    <t>PERY</t>
  </si>
  <si>
    <t>Perry Ellis International Inc.</t>
  </si>
  <si>
    <t>$311.19M</t>
  </si>
  <si>
    <t>PGLC</t>
  </si>
  <si>
    <t>Pershing Gold Corporation</t>
  </si>
  <si>
    <t>$81.83M</t>
  </si>
  <si>
    <t>PETQ</t>
  </si>
  <si>
    <t>PetIQ, Inc.</t>
  </si>
  <si>
    <t>$492.55M</t>
  </si>
  <si>
    <t>PETS</t>
  </si>
  <si>
    <t>PetMed Express, Inc.</t>
  </si>
  <si>
    <t>$993.75M</t>
  </si>
  <si>
    <t>PFSW</t>
  </si>
  <si>
    <t>PFSweb, Inc.</t>
  </si>
  <si>
    <t>$145.93M</t>
  </si>
  <si>
    <t>PGTI</t>
  </si>
  <si>
    <t>PGT Innovations, Inc.</t>
  </si>
  <si>
    <t>$649.79M</t>
  </si>
  <si>
    <t>PZRX</t>
  </si>
  <si>
    <t>PhaseRx, Inc.</t>
  </si>
  <si>
    <t>$7.72M</t>
  </si>
  <si>
    <t>PHII</t>
  </si>
  <si>
    <t>PHI, Inc.</t>
  </si>
  <si>
    <t>$173.94M</t>
  </si>
  <si>
    <t>PHIIK</t>
  </si>
  <si>
    <t>$172.67M</t>
  </si>
  <si>
    <t>PAHC</t>
  </si>
  <si>
    <t>Phibro Animal Health Corporation</t>
  </si>
  <si>
    <t>PLAB</t>
  </si>
  <si>
    <t>Photronics, Inc.</t>
  </si>
  <si>
    <t>$674.95M</t>
  </si>
  <si>
    <t>PICO</t>
  </si>
  <si>
    <t>PICO Holdings Inc.</t>
  </si>
  <si>
    <t>$384.3M</t>
  </si>
  <si>
    <t>PIRS</t>
  </si>
  <si>
    <t>Pieris Pharmaceuticals, Inc.</t>
  </si>
  <si>
    <t>$223.1M</t>
  </si>
  <si>
    <t>PPC</t>
  </si>
  <si>
    <t>Pilgrim&amp;#39;s Pride Corporation</t>
  </si>
  <si>
    <t>$6.41B</t>
  </si>
  <si>
    <t>Meat/Poultry/Fish</t>
  </si>
  <si>
    <t>PME</t>
  </si>
  <si>
    <t>Pingtan Marine Enterprise Ltd.</t>
  </si>
  <si>
    <t>$301.2M</t>
  </si>
  <si>
    <t>PNK</t>
  </si>
  <si>
    <t>Pinnacle Entertainment, Inc.</t>
  </si>
  <si>
    <t>PNFP</t>
  </si>
  <si>
    <t>Pinnacle Financial Partners, Inc.</t>
  </si>
  <si>
    <t>$4.92B</t>
  </si>
  <si>
    <t>PPSI</t>
  </si>
  <si>
    <t>Pioneer Power Solutions, Inc.</t>
  </si>
  <si>
    <t>$52.71M</t>
  </si>
  <si>
    <t>PXLW</t>
  </si>
  <si>
    <t>Pixelworks, Inc.</t>
  </si>
  <si>
    <t>$140.14M</t>
  </si>
  <si>
    <t>PLPM</t>
  </si>
  <si>
    <t>Planet Payment, Inc.</t>
  </si>
  <si>
    <t>$157.72M</t>
  </si>
  <si>
    <t>PLYA</t>
  </si>
  <si>
    <t>Playa Hotels &amp; Resorts N.V.</t>
  </si>
  <si>
    <t>PLXS</t>
  </si>
  <si>
    <t>Plexus Corp.</t>
  </si>
  <si>
    <t>PLUG</t>
  </si>
  <si>
    <t>Plug Power, Inc.</t>
  </si>
  <si>
    <t>$487.71M</t>
  </si>
  <si>
    <t>PLBC</t>
  </si>
  <si>
    <t>Plumas Bancorp</t>
  </si>
  <si>
    <t>$102.37M</t>
  </si>
  <si>
    <t>PSTI</t>
  </si>
  <si>
    <t>Pluristem Therapeutics, Inc.</t>
  </si>
  <si>
    <t>$106.93M</t>
  </si>
  <si>
    <t>PLXP</t>
  </si>
  <si>
    <t>PLx Pharma Inc.</t>
  </si>
  <si>
    <t>$58.62M</t>
  </si>
  <si>
    <t>PBSK</t>
  </si>
  <si>
    <t>Poage Bankshares, Inc.</t>
  </si>
  <si>
    <t>$64.28M</t>
  </si>
  <si>
    <t>PNTR</t>
  </si>
  <si>
    <t>Pointer Telocation Ltd.</t>
  </si>
  <si>
    <t>$89.16M</t>
  </si>
  <si>
    <t>PCOM</t>
  </si>
  <si>
    <t>Points International, Ltd.</t>
  </si>
  <si>
    <t>$118.36M</t>
  </si>
  <si>
    <t>POLA</t>
  </si>
  <si>
    <t>Polar Power, Inc.</t>
  </si>
  <si>
    <t>$47.98M</t>
  </si>
  <si>
    <t>COOL</t>
  </si>
  <si>
    <t>PolarityTE, Inc.</t>
  </si>
  <si>
    <t>$120.71M</t>
  </si>
  <si>
    <t>POOL</t>
  </si>
  <si>
    <t>Pool Corporation</t>
  </si>
  <si>
    <t>$4.45B</t>
  </si>
  <si>
    <t>POPE</t>
  </si>
  <si>
    <t>Pope Resources</t>
  </si>
  <si>
    <t>$314.94M</t>
  </si>
  <si>
    <t>BPOP</t>
  </si>
  <si>
    <t>Popular, Inc.</t>
  </si>
  <si>
    <t>$4.22B</t>
  </si>
  <si>
    <t>BPOPM</t>
  </si>
  <si>
    <t>BPOPN</t>
  </si>
  <si>
    <t>$292.2M</t>
  </si>
  <si>
    <t>PBIB</t>
  </si>
  <si>
    <t>Porter Bancorp, Inc.</t>
  </si>
  <si>
    <t>$71.99M</t>
  </si>
  <si>
    <t>PTLA</t>
  </si>
  <si>
    <t>Portola Pharmaceuticals, Inc.</t>
  </si>
  <si>
    <t>$3.44B</t>
  </si>
  <si>
    <t>PBPB</t>
  </si>
  <si>
    <t>Potbelly Corporation</t>
  </si>
  <si>
    <t>$273.87M</t>
  </si>
  <si>
    <t>PCH</t>
  </si>
  <si>
    <t>Potlatch Corporation</t>
  </si>
  <si>
    <t>$1.94B</t>
  </si>
  <si>
    <t>POWL</t>
  </si>
  <si>
    <t>Powell Industries, Inc.</t>
  </si>
  <si>
    <t>$376.92M</t>
  </si>
  <si>
    <t>POWI</t>
  </si>
  <si>
    <t>Power Integrations, Inc.</t>
  </si>
  <si>
    <t>PLW</t>
  </si>
  <si>
    <t>PowerShares 1-30 Laddered Treasury Portfolio</t>
  </si>
  <si>
    <t>$181.65M</t>
  </si>
  <si>
    <t>PKW</t>
  </si>
  <si>
    <t>PowerShares BuyBack Achievers Portfolio</t>
  </si>
  <si>
    <t>PFM</t>
  </si>
  <si>
    <t>PowerShares Dividend Achievers Portfolio</t>
  </si>
  <si>
    <t>$303.41M</t>
  </si>
  <si>
    <t>PYZ</t>
  </si>
  <si>
    <t>PowerShares DWA Basic Materials Momentum Portfolio</t>
  </si>
  <si>
    <t>$96.06M</t>
  </si>
  <si>
    <t>PEZ</t>
  </si>
  <si>
    <t>PowerShares DWA Consumer Cyclicals Momentum Portfolio</t>
  </si>
  <si>
    <t>$27.69M</t>
  </si>
  <si>
    <t>PSL</t>
  </si>
  <si>
    <t>PowerShares DWA Consumer Staples Momentum Portfolio</t>
  </si>
  <si>
    <t>$70.47M</t>
  </si>
  <si>
    <t>PIZ</t>
  </si>
  <si>
    <t>PowerShares DWA Developed Markets Momentum Portfolio</t>
  </si>
  <si>
    <t>$215.33M</t>
  </si>
  <si>
    <t>PIE</t>
  </si>
  <si>
    <t>PowerShares DWA Emerging Markets Momentum Portfolio</t>
  </si>
  <si>
    <t>$196.92M</t>
  </si>
  <si>
    <t>PXI</t>
  </si>
  <si>
    <t>PowerShares DWA Energy Momentum Portfolio</t>
  </si>
  <si>
    <t>$87.32M</t>
  </si>
  <si>
    <t>PFI</t>
  </si>
  <si>
    <t>PowerShares DWA Financial Momentum Portfolio</t>
  </si>
  <si>
    <t>$76.33M</t>
  </si>
  <si>
    <t>PTH</t>
  </si>
  <si>
    <t>PowerShares DWA Healthcare Momentum Portfolio</t>
  </si>
  <si>
    <t>$126.98M</t>
  </si>
  <si>
    <t>PRN</t>
  </si>
  <si>
    <t>PowerShares DWA Industrials Momentum Portfolio</t>
  </si>
  <si>
    <t>$119.02M</t>
  </si>
  <si>
    <t>DWLV</t>
  </si>
  <si>
    <t>PowerShares DWA Momentum &amp; Low Volatility Rotation Portfolio</t>
  </si>
  <si>
    <t>$4.34M</t>
  </si>
  <si>
    <t>PDP</t>
  </si>
  <si>
    <t>PowerShares DWA Momentum Portfolio</t>
  </si>
  <si>
    <t>$1.45B</t>
  </si>
  <si>
    <t>DWAQ</t>
  </si>
  <si>
    <t>PowerShares DWA NASDAQ Momentum Portfolio</t>
  </si>
  <si>
    <t>$38.01M</t>
  </si>
  <si>
    <t>DWAS</t>
  </si>
  <si>
    <t>PowerShares DWA SmallCap Momentum Portfolio</t>
  </si>
  <si>
    <t>$185.13M</t>
  </si>
  <si>
    <t>DWIN</t>
  </si>
  <si>
    <t>PowerShares DWA Tactical Multi-Asset Income Portfolio</t>
  </si>
  <si>
    <t>$117.95M</t>
  </si>
  <si>
    <t>DWTR</t>
  </si>
  <si>
    <t>PowerShares DWA Tactical Sector Rotation Portfolio</t>
  </si>
  <si>
    <t>$78.54M</t>
  </si>
  <si>
    <t>PTF</t>
  </si>
  <si>
    <t>PowerShares DWA Technology Momenum Portfolio</t>
  </si>
  <si>
    <t>$119.68M</t>
  </si>
  <si>
    <t>PUI</t>
  </si>
  <si>
    <t>PowerShares DWA Utilities Momentum Portfolio</t>
  </si>
  <si>
    <t>$54.59M</t>
  </si>
  <si>
    <t>IDLB</t>
  </si>
  <si>
    <t>PowerShares FTSE International Low Beta Equal Weight Portfolio</t>
  </si>
  <si>
    <t>$152.74M</t>
  </si>
  <si>
    <t>PRFZ</t>
  </si>
  <si>
    <t>PowerShares FTSE RAFI US 1500 Small-Mid Portfolio</t>
  </si>
  <si>
    <t>PAGG</t>
  </si>
  <si>
    <t>PowerShares Global Agriculture Portfolio</t>
  </si>
  <si>
    <t>$23.19M</t>
  </si>
  <si>
    <t>PSAU</t>
  </si>
  <si>
    <t>PowerShares Global Gold &amp; Precious Metals Portfolio</t>
  </si>
  <si>
    <t>$36.78M</t>
  </si>
  <si>
    <t>PIO</t>
  </si>
  <si>
    <t>PowerShares Global Water Portfolio</t>
  </si>
  <si>
    <t>$192M</t>
  </si>
  <si>
    <t>PGJ</t>
  </si>
  <si>
    <t>PowerShares Golden Dragon China Portfolio</t>
  </si>
  <si>
    <t>$206.29M</t>
  </si>
  <si>
    <t>PEY</t>
  </si>
  <si>
    <t>PowerShares High Yield Equity Dividend Achievers Portfolio</t>
  </si>
  <si>
    <t>$912.49M</t>
  </si>
  <si>
    <t>IPKW</t>
  </si>
  <si>
    <t>PowerShares International BuyBack Achievers Portfolio</t>
  </si>
  <si>
    <t>$137.05M</t>
  </si>
  <si>
    <t>PID</t>
  </si>
  <si>
    <t>PowerShares International Dividend Achievers Portfolio</t>
  </si>
  <si>
    <t>$847.8M</t>
  </si>
  <si>
    <t>KBWB</t>
  </si>
  <si>
    <t>PowerShares KBW Bank Portfolio</t>
  </si>
  <si>
    <t>KBWD</t>
  </si>
  <si>
    <t>PowerShares KBW High Dividend Yield Financial Portfolio</t>
  </si>
  <si>
    <t>$315.58M</t>
  </si>
  <si>
    <t>KBWY</t>
  </si>
  <si>
    <t>PowerShares KBW Premium Yield Equity REIT Portfolio</t>
  </si>
  <si>
    <t>$347.52M</t>
  </si>
  <si>
    <t>KBWP</t>
  </si>
  <si>
    <t>PowerShares KBW Property &amp; Casualty Insurance Portfolio</t>
  </si>
  <si>
    <t>$108.84M</t>
  </si>
  <si>
    <t>KBWR</t>
  </si>
  <si>
    <t>PowerShares KBW Regional Banking Portfolio</t>
  </si>
  <si>
    <t>$163.56M</t>
  </si>
  <si>
    <t>LDRI</t>
  </si>
  <si>
    <t>PowerShares LadderRite 0-5 Year Corporate Bond Portfolio</t>
  </si>
  <si>
    <t>$22.51M</t>
  </si>
  <si>
    <t>LALT</t>
  </si>
  <si>
    <t>PowerShares Multi-Strategy Alternative Portfolio</t>
  </si>
  <si>
    <t>$4.37M</t>
  </si>
  <si>
    <t>PNQI</t>
  </si>
  <si>
    <t>PowerShares Nasdaq Internet Portfolio</t>
  </si>
  <si>
    <t>$466.12M</t>
  </si>
  <si>
    <t>PDBC</t>
  </si>
  <si>
    <t>PowerShares Optimum Yield Diversified Commodity Strategy No K-</t>
  </si>
  <si>
    <t>$464.05M</t>
  </si>
  <si>
    <t>QQQ</t>
  </si>
  <si>
    <t>PowerShares QQQ Trust, Series 1</t>
  </si>
  <si>
    <t>$52.2B</t>
  </si>
  <si>
    <t>USLB</t>
  </si>
  <si>
    <t>PowerShares Russell 1000 Low Beta Equal Weight Portfolio</t>
  </si>
  <si>
    <t>$160.12M</t>
  </si>
  <si>
    <t>PSCD</t>
  </si>
  <si>
    <t>PowerShares S&amp;P SmallCap Consumer Discretionary Portfolio</t>
  </si>
  <si>
    <t>$62.43M</t>
  </si>
  <si>
    <t>PSCC</t>
  </si>
  <si>
    <t>PowerShares S&amp;P SmallCap Consumer Staples Portfolio</t>
  </si>
  <si>
    <t>$53.77M</t>
  </si>
  <si>
    <t>PSCE</t>
  </si>
  <si>
    <t>PowerShares S&amp;P SmallCap Energy Portfolio</t>
  </si>
  <si>
    <t>$33.56M</t>
  </si>
  <si>
    <t>PSCF</t>
  </si>
  <si>
    <t>PowerShares S&amp;P SmallCap Financials Portfolio</t>
  </si>
  <si>
    <t>$243.73M</t>
  </si>
  <si>
    <t>PSCH</t>
  </si>
  <si>
    <t>PowerShares S&amp;P SmallCap Health Care Portfolio</t>
  </si>
  <si>
    <t>$231.66M</t>
  </si>
  <si>
    <t>PSCI</t>
  </si>
  <si>
    <t>PowerShares S&amp;P SmallCap Industrials Portfolio</t>
  </si>
  <si>
    <t>$94.44M</t>
  </si>
  <si>
    <t>PSCT</t>
  </si>
  <si>
    <t>PowerShares S&amp;P SmallCap Information Technology Portfolio</t>
  </si>
  <si>
    <t>$530.37M</t>
  </si>
  <si>
    <t>PSCM</t>
  </si>
  <si>
    <t>PowerShares S&amp;P SmallCap Materials Portfolio</t>
  </si>
  <si>
    <t>$48M</t>
  </si>
  <si>
    <t>PSCU</t>
  </si>
  <si>
    <t>PowerShares S&amp;P SmallCap Utilities Portfolio</t>
  </si>
  <si>
    <t>VRIG</t>
  </si>
  <si>
    <t>PowerShares Variable Rate Investment Grade Portfolio</t>
  </si>
  <si>
    <t>$84.59M</t>
  </si>
  <si>
    <t>PHO</t>
  </si>
  <si>
    <t>PowerShares Water Resources Portfolio</t>
  </si>
  <si>
    <t>$811.7M</t>
  </si>
  <si>
    <t>PRAA</t>
  </si>
  <si>
    <t>PRA Group, Inc.</t>
  </si>
  <si>
    <t>PRAH</t>
  </si>
  <si>
    <t>PRA Health Sciences, Inc.</t>
  </si>
  <si>
    <t>$4.94B</t>
  </si>
  <si>
    <t>PRAN</t>
  </si>
  <si>
    <t>Prana Biotechnology Ltd</t>
  </si>
  <si>
    <t>$24.56M</t>
  </si>
  <si>
    <t>PRPO</t>
  </si>
  <si>
    <t>Precipio, Inc.</t>
  </si>
  <si>
    <t>$28.94M</t>
  </si>
  <si>
    <t>PFBC</t>
  </si>
  <si>
    <t>Preferred Bank</t>
  </si>
  <si>
    <t>$819.9M</t>
  </si>
  <si>
    <t>PLPC</t>
  </si>
  <si>
    <t>Preformed Line Products Company</t>
  </si>
  <si>
    <t>$278.67M</t>
  </si>
  <si>
    <t>PFBI</t>
  </si>
  <si>
    <t>Premier Financial Bancorp, Inc.</t>
  </si>
  <si>
    <t>$212.62M</t>
  </si>
  <si>
    <t>PINC</t>
  </si>
  <si>
    <t>Premier, Inc.</t>
  </si>
  <si>
    <t>LENS</t>
  </si>
  <si>
    <t>Presbia PLC</t>
  </si>
  <si>
    <t>$45.48M</t>
  </si>
  <si>
    <t>PSDO</t>
  </si>
  <si>
    <t>Presidio, Inc.</t>
  </si>
  <si>
    <t>PRGX</t>
  </si>
  <si>
    <t>PRGX Global, Inc.</t>
  </si>
  <si>
    <t>$136.64M</t>
  </si>
  <si>
    <t>PSMT</t>
  </si>
  <si>
    <t>PriceSmart, Inc.</t>
  </si>
  <si>
    <t>PBMD</t>
  </si>
  <si>
    <t>Prima BioMed Ltd</t>
  </si>
  <si>
    <t>$37.72M</t>
  </si>
  <si>
    <t>PNRG</t>
  </si>
  <si>
    <t>PrimeEnergy Corporation</t>
  </si>
  <si>
    <t>$109.79M</t>
  </si>
  <si>
    <t>PRMW</t>
  </si>
  <si>
    <t>Primo Water Corporation</t>
  </si>
  <si>
    <t>$359.53M</t>
  </si>
  <si>
    <t>PRIM</t>
  </si>
  <si>
    <t>Primoris Services Corporation</t>
  </si>
  <si>
    <t>BTEC</t>
  </si>
  <si>
    <t>Principal Healthcare Innovators Index ETF</t>
  </si>
  <si>
    <t>$7.14M</t>
  </si>
  <si>
    <t>GENY</t>
  </si>
  <si>
    <t>Principal Millennials Index ETF</t>
  </si>
  <si>
    <t>$7.75M</t>
  </si>
  <si>
    <t>PSET</t>
  </si>
  <si>
    <t>Principal Price Setters Index ETF</t>
  </si>
  <si>
    <t>PY</t>
  </si>
  <si>
    <t>Principal Shareholder Yield Index ETF</t>
  </si>
  <si>
    <t>$7.4M</t>
  </si>
  <si>
    <t>PSC</t>
  </si>
  <si>
    <t>Principal U.S. Small Cap Index ETF</t>
  </si>
  <si>
    <t>$274.94M</t>
  </si>
  <si>
    <t>PDEX</t>
  </si>
  <si>
    <t>Pro-Dex, Inc.</t>
  </si>
  <si>
    <t>$24.69M</t>
  </si>
  <si>
    <t>IPDN</t>
  </si>
  <si>
    <t>Professional Diversity Network, Inc.</t>
  </si>
  <si>
    <t>$16.9M</t>
  </si>
  <si>
    <t>PFIE</t>
  </si>
  <si>
    <t>Profire Energy, Inc.</t>
  </si>
  <si>
    <t>$61.64M</t>
  </si>
  <si>
    <t>PGNX</t>
  </si>
  <si>
    <t>Progenics Pharmaceuticals Inc.</t>
  </si>
  <si>
    <t>$425.56M</t>
  </si>
  <si>
    <t>PRGS</t>
  </si>
  <si>
    <t>Progress Software Corporation</t>
  </si>
  <si>
    <t>PFPT</t>
  </si>
  <si>
    <t>Proofpoint, Inc.</t>
  </si>
  <si>
    <t>$3.86B</t>
  </si>
  <si>
    <t>PRPH</t>
  </si>
  <si>
    <t>ProPhase Labs, Inc.</t>
  </si>
  <si>
    <t>$32.8M</t>
  </si>
  <si>
    <t>PRQR</t>
  </si>
  <si>
    <t>ProQR Therapeutics N.V.</t>
  </si>
  <si>
    <t>$121.71M</t>
  </si>
  <si>
    <t>EQRR</t>
  </si>
  <si>
    <t>ProShares Equities for Rising Rates ETF</t>
  </si>
  <si>
    <t>$15.01M</t>
  </si>
  <si>
    <t>BIB</t>
  </si>
  <si>
    <t>ProShares Ultra Nasdaq Biotechnology</t>
  </si>
  <si>
    <t>$439.93M</t>
  </si>
  <si>
    <t>UBIO</t>
  </si>
  <si>
    <t>Proshares UltraPro Nasdaq Biotechnology</t>
  </si>
  <si>
    <t>$41.12M</t>
  </si>
  <si>
    <t>TQQQ</t>
  </si>
  <si>
    <t>ProShares UltraPro QQQ</t>
  </si>
  <si>
    <t>ZBIO</t>
  </si>
  <si>
    <t>ProShares UltraPro Short NASDAQ Biotechnology</t>
  </si>
  <si>
    <t>$5.72M</t>
  </si>
  <si>
    <t>SQQQ</t>
  </si>
  <si>
    <t>ProShares UltraPro Short QQQ</t>
  </si>
  <si>
    <t>$603.41M</t>
  </si>
  <si>
    <t>BIS</t>
  </si>
  <si>
    <t>ProShares UltraShort Nasdaq Biotechnology</t>
  </si>
  <si>
    <t>$45.38M</t>
  </si>
  <si>
    <t>PSEC</t>
  </si>
  <si>
    <t>Prospect Capital Corporation</t>
  </si>
  <si>
    <t>PTGX</t>
  </si>
  <si>
    <t>Protagonist Therapeutics, Inc.</t>
  </si>
  <si>
    <t>$197.89M</t>
  </si>
  <si>
    <t>PRTO</t>
  </si>
  <si>
    <t>Proteon Therapeutics, Inc.</t>
  </si>
  <si>
    <t>$22.91M</t>
  </si>
  <si>
    <t>PTI</t>
  </si>
  <si>
    <t>Proteostasis Therapeutics, Inc.</t>
  </si>
  <si>
    <t>PRTA</t>
  </si>
  <si>
    <t>Prothena Corporation plc</t>
  </si>
  <si>
    <t>PVBC</t>
  </si>
  <si>
    <t>Provident Bancorp, Inc.</t>
  </si>
  <si>
    <t>$211.45M</t>
  </si>
  <si>
    <t>PROV</t>
  </si>
  <si>
    <t>Provident Financial Holdings, Inc.</t>
  </si>
  <si>
    <t>$147.42M</t>
  </si>
  <si>
    <t>PBIP</t>
  </si>
  <si>
    <t>Prudential Bancorp, Inc.</t>
  </si>
  <si>
    <t>$164.48M</t>
  </si>
  <si>
    <t>PSDV</t>
  </si>
  <si>
    <t>pSivida Corp.</t>
  </si>
  <si>
    <t>$47.62M</t>
  </si>
  <si>
    <t>PMD</t>
  </si>
  <si>
    <t>Psychemedics Corporation</t>
  </si>
  <si>
    <t>$116.59M</t>
  </si>
  <si>
    <t>PTC</t>
  </si>
  <si>
    <t>PTC Inc.</t>
  </si>
  <si>
    <t>$6.2B</t>
  </si>
  <si>
    <t>PTCT</t>
  </si>
  <si>
    <t>PTC Therapeutics, Inc.</t>
  </si>
  <si>
    <t>$787.76M</t>
  </si>
  <si>
    <t>PULM</t>
  </si>
  <si>
    <t>Pulmatrix, Inc.</t>
  </si>
  <si>
    <t>PLSE</t>
  </si>
  <si>
    <t>Pulse Biosciences, Inc</t>
  </si>
  <si>
    <t>$340.69M</t>
  </si>
  <si>
    <t>PBYI</t>
  </si>
  <si>
    <t>Puma Biotechnology Inc</t>
  </si>
  <si>
    <t>$3.01B</t>
  </si>
  <si>
    <t>PCYO</t>
  </si>
  <si>
    <t>Pure Cycle Corporation</t>
  </si>
  <si>
    <t>$174.59M</t>
  </si>
  <si>
    <t>IMED</t>
  </si>
  <si>
    <t>PureFunds ETFx HealthTech ETF</t>
  </si>
  <si>
    <t>PXS</t>
  </si>
  <si>
    <t>Pyxis Tankers Inc.</t>
  </si>
  <si>
    <t>$31.44M</t>
  </si>
  <si>
    <t>QADA</t>
  </si>
  <si>
    <t>QAD Inc.</t>
  </si>
  <si>
    <t>$598.48M</t>
  </si>
  <si>
    <t>QADB</t>
  </si>
  <si>
    <t>$485.25M</t>
  </si>
  <si>
    <t>QCRH</t>
  </si>
  <si>
    <t>QCR Holdings, Inc.</t>
  </si>
  <si>
    <t>$600.13M</t>
  </si>
  <si>
    <t>QGEN</t>
  </si>
  <si>
    <t>Qiagen N.V.</t>
  </si>
  <si>
    <t>$7.18B</t>
  </si>
  <si>
    <t>QIWI</t>
  </si>
  <si>
    <t>QIWI plc</t>
  </si>
  <si>
    <t>$1.21B</t>
  </si>
  <si>
    <t>QRVO</t>
  </si>
  <si>
    <t>Qorvo, Inc.</t>
  </si>
  <si>
    <t>$8.8B</t>
  </si>
  <si>
    <t>QCOM</t>
  </si>
  <si>
    <t>QUALCOMM Incorporated</t>
  </si>
  <si>
    <t>$77.18B</t>
  </si>
  <si>
    <t>QSII</t>
  </si>
  <si>
    <t>Quality Systems, Inc.</t>
  </si>
  <si>
    <t>QBAK</t>
  </si>
  <si>
    <t>Qualstar Corporation</t>
  </si>
  <si>
    <t>$14.5M</t>
  </si>
  <si>
    <t>QLYS</t>
  </si>
  <si>
    <t>Qualys, Inc.</t>
  </si>
  <si>
    <t>QTNA</t>
  </si>
  <si>
    <t>Quantenna Communications, Inc.</t>
  </si>
  <si>
    <t>$606.91M</t>
  </si>
  <si>
    <t>QTRH</t>
  </si>
  <si>
    <t>Quarterhill Inc.</t>
  </si>
  <si>
    <t>$161.85M</t>
  </si>
  <si>
    <t>QRHC</t>
  </si>
  <si>
    <t>Quest Resource Holding Corporation.</t>
  </si>
  <si>
    <t>QUIK</t>
  </si>
  <si>
    <t>QuickLogic Corporation</t>
  </si>
  <si>
    <t>$110.59M</t>
  </si>
  <si>
    <t>QDEL</t>
  </si>
  <si>
    <t>Quidel Corporation</t>
  </si>
  <si>
    <t>QNST</t>
  </si>
  <si>
    <t>QuinStreet, Inc.</t>
  </si>
  <si>
    <t>$167.3M</t>
  </si>
  <si>
    <t>QUMU</t>
  </si>
  <si>
    <t>Qumu Corporation</t>
  </si>
  <si>
    <t>$27.48M</t>
  </si>
  <si>
    <t>QTNT</t>
  </si>
  <si>
    <t>Quotient Limited</t>
  </si>
  <si>
    <t>$203.78M</t>
  </si>
  <si>
    <t>RRD</t>
  </si>
  <si>
    <t>R.R. Donnelley &amp; Sons Company</t>
  </si>
  <si>
    <t>$663.6M</t>
  </si>
  <si>
    <t>RCM</t>
  </si>
  <si>
    <t>R1 RCM Inc.</t>
  </si>
  <si>
    <t>$341.94M</t>
  </si>
  <si>
    <t>RARX</t>
  </si>
  <si>
    <t>Ra Pharmaceuticals, Inc.</t>
  </si>
  <si>
    <t>$315.5M</t>
  </si>
  <si>
    <t>RADA</t>
  </si>
  <si>
    <t>RADA Electronic Industries Ltd.</t>
  </si>
  <si>
    <t>$41.38M</t>
  </si>
  <si>
    <t>RDCM</t>
  </si>
  <si>
    <t>Radcom Ltd.</t>
  </si>
  <si>
    <t>$232.27M</t>
  </si>
  <si>
    <t>RSYS</t>
  </si>
  <si>
    <t>RadiSys Corporation</t>
  </si>
  <si>
    <t>$65.21M</t>
  </si>
  <si>
    <t>RDUS</t>
  </si>
  <si>
    <t>Radius Health, Inc.</t>
  </si>
  <si>
    <t>RDNT</t>
  </si>
  <si>
    <t>RadNet, Inc.</t>
  </si>
  <si>
    <t>$377.74M</t>
  </si>
  <si>
    <t>RDWR</t>
  </si>
  <si>
    <t>Radware Ltd.</t>
  </si>
  <si>
    <t>$759.26M</t>
  </si>
  <si>
    <t>METC</t>
  </si>
  <si>
    <t>Ramaco Resources, Inc.</t>
  </si>
  <si>
    <t>$305.86M</t>
  </si>
  <si>
    <t>RMBS</t>
  </si>
  <si>
    <t>Rambus, Inc.</t>
  </si>
  <si>
    <t>RAND</t>
  </si>
  <si>
    <t>Rand Capital Corporation</t>
  </si>
  <si>
    <t>$17.7M</t>
  </si>
  <si>
    <t>RLOG</t>
  </si>
  <si>
    <t>Rand Logistics, Inc.</t>
  </si>
  <si>
    <t>$4.84M</t>
  </si>
  <si>
    <t>GOLD</t>
  </si>
  <si>
    <t>Randgold Resources Limited</t>
  </si>
  <si>
    <t>$8.78B</t>
  </si>
  <si>
    <t>RNDB</t>
  </si>
  <si>
    <t>Randolph Bancorp, Inc.</t>
  </si>
  <si>
    <t>$87.97M</t>
  </si>
  <si>
    <t>RPD</t>
  </si>
  <si>
    <t>Rapid7, Inc.</t>
  </si>
  <si>
    <t>$654.18M</t>
  </si>
  <si>
    <t>RAVE</t>
  </si>
  <si>
    <t>Rave Restaurant Group, Inc.</t>
  </si>
  <si>
    <t>$22.49M</t>
  </si>
  <si>
    <t>RAVN</t>
  </si>
  <si>
    <t>Raven Industries, Inc.</t>
  </si>
  <si>
    <t>RBB</t>
  </si>
  <si>
    <t>RBB Bancorp</t>
  </si>
  <si>
    <t>$359.36M</t>
  </si>
  <si>
    <t>ROLL</t>
  </si>
  <si>
    <t>RBC Bearings Incorporated</t>
  </si>
  <si>
    <t>$2.55B</t>
  </si>
  <si>
    <t>RICK</t>
  </si>
  <si>
    <t>RCI Hospitality Holdings, Inc.</t>
  </si>
  <si>
    <t>$229.07M</t>
  </si>
  <si>
    <t>RCMT</t>
  </si>
  <si>
    <t>RCM Technologies, Inc.</t>
  </si>
  <si>
    <t>$63.76M</t>
  </si>
  <si>
    <t>RDI</t>
  </si>
  <si>
    <t>Reading International Inc</t>
  </si>
  <si>
    <t>$362.37M</t>
  </si>
  <si>
    <t>RDIB</t>
  </si>
  <si>
    <t>$428.29M</t>
  </si>
  <si>
    <t>RGSE</t>
  </si>
  <si>
    <t>Real Goods Solar, Inc.</t>
  </si>
  <si>
    <t>$6.37M</t>
  </si>
  <si>
    <t>RELY</t>
  </si>
  <si>
    <t xml:space="preserve">Real Industry, Inc. </t>
  </si>
  <si>
    <t>$73M</t>
  </si>
  <si>
    <t>RNWK</t>
  </si>
  <si>
    <t>RealNetworks, Inc.</t>
  </si>
  <si>
    <t>$153.27M</t>
  </si>
  <si>
    <t>RP</t>
  </si>
  <si>
    <t>RealPage, Inc.</t>
  </si>
  <si>
    <t>$3.29B</t>
  </si>
  <si>
    <t>RETA</t>
  </si>
  <si>
    <t>Reata Pharmaceuticals, Inc.</t>
  </si>
  <si>
    <t>RCON</t>
  </si>
  <si>
    <t>Recon Technology, Ltd.</t>
  </si>
  <si>
    <t>$10.89M</t>
  </si>
  <si>
    <t>REPH</t>
  </si>
  <si>
    <t>Recro Pharma, Inc.</t>
  </si>
  <si>
    <t>$139.45M</t>
  </si>
  <si>
    <t>RRGB</t>
  </si>
  <si>
    <t>Red Robin Gourmet Burgers, Inc.</t>
  </si>
  <si>
    <t>$691.75M</t>
  </si>
  <si>
    <t>RRR</t>
  </si>
  <si>
    <t>Red Rock Resorts, Inc.</t>
  </si>
  <si>
    <t>RDFN</t>
  </si>
  <si>
    <t>Redfin Corporation</t>
  </si>
  <si>
    <t>RDHL</t>
  </si>
  <si>
    <t>Redhill Biopharma Ltd.</t>
  </si>
  <si>
    <t>$147.38M</t>
  </si>
  <si>
    <t>REGN</t>
  </si>
  <si>
    <t>Regeneron Pharmaceuticals, Inc.</t>
  </si>
  <si>
    <t>$50.33B</t>
  </si>
  <si>
    <t>RGNX</t>
  </si>
  <si>
    <t>REGENXBIO Inc.</t>
  </si>
  <si>
    <t>$576.36M</t>
  </si>
  <si>
    <t>RGLS</t>
  </si>
  <si>
    <t>Regulus Therapeutics Inc.</t>
  </si>
  <si>
    <t>$98.76M</t>
  </si>
  <si>
    <t>REIS</t>
  </si>
  <si>
    <t>Reis, Inc</t>
  </si>
  <si>
    <t>$219.31M</t>
  </si>
  <si>
    <t>RELV</t>
  </si>
  <si>
    <t>Reliv&amp;#39; International, Inc.</t>
  </si>
  <si>
    <t>$16.74M</t>
  </si>
  <si>
    <t>MARK</t>
  </si>
  <si>
    <t>Remark Holdings, Inc.</t>
  </si>
  <si>
    <t>$64.11M</t>
  </si>
  <si>
    <t>RNST</t>
  </si>
  <si>
    <t>Renasant Corporation</t>
  </si>
  <si>
    <t>REGI</t>
  </si>
  <si>
    <t>Renewable Energy Group, Inc.</t>
  </si>
  <si>
    <t>$454.6M</t>
  </si>
  <si>
    <t>RNVA</t>
  </si>
  <si>
    <t>Rennova Health, Inc.</t>
  </si>
  <si>
    <t>$3.15M</t>
  </si>
  <si>
    <t>RNVAZ</t>
  </si>
  <si>
    <t>RCII</t>
  </si>
  <si>
    <t>Rent-A-Center Inc.</t>
  </si>
  <si>
    <t>$716.38M</t>
  </si>
  <si>
    <t>RTK</t>
  </si>
  <si>
    <t>Rentech, Inc.</t>
  </si>
  <si>
    <t>$10.13M</t>
  </si>
  <si>
    <t>RGEN</t>
  </si>
  <si>
    <t>Repligen Corporation</t>
  </si>
  <si>
    <t>RPRX</t>
  </si>
  <si>
    <t>Repros Therapeutics Inc.</t>
  </si>
  <si>
    <t>$8.18M</t>
  </si>
  <si>
    <t>RBCAA</t>
  </si>
  <si>
    <t>Republic Bancorp, Inc.</t>
  </si>
  <si>
    <t>$730.67M</t>
  </si>
  <si>
    <t>FRBK</t>
  </si>
  <si>
    <t>Republic First Bancorp, Inc.</t>
  </si>
  <si>
    <t>$521.2M</t>
  </si>
  <si>
    <t>REFR</t>
  </si>
  <si>
    <t>Research Frontiers Incorporated</t>
  </si>
  <si>
    <t>$27.41M</t>
  </si>
  <si>
    <t>RESN</t>
  </si>
  <si>
    <t>Resonant Inc.</t>
  </si>
  <si>
    <t>RECN</t>
  </si>
  <si>
    <t>Resources Connection, Inc.</t>
  </si>
  <si>
    <t>$394.26M</t>
  </si>
  <si>
    <t>ROIC</t>
  </si>
  <si>
    <t>Retail Opportunity Investments Corp.</t>
  </si>
  <si>
    <t>$2.23B</t>
  </si>
  <si>
    <t>RTRX</t>
  </si>
  <si>
    <t>Retrophin, Inc.</t>
  </si>
  <si>
    <t>$789.8M</t>
  </si>
  <si>
    <t>RVNC</t>
  </si>
  <si>
    <t>Revance Therapeutics, Inc.</t>
  </si>
  <si>
    <t>$705.76M</t>
  </si>
  <si>
    <t>RVEN</t>
  </si>
  <si>
    <t>Reven Housing REIT, Inc.</t>
  </si>
  <si>
    <t>$47.02M</t>
  </si>
  <si>
    <t>RVLT</t>
  </si>
  <si>
    <t>Revolution Lighting Technologies, Inc.</t>
  </si>
  <si>
    <t>$154.44M</t>
  </si>
  <si>
    <t>RWLK</t>
  </si>
  <si>
    <t>ReWalk Robotics Ltd</t>
  </si>
  <si>
    <t>$31.53M</t>
  </si>
  <si>
    <t>REXX</t>
  </si>
  <si>
    <t>Rex Energy Corporation</t>
  </si>
  <si>
    <t>RFIL</t>
  </si>
  <si>
    <t>RF Industries, Ltd.</t>
  </si>
  <si>
    <t>$16.38M</t>
  </si>
  <si>
    <t>RGCO</t>
  </si>
  <si>
    <t>RGC Resources Inc.</t>
  </si>
  <si>
    <t>$195.13M</t>
  </si>
  <si>
    <t>RIBT</t>
  </si>
  <si>
    <t>RiceBran Technologies</t>
  </si>
  <si>
    <t>RIBTW</t>
  </si>
  <si>
    <t>RELL</t>
  </si>
  <si>
    <t>Richardson Electronics, Ltd.</t>
  </si>
  <si>
    <t>RIGL</t>
  </si>
  <si>
    <t>Rigel Pharmaceuticals, Inc.</t>
  </si>
  <si>
    <t>$279.88M</t>
  </si>
  <si>
    <t>RNET</t>
  </si>
  <si>
    <t>RigNet, Inc.</t>
  </si>
  <si>
    <t>$309.73M</t>
  </si>
  <si>
    <t>RTTR</t>
  </si>
  <si>
    <t>Ritter Pharmaceuticals, Inc.</t>
  </si>
  <si>
    <t>$8.39M</t>
  </si>
  <si>
    <t>RVSB</t>
  </si>
  <si>
    <t>Riverview Bancorp Inc</t>
  </si>
  <si>
    <t>$181.8M</t>
  </si>
  <si>
    <t>RLJE</t>
  </si>
  <si>
    <t>RLJ Entertainment, Inc.</t>
  </si>
  <si>
    <t>$52.43M</t>
  </si>
  <si>
    <t>RMGN</t>
  </si>
  <si>
    <t>RMG Networks Holding Corporation</t>
  </si>
  <si>
    <t>$25.44M</t>
  </si>
  <si>
    <t>ROBO</t>
  </si>
  <si>
    <t>ROBO Global Robotics and Automation Index ETF</t>
  </si>
  <si>
    <t>$166.66M</t>
  </si>
  <si>
    <t>FUEL</t>
  </si>
  <si>
    <t>Rocket Fuel Inc.</t>
  </si>
  <si>
    <t>$121.18M</t>
  </si>
  <si>
    <t>RMTI</t>
  </si>
  <si>
    <t>Rockwell Medical, Inc.</t>
  </si>
  <si>
    <t>$346.18M</t>
  </si>
  <si>
    <t>RCKY</t>
  </si>
  <si>
    <t>Rocky Brands, Inc.</t>
  </si>
  <si>
    <t>$103.07M</t>
  </si>
  <si>
    <t>RMCF</t>
  </si>
  <si>
    <t>Rocky Mountain Chocolate Factory, Inc.</t>
  </si>
  <si>
    <t>$68.26M</t>
  </si>
  <si>
    <t>ROKA</t>
  </si>
  <si>
    <t>Roka Bioscience, Inc.</t>
  </si>
  <si>
    <t>$12.47M</t>
  </si>
  <si>
    <t>RTNB</t>
  </si>
  <si>
    <t xml:space="preserve">root9B Holdings, Inc. </t>
  </si>
  <si>
    <t>$29.04M</t>
  </si>
  <si>
    <t>ROSE</t>
  </si>
  <si>
    <t>Rosehill Resources Inc.</t>
  </si>
  <si>
    <t>$244.74M</t>
  </si>
  <si>
    <t>ROSEU</t>
  </si>
  <si>
    <t>ROSEW</t>
  </si>
  <si>
    <t>ROSG</t>
  </si>
  <si>
    <t>Rosetta Genomics Ltd.</t>
  </si>
  <si>
    <t>$4.48M</t>
  </si>
  <si>
    <t>ROST</t>
  </si>
  <si>
    <t>Ross Stores, Inc.</t>
  </si>
  <si>
    <t>$21.76B</t>
  </si>
  <si>
    <t>RBPAA</t>
  </si>
  <si>
    <t>Royal Bancshares of Pennsylvania, Inc.</t>
  </si>
  <si>
    <t>$128.04M</t>
  </si>
  <si>
    <t>RGLD</t>
  </si>
  <si>
    <t>Royal Gold, Inc.</t>
  </si>
  <si>
    <t>RPXC</t>
  </si>
  <si>
    <t>RPX Corporation</t>
  </si>
  <si>
    <t>$634.1M</t>
  </si>
  <si>
    <t>RTIX</t>
  </si>
  <si>
    <t>RTI Surgical, Inc.</t>
  </si>
  <si>
    <t>$286.93M</t>
  </si>
  <si>
    <t>RBCN</t>
  </si>
  <si>
    <t>Rubicon Technology, Inc.</t>
  </si>
  <si>
    <t>RUSHA</t>
  </si>
  <si>
    <t>Rush Enterprises, Inc.</t>
  </si>
  <si>
    <t>$1.61B</t>
  </si>
  <si>
    <t>RUSHB</t>
  </si>
  <si>
    <t>RUTH</t>
  </si>
  <si>
    <t>Ruth&amp;#39;s Hospitality Group, Inc.</t>
  </si>
  <si>
    <t>$628.88M</t>
  </si>
  <si>
    <t>RXII</t>
  </si>
  <si>
    <t>RXi Pharmaceuticals Corporation</t>
  </si>
  <si>
    <t>$13.48M</t>
  </si>
  <si>
    <t>RXIIW</t>
  </si>
  <si>
    <t>RYAAY</t>
  </si>
  <si>
    <t>Ryanair Holdings plc</t>
  </si>
  <si>
    <t>$28.02B</t>
  </si>
  <si>
    <t>STBA</t>
  </si>
  <si>
    <t>S&amp;T Bancorp, Inc.</t>
  </si>
  <si>
    <t>$1.29B</t>
  </si>
  <si>
    <t>SANW</t>
  </si>
  <si>
    <t>S&amp;W Seed Company</t>
  </si>
  <si>
    <t>SCAC</t>
  </si>
  <si>
    <t>Saban Capital Acquisition Corp.</t>
  </si>
  <si>
    <t>$315.63M</t>
  </si>
  <si>
    <t>SCACU</t>
  </si>
  <si>
    <t>SCACW</t>
  </si>
  <si>
    <t>SBRA</t>
  </si>
  <si>
    <t>Sabra Healthcare REIT, Inc.</t>
  </si>
  <si>
    <t>SBRAP</t>
  </si>
  <si>
    <t>$149.39M</t>
  </si>
  <si>
    <t>SABR</t>
  </si>
  <si>
    <t>Sabre Corporation</t>
  </si>
  <si>
    <t>$5.29B</t>
  </si>
  <si>
    <t>SAEX</t>
  </si>
  <si>
    <t>SAExploration Holdings, Inc.</t>
  </si>
  <si>
    <t>$23.21M</t>
  </si>
  <si>
    <t>SAFT</t>
  </si>
  <si>
    <t>Safety Insurance Group, Inc.</t>
  </si>
  <si>
    <t>SAGE</t>
  </si>
  <si>
    <t>Sage Therapeutics, Inc.</t>
  </si>
  <si>
    <t>$3.16B</t>
  </si>
  <si>
    <t>SAIA</t>
  </si>
  <si>
    <t>Saia, Inc.</t>
  </si>
  <si>
    <t>SALM</t>
  </si>
  <si>
    <t>Salem Media Group, Inc.</t>
  </si>
  <si>
    <t>$178.25M</t>
  </si>
  <si>
    <t>SAL</t>
  </si>
  <si>
    <t>Salisbury Bancorp, Inc.</t>
  </si>
  <si>
    <t>$122.24M</t>
  </si>
  <si>
    <t>SAFM</t>
  </si>
  <si>
    <t>Sanderson Farms, Inc.</t>
  </si>
  <si>
    <t>$3.09B</t>
  </si>
  <si>
    <t>SASR</t>
  </si>
  <si>
    <t>Sandy Spring Bancorp, Inc.</t>
  </si>
  <si>
    <t>$950.86M</t>
  </si>
  <si>
    <t>SGMO</t>
  </si>
  <si>
    <t>Sangamo Therapeutics, Inc.</t>
  </si>
  <si>
    <t>$725.92M</t>
  </si>
  <si>
    <t>SANM</t>
  </si>
  <si>
    <t>Sanmina Corporation</t>
  </si>
  <si>
    <t>GCVRZ</t>
  </si>
  <si>
    <t>Sanofi</t>
  </si>
  <si>
    <t>SPNS</t>
  </si>
  <si>
    <t>Sapiens International Corporation N.V.</t>
  </si>
  <si>
    <t>$559.5M</t>
  </si>
  <si>
    <t>SRPT</t>
  </si>
  <si>
    <t>Sarepta Therapeutics, Inc.</t>
  </si>
  <si>
    <t>SVRA</t>
  </si>
  <si>
    <t>Savara, Inc.</t>
  </si>
  <si>
    <t>$144.62M</t>
  </si>
  <si>
    <t>SBFG</t>
  </si>
  <si>
    <t>SB Financial Group, Inc.</t>
  </si>
  <si>
    <t>$81.1M</t>
  </si>
  <si>
    <t>SBFGP</t>
  </si>
  <si>
    <t>SBAC</t>
  </si>
  <si>
    <t>SBA Communications Corporation</t>
  </si>
  <si>
    <t>$16.64B</t>
  </si>
  <si>
    <t>SCSC</t>
  </si>
  <si>
    <t>ScanSource, Inc.</t>
  </si>
  <si>
    <t>$975.87M</t>
  </si>
  <si>
    <t>SMIT</t>
  </si>
  <si>
    <t>Schmitt Industries, Inc.</t>
  </si>
  <si>
    <t>$5.21M</t>
  </si>
  <si>
    <t>SCHN</t>
  </si>
  <si>
    <t>Schnitzer Steel Industries, Inc.</t>
  </si>
  <si>
    <t>$687.26M</t>
  </si>
  <si>
    <t>SCHL</t>
  </si>
  <si>
    <t>Scholastic Corporation</t>
  </si>
  <si>
    <t>SCLN</t>
  </si>
  <si>
    <t>SciClone Pharmaceuticals, Inc.</t>
  </si>
  <si>
    <t>$572.28M</t>
  </si>
  <si>
    <t>SGMS</t>
  </si>
  <si>
    <t>Scientific Games Corp</t>
  </si>
  <si>
    <t>SNI</t>
  </si>
  <si>
    <t>Scripps Networks Interactive, Inc</t>
  </si>
  <si>
    <t>$11.4B</t>
  </si>
  <si>
    <t>SCYX</t>
  </si>
  <si>
    <t>SCYNEXIS, Inc.</t>
  </si>
  <si>
    <t>$42.31M</t>
  </si>
  <si>
    <t>SEAC</t>
  </si>
  <si>
    <t>SeaChange International, Inc.</t>
  </si>
  <si>
    <t>$96.45M</t>
  </si>
  <si>
    <t>SBCF</t>
  </si>
  <si>
    <t>Seacoast Banking Corporation of Florida</t>
  </si>
  <si>
    <t>STX</t>
  </si>
  <si>
    <t>Seagate Technology PLC</t>
  </si>
  <si>
    <t>$9.63B</t>
  </si>
  <si>
    <t>SHIP</t>
  </si>
  <si>
    <t>Seanergy Maritime Holdings Corp</t>
  </si>
  <si>
    <t>$26.26M</t>
  </si>
  <si>
    <t>SHIPW</t>
  </si>
  <si>
    <t>SHLD</t>
  </si>
  <si>
    <t>Sears Holdings Corporation</t>
  </si>
  <si>
    <t>$951.45M</t>
  </si>
  <si>
    <t>SHLDW</t>
  </si>
  <si>
    <t>SHOS</t>
  </si>
  <si>
    <t>Sears Hometown and Outlet Stores, Inc.</t>
  </si>
  <si>
    <t>SPNE</t>
  </si>
  <si>
    <t>SeaSpine Holdings Corporation</t>
  </si>
  <si>
    <t>$159.78M</t>
  </si>
  <si>
    <t>SGEN</t>
  </si>
  <si>
    <t>Seattle Genetics, Inc.</t>
  </si>
  <si>
    <t>EYES</t>
  </si>
  <si>
    <t>Second Sight Medical Products, Inc.</t>
  </si>
  <si>
    <t>$64.26M</t>
  </si>
  <si>
    <t>EYESW</t>
  </si>
  <si>
    <t>SCWX</t>
  </si>
  <si>
    <t>SecureWorks Corp.</t>
  </si>
  <si>
    <t>$878.83M</t>
  </si>
  <si>
    <t>SNFCA</t>
  </si>
  <si>
    <t>Security National Financial Corporation</t>
  </si>
  <si>
    <t>$98.91M</t>
  </si>
  <si>
    <t>SEIC</t>
  </si>
  <si>
    <t>SEI Investments Company</t>
  </si>
  <si>
    <t>$8.88B</t>
  </si>
  <si>
    <t>SLCT</t>
  </si>
  <si>
    <t>Select Bancorp, Inc.</t>
  </si>
  <si>
    <t>$134.58M</t>
  </si>
  <si>
    <t>SCSS</t>
  </si>
  <si>
    <t>Select Comfort Corporation</t>
  </si>
  <si>
    <t>SIR</t>
  </si>
  <si>
    <t>Select Income REIT</t>
  </si>
  <si>
    <t>$2.07B</t>
  </si>
  <si>
    <t>SELB</t>
  </si>
  <si>
    <t>Selecta Biosciences, Inc.</t>
  </si>
  <si>
    <t>$394.3M</t>
  </si>
  <si>
    <t>SIGI</t>
  </si>
  <si>
    <t>Selective Insurance Group, Inc.</t>
  </si>
  <si>
    <t>$2.99B</t>
  </si>
  <si>
    <t>LEDS</t>
  </si>
  <si>
    <t>SemiLEDS Corporation</t>
  </si>
  <si>
    <t>$7.94M</t>
  </si>
  <si>
    <t>SMTC</t>
  </si>
  <si>
    <t>Semtech Corporation</t>
  </si>
  <si>
    <t>SENEA</t>
  </si>
  <si>
    <t>Seneca Foods Corp.</t>
  </si>
  <si>
    <t>$288.98M</t>
  </si>
  <si>
    <t>SENEB</t>
  </si>
  <si>
    <t>$304.24M</t>
  </si>
  <si>
    <t>SNES</t>
  </si>
  <si>
    <t>SenesTech, Inc.</t>
  </si>
  <si>
    <t>$31.98M</t>
  </si>
  <si>
    <t>SNH</t>
  </si>
  <si>
    <t>Senior Housing Properties Trust</t>
  </si>
  <si>
    <t>$4.51B</t>
  </si>
  <si>
    <t>SNHNI</t>
  </si>
  <si>
    <t>SNHNL</t>
  </si>
  <si>
    <t>SNMX</t>
  </si>
  <si>
    <t>Senomyx, Inc.</t>
  </si>
  <si>
    <t>$31.83M</t>
  </si>
  <si>
    <t>SRTS</t>
  </si>
  <si>
    <t>Sensus Healthcare, Inc.</t>
  </si>
  <si>
    <t>SRTSW</t>
  </si>
  <si>
    <t>SQBG</t>
  </si>
  <si>
    <t>Sequential Brands Group, Inc.</t>
  </si>
  <si>
    <t>$191.85M</t>
  </si>
  <si>
    <t>MCRB</t>
  </si>
  <si>
    <t>Seres Therapeutics, Inc.</t>
  </si>
  <si>
    <t>$549.35M</t>
  </si>
  <si>
    <t>SREV</t>
  </si>
  <si>
    <t>ServiceSource International, Inc.</t>
  </si>
  <si>
    <t>$333.18M</t>
  </si>
  <si>
    <t>SFBS</t>
  </si>
  <si>
    <t>ServisFirst Bancshares, Inc.</t>
  </si>
  <si>
    <t>SEV</t>
  </si>
  <si>
    <t>Sevcon, Inc.</t>
  </si>
  <si>
    <t>$124.31M</t>
  </si>
  <si>
    <t>SSC</t>
  </si>
  <si>
    <t>Seven Stars Cloud Group, Inc.</t>
  </si>
  <si>
    <t>$117.82M</t>
  </si>
  <si>
    <t>SVBI</t>
  </si>
  <si>
    <t>Severn Bancorp Inc</t>
  </si>
  <si>
    <t>$88.54M</t>
  </si>
  <si>
    <t>SGBX</t>
  </si>
  <si>
    <t>SG Blocks, Inc.</t>
  </si>
  <si>
    <t>$17.46M</t>
  </si>
  <si>
    <t>SGOC</t>
  </si>
  <si>
    <t>SGOCO Group, Ltd</t>
  </si>
  <si>
    <t>SMED</t>
  </si>
  <si>
    <t>Sharps Compliance Corp</t>
  </si>
  <si>
    <t>$79.55M</t>
  </si>
  <si>
    <t>SHSP</t>
  </si>
  <si>
    <t>SharpSpring, Inc.</t>
  </si>
  <si>
    <t>$28.93M</t>
  </si>
  <si>
    <t>SHEN</t>
  </si>
  <si>
    <t>Shenandoah Telecommunications Co</t>
  </si>
  <si>
    <t>PIXY</t>
  </si>
  <si>
    <t>ShiftPixy, Inc.</t>
  </si>
  <si>
    <t>$128.72M</t>
  </si>
  <si>
    <t>SHLO</t>
  </si>
  <si>
    <t>Shiloh Industries, Inc.</t>
  </si>
  <si>
    <t>$147.82M</t>
  </si>
  <si>
    <t>TYHT</t>
  </si>
  <si>
    <t>Shineco, Inc.</t>
  </si>
  <si>
    <t>$42.7M</t>
  </si>
  <si>
    <t>SHPG</t>
  </si>
  <si>
    <t>Shire plc</t>
  </si>
  <si>
    <t>$47.48B</t>
  </si>
  <si>
    <t>SCVL</t>
  </si>
  <si>
    <t>Shoe Carnival, Inc.</t>
  </si>
  <si>
    <t>$307.19M</t>
  </si>
  <si>
    <t>SHBI</t>
  </si>
  <si>
    <t>Shore Bancshares Inc</t>
  </si>
  <si>
    <t>SHOR</t>
  </si>
  <si>
    <t>ShoreTel, Inc.</t>
  </si>
  <si>
    <t>$515.06M</t>
  </si>
  <si>
    <t>SSTI</t>
  </si>
  <si>
    <t>ShotSpotter, Inc.</t>
  </si>
  <si>
    <t>$97.96M</t>
  </si>
  <si>
    <t>SFLY</t>
  </si>
  <si>
    <t>Shutterfly, Inc.</t>
  </si>
  <si>
    <t>SIFI</t>
  </si>
  <si>
    <t>SI Financial Group, Inc.</t>
  </si>
  <si>
    <t>$184.96M</t>
  </si>
  <si>
    <t>SIEB</t>
  </si>
  <si>
    <t>Siebert Financial Corp.</t>
  </si>
  <si>
    <t>$97.62M</t>
  </si>
  <si>
    <t>SNNA</t>
  </si>
  <si>
    <t>Sienna Biopharmaceuticals, Inc.</t>
  </si>
  <si>
    <t>$377.48M</t>
  </si>
  <si>
    <t>SIEN</t>
  </si>
  <si>
    <t>Sientra, Inc.</t>
  </si>
  <si>
    <t>$211.22M</t>
  </si>
  <si>
    <t>BSRR</t>
  </si>
  <si>
    <t>Sierra Bancorp</t>
  </si>
  <si>
    <t>$366.84M</t>
  </si>
  <si>
    <t>SRRA</t>
  </si>
  <si>
    <t>Sierra Oncology, Inc.</t>
  </si>
  <si>
    <t>$78.93M</t>
  </si>
  <si>
    <t>SWIR</t>
  </si>
  <si>
    <t>Sierra Wireless, Inc.</t>
  </si>
  <si>
    <t>$807.85M</t>
  </si>
  <si>
    <t>SIFY</t>
  </si>
  <si>
    <t>Sify Technologies Limited</t>
  </si>
  <si>
    <t>$146.41M</t>
  </si>
  <si>
    <t>SIGM</t>
  </si>
  <si>
    <t>Sigma Designs, Inc.</t>
  </si>
  <si>
    <t>$238.82M</t>
  </si>
  <si>
    <t>SGLB</t>
  </si>
  <si>
    <t>Sigma Labs, Inc.</t>
  </si>
  <si>
    <t>$10.37M</t>
  </si>
  <si>
    <t>SGLBW</t>
  </si>
  <si>
    <t>SGMA</t>
  </si>
  <si>
    <t>SigmaTron International, Inc.</t>
  </si>
  <si>
    <t>$31.43M</t>
  </si>
  <si>
    <t>SBNY</t>
  </si>
  <si>
    <t>Signature Bank</t>
  </si>
  <si>
    <t>$7.42B</t>
  </si>
  <si>
    <t>SBNYW</t>
  </si>
  <si>
    <t>SLGN</t>
  </si>
  <si>
    <t>Silgan Holdings Inc.</t>
  </si>
  <si>
    <t>SILC</t>
  </si>
  <si>
    <t>Silicom Ltd</t>
  </si>
  <si>
    <t>$384.85M</t>
  </si>
  <si>
    <t>SLAB</t>
  </si>
  <si>
    <t>Silicon Laboratories, Inc.</t>
  </si>
  <si>
    <t>SIMO</t>
  </si>
  <si>
    <t>Silicon Motion Technology Corporation</t>
  </si>
  <si>
    <t>SPIL</t>
  </si>
  <si>
    <t>Siliconware Precision Industries Company, Ltd.</t>
  </si>
  <si>
    <t>SRUN</t>
  </si>
  <si>
    <t>Silver Run Acquisition Corporation II</t>
  </si>
  <si>
    <t>$1.32B</t>
  </si>
  <si>
    <t>SRUNU</t>
  </si>
  <si>
    <t>SRUNW</t>
  </si>
  <si>
    <t>SAMG</t>
  </si>
  <si>
    <t>Silvercrest Asset Management Group Inc.</t>
  </si>
  <si>
    <t>$164.59M</t>
  </si>
  <si>
    <t>SSNT</t>
  </si>
  <si>
    <t>SilverSun Technologies, Inc.</t>
  </si>
  <si>
    <t>$21.55M</t>
  </si>
  <si>
    <t>SFNC</t>
  </si>
  <si>
    <t>Simmons First National Corporation</t>
  </si>
  <si>
    <t>SLP</t>
  </si>
  <si>
    <t>Simulations Plus, Inc.</t>
  </si>
  <si>
    <t>$249.2M</t>
  </si>
  <si>
    <t>SINA</t>
  </si>
  <si>
    <t>Sina Corporation</t>
  </si>
  <si>
    <t>$7.1B</t>
  </si>
  <si>
    <t>SBGI</t>
  </si>
  <si>
    <t>Sinclair Broadcast Group, Inc.</t>
  </si>
  <si>
    <t>SINO</t>
  </si>
  <si>
    <t>Sino-Global Shipping America, Ltd.</t>
  </si>
  <si>
    <t>$31.63M</t>
  </si>
  <si>
    <t>SVA</t>
  </si>
  <si>
    <t>Sinovac Biotech, Ltd.</t>
  </si>
  <si>
    <t>$385.26M</t>
  </si>
  <si>
    <t>SIRI</t>
  </si>
  <si>
    <t>Sirius XM Holdings Inc.</t>
  </si>
  <si>
    <t>$25.6B</t>
  </si>
  <si>
    <t>SITO</t>
  </si>
  <si>
    <t>SITO Mobile, Ltd.</t>
  </si>
  <si>
    <t>$107.26M</t>
  </si>
  <si>
    <t>SKYS</t>
  </si>
  <si>
    <t>Sky Solar Holdings, Ltd.</t>
  </si>
  <si>
    <t>$73.42M</t>
  </si>
  <si>
    <t>SKLN</t>
  </si>
  <si>
    <t>Skyline Medical Inc.</t>
  </si>
  <si>
    <t>$9.16M</t>
  </si>
  <si>
    <t>SKYW</t>
  </si>
  <si>
    <t>SkyWest, Inc.</t>
  </si>
  <si>
    <t>SWKS</t>
  </si>
  <si>
    <t>Skyworks Solutions, Inc.</t>
  </si>
  <si>
    <t>$19.24B</t>
  </si>
  <si>
    <t>SLM</t>
  </si>
  <si>
    <t>SLM Corporation</t>
  </si>
  <si>
    <t>$4.74B</t>
  </si>
  <si>
    <t>SLMBP</t>
  </si>
  <si>
    <t>$282.88M</t>
  </si>
  <si>
    <t>SGH</t>
  </si>
  <si>
    <t>SMART Global Holdings, Inc.</t>
  </si>
  <si>
    <t>$392.37M</t>
  </si>
  <si>
    <t>SND</t>
  </si>
  <si>
    <t>Smart Sand, Inc.</t>
  </si>
  <si>
    <t>$236.4M</t>
  </si>
  <si>
    <t>Mining &amp; Quarrying of Nonmetallic Minerals (No Fuels)</t>
  </si>
  <si>
    <t>SMBK</t>
  </si>
  <si>
    <t>SmartFinancial, Inc.</t>
  </si>
  <si>
    <t>$197.17M</t>
  </si>
  <si>
    <t>SMSI</t>
  </si>
  <si>
    <t>Smith Micro Software, Inc.</t>
  </si>
  <si>
    <t>$13.54M</t>
  </si>
  <si>
    <t>SMTX</t>
  </si>
  <si>
    <t>SMTC Corporation</t>
  </si>
  <si>
    <t>$20.53M</t>
  </si>
  <si>
    <t>LNCE</t>
  </si>
  <si>
    <t>Snyder&amp;#39;s-Lance, Inc.</t>
  </si>
  <si>
    <t>$3.78B</t>
  </si>
  <si>
    <t>SRAX</t>
  </si>
  <si>
    <t>Social Reality, Inc.</t>
  </si>
  <si>
    <t>$11.48M</t>
  </si>
  <si>
    <t>SCKT</t>
  </si>
  <si>
    <t>Socket Mobile, Inc.</t>
  </si>
  <si>
    <t>$25.52M</t>
  </si>
  <si>
    <t>SODA</t>
  </si>
  <si>
    <t>SodaStream International Ltd.</t>
  </si>
  <si>
    <t>SOHU</t>
  </si>
  <si>
    <t>Sohu.com Inc.</t>
  </si>
  <si>
    <t>SLRC</t>
  </si>
  <si>
    <t>Solar Capital Ltd.</t>
  </si>
  <si>
    <t>$928.47M</t>
  </si>
  <si>
    <t>SUNS</t>
  </si>
  <si>
    <t>Solar Senior Capital Ltd.</t>
  </si>
  <si>
    <t>$272.87M</t>
  </si>
  <si>
    <t>SEDG</t>
  </si>
  <si>
    <t>SolarEdge Technologies, Inc.</t>
  </si>
  <si>
    <t>SLNO</t>
  </si>
  <si>
    <t>Soleno Therapeutics, Inc.</t>
  </si>
  <si>
    <t>$20.03M</t>
  </si>
  <si>
    <t>SLNOW</t>
  </si>
  <si>
    <t>SNGX</t>
  </si>
  <si>
    <t>Soligenix, Inc.</t>
  </si>
  <si>
    <t>SNGXW</t>
  </si>
  <si>
    <t>SONC</t>
  </si>
  <si>
    <t>Sonic Corp.</t>
  </si>
  <si>
    <t>$989.21M</t>
  </si>
  <si>
    <t>SOFO</t>
  </si>
  <si>
    <t>Sonic Foundry, Inc.</t>
  </si>
  <si>
    <t>$15.75M</t>
  </si>
  <si>
    <t>SNOA</t>
  </si>
  <si>
    <t>Sonoma Pharmaceuticals, Inc.</t>
  </si>
  <si>
    <t>$29.34M</t>
  </si>
  <si>
    <t>SNOAW</t>
  </si>
  <si>
    <t>SONS</t>
  </si>
  <si>
    <t>Sonus Networks, Inc.</t>
  </si>
  <si>
    <t>$347.8M</t>
  </si>
  <si>
    <t>SPHS</t>
  </si>
  <si>
    <t>Sophiris Bio, Inc.</t>
  </si>
  <si>
    <t>$59.62M</t>
  </si>
  <si>
    <t>SORL</t>
  </si>
  <si>
    <t>SORL Auto Parts, Inc.</t>
  </si>
  <si>
    <t>$134.94M</t>
  </si>
  <si>
    <t>SRNE</t>
  </si>
  <si>
    <t>Sorrento Therapeutics, Inc.</t>
  </si>
  <si>
    <t>$149.19M</t>
  </si>
  <si>
    <t>SOHO</t>
  </si>
  <si>
    <t>Sotherly Hotels Inc.</t>
  </si>
  <si>
    <t>$87.48M</t>
  </si>
  <si>
    <t>SOHOB</t>
  </si>
  <si>
    <t>SOHOM</t>
  </si>
  <si>
    <t>Sotherly Hotels LP</t>
  </si>
  <si>
    <t>SFBC</t>
  </si>
  <si>
    <t>Sound Financial Bancorp, Inc.</t>
  </si>
  <si>
    <t>$79.75M</t>
  </si>
  <si>
    <t>SSB</t>
  </si>
  <si>
    <t>South State Corporation</t>
  </si>
  <si>
    <t>$2.46B</t>
  </si>
  <si>
    <t>SFST</t>
  </si>
  <si>
    <t>Southern First Bancshares, Inc.</t>
  </si>
  <si>
    <t>$270.99M</t>
  </si>
  <si>
    <t>SMBC</t>
  </si>
  <si>
    <t>Southern Missouri Bancorp, Inc.</t>
  </si>
  <si>
    <t>$273.55M</t>
  </si>
  <si>
    <t>SONA</t>
  </si>
  <si>
    <t>Southern National Bancorp of Virginia, Inc.</t>
  </si>
  <si>
    <t>$405.43M</t>
  </si>
  <si>
    <t>SBSI</t>
  </si>
  <si>
    <t>Southside Bancshares, Inc.</t>
  </si>
  <si>
    <t>$1B</t>
  </si>
  <si>
    <t>OKSB</t>
  </si>
  <si>
    <t>Southwest Bancorp, Inc.</t>
  </si>
  <si>
    <t>$477.46M</t>
  </si>
  <si>
    <t>SP</t>
  </si>
  <si>
    <t>SP Plus Corporation</t>
  </si>
  <si>
    <t>$786.64M</t>
  </si>
  <si>
    <t>SGRP</t>
  </si>
  <si>
    <t>SPAR Group, Inc.</t>
  </si>
  <si>
    <t>$21.69M</t>
  </si>
  <si>
    <t>SPKE</t>
  </si>
  <si>
    <t>Spark Energy, Inc.</t>
  </si>
  <si>
    <t>$619.89M</t>
  </si>
  <si>
    <t>Power Generation</t>
  </si>
  <si>
    <t>SPKEP</t>
  </si>
  <si>
    <t>ONCE</t>
  </si>
  <si>
    <t>Spark Therapeutics, Inc.</t>
  </si>
  <si>
    <t>SPAR</t>
  </si>
  <si>
    <t>Spartan Motors, Inc.</t>
  </si>
  <si>
    <t>$322.86M</t>
  </si>
  <si>
    <t>SPTN</t>
  </si>
  <si>
    <t>SpartanNash Company</t>
  </si>
  <si>
    <t>DWFI</t>
  </si>
  <si>
    <t>SPDR Dorsey Wright Fixed Income Allocation ETF</t>
  </si>
  <si>
    <t>$73.77M</t>
  </si>
  <si>
    <t>SPPI</t>
  </si>
  <si>
    <t>Spectrum Pharmaceuticals, Inc.</t>
  </si>
  <si>
    <t>$760.96M</t>
  </si>
  <si>
    <t>ANY</t>
  </si>
  <si>
    <t>Sphere 3D Corp.</t>
  </si>
  <si>
    <t>$20.04M</t>
  </si>
  <si>
    <t>SPEX</t>
  </si>
  <si>
    <t>Spherix Incorporated</t>
  </si>
  <si>
    <t>$9.34M</t>
  </si>
  <si>
    <t>SPI</t>
  </si>
  <si>
    <t>SPI Energy Co., Ltd.</t>
  </si>
  <si>
    <t>$30.15M</t>
  </si>
  <si>
    <t>SAVE</t>
  </si>
  <si>
    <t>Spirit Airlines, Inc.</t>
  </si>
  <si>
    <t>$2.64B</t>
  </si>
  <si>
    <t>SPLK</t>
  </si>
  <si>
    <t>Splunk Inc.</t>
  </si>
  <si>
    <t>SPOK</t>
  </si>
  <si>
    <t>Spok Holdings, Inc.</t>
  </si>
  <si>
    <t>$339.61M</t>
  </si>
  <si>
    <t>SPWH</t>
  </si>
  <si>
    <t>Sportsman&amp;#39;s Warehouse Holdings, Inc.</t>
  </si>
  <si>
    <t>SBPH</t>
  </si>
  <si>
    <t>Spring Bank Pharmaceuticals, Inc.</t>
  </si>
  <si>
    <t>$169.76M</t>
  </si>
  <si>
    <t>FUND</t>
  </si>
  <si>
    <t>Sprott Focus Trust, Inc.</t>
  </si>
  <si>
    <t>$180.92M</t>
  </si>
  <si>
    <t>SFM</t>
  </si>
  <si>
    <t>Sprouts Farmers Market, Inc.</t>
  </si>
  <si>
    <t>$3.3B</t>
  </si>
  <si>
    <t>SPSC</t>
  </si>
  <si>
    <t>SPS Commerce, Inc.</t>
  </si>
  <si>
    <t>$991.98M</t>
  </si>
  <si>
    <t>SSNC</t>
  </si>
  <si>
    <t>SS&amp;C Technologies Holdings, Inc.</t>
  </si>
  <si>
    <t>$7.85B</t>
  </si>
  <si>
    <t>SSRM</t>
  </si>
  <si>
    <t>SSR Mining Inc.</t>
  </si>
  <si>
    <t>STAA</t>
  </si>
  <si>
    <t>STAAR Surgical Company</t>
  </si>
  <si>
    <t>$437.81M</t>
  </si>
  <si>
    <t>Ophthalmic Goods</t>
  </si>
  <si>
    <t>STAF</t>
  </si>
  <si>
    <t>Staffing 360 Solutions, Inc.</t>
  </si>
  <si>
    <t>$8.93M</t>
  </si>
  <si>
    <t>STMP</t>
  </si>
  <si>
    <t>Stamps.com Inc.</t>
  </si>
  <si>
    <t>$3.6B</t>
  </si>
  <si>
    <t>STLY</t>
  </si>
  <si>
    <t>Stanley Furniture Company, Inc.</t>
  </si>
  <si>
    <t>$17.65M</t>
  </si>
  <si>
    <t>SPLS</t>
  </si>
  <si>
    <t>Staples, Inc.</t>
  </si>
  <si>
    <t>$6.69B</t>
  </si>
  <si>
    <t>SBLK</t>
  </si>
  <si>
    <t>Star Bulk Carriers Corp.</t>
  </si>
  <si>
    <t>$632.25M</t>
  </si>
  <si>
    <t>SBLKL</t>
  </si>
  <si>
    <t>SBUX</t>
  </si>
  <si>
    <t>Starbucks Corporation</t>
  </si>
  <si>
    <t>$78.72B</t>
  </si>
  <si>
    <t>STFC</t>
  </si>
  <si>
    <t>State Auto Financial Corporation</t>
  </si>
  <si>
    <t>STBZ</t>
  </si>
  <si>
    <t>State Bank Financial Corporation.</t>
  </si>
  <si>
    <t>SNC</t>
  </si>
  <si>
    <t>State National Companies, Inc.</t>
  </si>
  <si>
    <t>$884.38M</t>
  </si>
  <si>
    <t>STDY</t>
  </si>
  <si>
    <t>SteadyMed Ltd.</t>
  </si>
  <si>
    <t>$156.3M</t>
  </si>
  <si>
    <t>GASS</t>
  </si>
  <si>
    <t>StealthGas, Inc.</t>
  </si>
  <si>
    <t>$119.58M</t>
  </si>
  <si>
    <t>STLD</t>
  </si>
  <si>
    <t>Steel Dynamics, Inc.</t>
  </si>
  <si>
    <t>$8.71B</t>
  </si>
  <si>
    <t>SMRT</t>
  </si>
  <si>
    <t>Stein Mart, Inc.</t>
  </si>
  <si>
    <t>$65.72M</t>
  </si>
  <si>
    <t>STLR</t>
  </si>
  <si>
    <t>Stellar Acquisition III Inc.</t>
  </si>
  <si>
    <t>$90.55M</t>
  </si>
  <si>
    <t>STLRU</t>
  </si>
  <si>
    <t>STLRW</t>
  </si>
  <si>
    <t>SBOT</t>
  </si>
  <si>
    <t>Stellar Biotechnologies, Inc.</t>
  </si>
  <si>
    <t>$12.87M</t>
  </si>
  <si>
    <t>STML</t>
  </si>
  <si>
    <t>Stemline Therapeutics, Inc.</t>
  </si>
  <si>
    <t>$214.74M</t>
  </si>
  <si>
    <t>SRCL</t>
  </si>
  <si>
    <t>Stericycle, Inc.</t>
  </si>
  <si>
    <t>$6.57B</t>
  </si>
  <si>
    <t>SRCLP</t>
  </si>
  <si>
    <t>STRL</t>
  </si>
  <si>
    <t>Sterling Construction Company Inc</t>
  </si>
  <si>
    <t>$300.31M</t>
  </si>
  <si>
    <t>SHOO</t>
  </si>
  <si>
    <t>Steven Madden, Ltd.</t>
  </si>
  <si>
    <t>$2.51B</t>
  </si>
  <si>
    <t>SSFN</t>
  </si>
  <si>
    <t>Stewardship Financial Corp</t>
  </si>
  <si>
    <t>$79.94M</t>
  </si>
  <si>
    <t>SYBT</t>
  </si>
  <si>
    <t>Stock Yards Bancorp, Inc.</t>
  </si>
  <si>
    <t>$810.09M</t>
  </si>
  <si>
    <t>BANX</t>
  </si>
  <si>
    <t>StoneCastle Financial Corp</t>
  </si>
  <si>
    <t>$134.51M</t>
  </si>
  <si>
    <t>SGBK</t>
  </si>
  <si>
    <t>Stonegate Bank</t>
  </si>
  <si>
    <t>$716.37M</t>
  </si>
  <si>
    <t>SSKN</t>
  </si>
  <si>
    <t>Strata Skin Sciences, Inc.</t>
  </si>
  <si>
    <t>SSYS</t>
  </si>
  <si>
    <t>Stratasys, Ltd.</t>
  </si>
  <si>
    <t>STRT</t>
  </si>
  <si>
    <t>Strattec Security Corporation</t>
  </si>
  <si>
    <t>$141.1M</t>
  </si>
  <si>
    <t>STRS</t>
  </si>
  <si>
    <t>Stratus Properties Inc.</t>
  </si>
  <si>
    <t>$237.29M</t>
  </si>
  <si>
    <t>STRA</t>
  </si>
  <si>
    <t>Strayer Education, Inc.</t>
  </si>
  <si>
    <t>$910.26M</t>
  </si>
  <si>
    <t>STRM</t>
  </si>
  <si>
    <t>Streamline Health Solutions, Inc.</t>
  </si>
  <si>
    <t>$19.67M</t>
  </si>
  <si>
    <t>SBBP</t>
  </si>
  <si>
    <t>Strongbridge Biopharma plc</t>
  </si>
  <si>
    <t>$249.11M</t>
  </si>
  <si>
    <t>STB</t>
  </si>
  <si>
    <t>Student Transportation Inc</t>
  </si>
  <si>
    <t>$548.86M</t>
  </si>
  <si>
    <t>Other Transportation</t>
  </si>
  <si>
    <t>SCMP</t>
  </si>
  <si>
    <t>Sucampo Pharmaceuticals, Inc.</t>
  </si>
  <si>
    <t>$498.11M</t>
  </si>
  <si>
    <t>SUMR</t>
  </si>
  <si>
    <t>Summer Infant, Inc.</t>
  </si>
  <si>
    <t>SMMF</t>
  </si>
  <si>
    <t>Summit Financial Group, Inc.</t>
  </si>
  <si>
    <t>$271.82M</t>
  </si>
  <si>
    <t>SSBI</t>
  </si>
  <si>
    <t>Summit State Bank</t>
  </si>
  <si>
    <t>$76.88M</t>
  </si>
  <si>
    <t>SMMT</t>
  </si>
  <si>
    <t>Summit Therapeutics plc</t>
  </si>
  <si>
    <t>$176.53M</t>
  </si>
  <si>
    <t>SNBC</t>
  </si>
  <si>
    <t>Sun Bancorp, Inc.</t>
  </si>
  <si>
    <t>$467.94M</t>
  </si>
  <si>
    <t>SNHY</t>
  </si>
  <si>
    <t>Sun Hydraulics Corporation</t>
  </si>
  <si>
    <t>SNDE</t>
  </si>
  <si>
    <t>Sundance Energy Australia Limited</t>
  </si>
  <si>
    <t>$57.22M</t>
  </si>
  <si>
    <t>SNSS</t>
  </si>
  <si>
    <t>Sunesis Pharmaceuticals, Inc.</t>
  </si>
  <si>
    <t>$58.31M</t>
  </si>
  <si>
    <t>STKL</t>
  </si>
  <si>
    <t>SunOpta, Inc.</t>
  </si>
  <si>
    <t>$791.34M</t>
  </si>
  <si>
    <t>SPWR</t>
  </si>
  <si>
    <t>SunPower Corporation</t>
  </si>
  <si>
    <t>RUN</t>
  </si>
  <si>
    <t>Sunrun Inc.</t>
  </si>
  <si>
    <t>$743.39M</t>
  </si>
  <si>
    <t>SBCP</t>
  </si>
  <si>
    <t>Sunshine Bancorp, Inc.</t>
  </si>
  <si>
    <t>$186.1M</t>
  </si>
  <si>
    <t>SUNW</t>
  </si>
  <si>
    <t>Sunworks, Inc.</t>
  </si>
  <si>
    <t>SMCI</t>
  </si>
  <si>
    <t>Super Micro Computer, Inc.</t>
  </si>
  <si>
    <t>SPCB</t>
  </si>
  <si>
    <t>SuperCom, Ltd.</t>
  </si>
  <si>
    <t>$50.19M</t>
  </si>
  <si>
    <t>SCON</t>
  </si>
  <si>
    <t>Superconductor Technologies Inc.</t>
  </si>
  <si>
    <t>$13.62M</t>
  </si>
  <si>
    <t>SGC</t>
  </si>
  <si>
    <t>Superior Uniform Group, Inc.</t>
  </si>
  <si>
    <t>$330.16M</t>
  </si>
  <si>
    <t>SUPN</t>
  </si>
  <si>
    <t>Supernus Pharmaceuticals, Inc.</t>
  </si>
  <si>
    <t>SPRT</t>
  </si>
  <si>
    <t>support.com, Inc.</t>
  </si>
  <si>
    <t>$40.01M</t>
  </si>
  <si>
    <t>SGRY</t>
  </si>
  <si>
    <t>Surgery Partners, Inc.</t>
  </si>
  <si>
    <t>$934.87M</t>
  </si>
  <si>
    <t>SRDX</t>
  </si>
  <si>
    <t>Surmodics, Inc.</t>
  </si>
  <si>
    <t>$332.99M</t>
  </si>
  <si>
    <t>SBBX</t>
  </si>
  <si>
    <t>Sussex Bancorp</t>
  </si>
  <si>
    <t>$144.98M</t>
  </si>
  <si>
    <t>SIVB</t>
  </si>
  <si>
    <t>SVB Financial Group</t>
  </si>
  <si>
    <t>$9.66B</t>
  </si>
  <si>
    <t>SIVBO</t>
  </si>
  <si>
    <t>SYKE</t>
  </si>
  <si>
    <t>Sykes Enterprises, Incorporated</t>
  </si>
  <si>
    <t>$1.15B</t>
  </si>
  <si>
    <t>SYMC</t>
  </si>
  <si>
    <t>Symantec Corporation</t>
  </si>
  <si>
    <t>$17.46B</t>
  </si>
  <si>
    <t>SYNC</t>
  </si>
  <si>
    <t>Synacor, Inc.</t>
  </si>
  <si>
    <t>$134.97M</t>
  </si>
  <si>
    <t>SYNL</t>
  </si>
  <si>
    <t>Synalloy Corporation</t>
  </si>
  <si>
    <t>$95.25M</t>
  </si>
  <si>
    <t>SYNA</t>
  </si>
  <si>
    <t>Synaptics Incorporated</t>
  </si>
  <si>
    <t>SNCR</t>
  </si>
  <si>
    <t>Synchronoss Technologies, Inc.</t>
  </si>
  <si>
    <t>$769.78M</t>
  </si>
  <si>
    <t>SNDX</t>
  </si>
  <si>
    <t>Syndax Pharmaceuticals, Inc.</t>
  </si>
  <si>
    <t>$218.34M</t>
  </si>
  <si>
    <t>SGYP</t>
  </si>
  <si>
    <t>Synergy Pharmaceuticals, Inc.</t>
  </si>
  <si>
    <t>$803.07M</t>
  </si>
  <si>
    <t>SNPS</t>
  </si>
  <si>
    <t>Synopsys, Inc.</t>
  </si>
  <si>
    <t>$11.55B</t>
  </si>
  <si>
    <t>SYNT</t>
  </si>
  <si>
    <t>Syntel, Inc.</t>
  </si>
  <si>
    <t>SYMX</t>
  </si>
  <si>
    <t>Synthesis Energy Systems, Inc.</t>
  </si>
  <si>
    <t>$33.62M</t>
  </si>
  <si>
    <t>SYPR</t>
  </si>
  <si>
    <t>Sypris Solutions, Inc.</t>
  </si>
  <si>
    <t>$35.52M</t>
  </si>
  <si>
    <t>SYRS</t>
  </si>
  <si>
    <t>Syros Pharmaceuticals, Inc.</t>
  </si>
  <si>
    <t>$597.17M</t>
  </si>
  <si>
    <t>TROW</t>
  </si>
  <si>
    <t>T. Rowe Price Group, Inc.</t>
  </si>
  <si>
    <t>$20B</t>
  </si>
  <si>
    <t>TTOO</t>
  </si>
  <si>
    <t>T2 Biosystems, Inc.</t>
  </si>
  <si>
    <t>$91.06M</t>
  </si>
  <si>
    <t>TRHC</t>
  </si>
  <si>
    <t>Tabula Rasa HealthCare, Inc.</t>
  </si>
  <si>
    <t>$299.99M</t>
  </si>
  <si>
    <t>TCMD</t>
  </si>
  <si>
    <t>Tactile Systems Technology, Inc.</t>
  </si>
  <si>
    <t>$564.61M</t>
  </si>
  <si>
    <t>TAIT</t>
  </si>
  <si>
    <t>Taitron Components Incorporated</t>
  </si>
  <si>
    <t>$9.62M</t>
  </si>
  <si>
    <t>TTWO</t>
  </si>
  <si>
    <t>Take-Two Interactive Software, Inc.</t>
  </si>
  <si>
    <t>$9.75B</t>
  </si>
  <si>
    <t>TLND</t>
  </si>
  <si>
    <t>Talend S.A.</t>
  </si>
  <si>
    <t>TNDM</t>
  </si>
  <si>
    <t>Tandem Diabetes Care, Inc.</t>
  </si>
  <si>
    <t>$22.6M</t>
  </si>
  <si>
    <t>TLF</t>
  </si>
  <si>
    <t>Tandy Leather Factory, Inc.</t>
  </si>
  <si>
    <t>$78.8M</t>
  </si>
  <si>
    <t>TANH</t>
  </si>
  <si>
    <t>Tantech Holdings Ltd.</t>
  </si>
  <si>
    <t>$71.44M</t>
  </si>
  <si>
    <t>TPIV</t>
  </si>
  <si>
    <t>TapImmune Inc.</t>
  </si>
  <si>
    <t>$30.17M</t>
  </si>
  <si>
    <t>TEDU</t>
  </si>
  <si>
    <t>Tarena International, Inc.</t>
  </si>
  <si>
    <t>TATT</t>
  </si>
  <si>
    <t>TAT Technologies Ltd.</t>
  </si>
  <si>
    <t>$90.93M</t>
  </si>
  <si>
    <t>TAYD</t>
  </si>
  <si>
    <t>Taylor Devices, Inc.</t>
  </si>
  <si>
    <t>$43.43M</t>
  </si>
  <si>
    <t>CGBD</t>
  </si>
  <si>
    <t>TCG BDC, Inc.</t>
  </si>
  <si>
    <t>TCPC</t>
  </si>
  <si>
    <t>TCP Capital Corp.</t>
  </si>
  <si>
    <t>$995.35M</t>
  </si>
  <si>
    <t>AMTD</t>
  </si>
  <si>
    <t>TD Ameritrade Holding Corporation</t>
  </si>
  <si>
    <t>$23.77B</t>
  </si>
  <si>
    <t>TEAR</t>
  </si>
  <si>
    <t>TearLab Corporation</t>
  </si>
  <si>
    <t>$12.45M</t>
  </si>
  <si>
    <t>TECD</t>
  </si>
  <si>
    <t>Tech Data Corporation</t>
  </si>
  <si>
    <t>$4.02B</t>
  </si>
  <si>
    <t>TCCO</t>
  </si>
  <si>
    <t>Technical Communications Corporation</t>
  </si>
  <si>
    <t>$10.95M</t>
  </si>
  <si>
    <t>TTGT</t>
  </si>
  <si>
    <t>TechTarget, Inc.</t>
  </si>
  <si>
    <t>$262.92M</t>
  </si>
  <si>
    <t>TGLS</t>
  </si>
  <si>
    <t>Tecnoglass Inc.</t>
  </si>
  <si>
    <t>$285.32M</t>
  </si>
  <si>
    <t>TGEN</t>
  </si>
  <si>
    <t>Tecogen Inc.</t>
  </si>
  <si>
    <t>$81.53M</t>
  </si>
  <si>
    <t>TNAV</t>
  </si>
  <si>
    <t>Telenav, Inc.</t>
  </si>
  <si>
    <t>$291.14M</t>
  </si>
  <si>
    <t>TTEC</t>
  </si>
  <si>
    <t>TeleTech Holdings, Inc.</t>
  </si>
  <si>
    <t>TLGT</t>
  </si>
  <si>
    <t>Teligent, Inc.</t>
  </si>
  <si>
    <t>$373.65M</t>
  </si>
  <si>
    <t>TELL</t>
  </si>
  <si>
    <t>Tellurian Inc.</t>
  </si>
  <si>
    <t>TENX</t>
  </si>
  <si>
    <t>Tenax Therapeutics, Inc.</t>
  </si>
  <si>
    <t>$10.74M</t>
  </si>
  <si>
    <t>GLBL</t>
  </si>
  <si>
    <t>TerraForm Global, Inc.</t>
  </si>
  <si>
    <t>$878.63M</t>
  </si>
  <si>
    <t>TERP</t>
  </si>
  <si>
    <t>TerraForm Power, Inc.</t>
  </si>
  <si>
    <t>TVIA</t>
  </si>
  <si>
    <t>TerraVia Holdings, Inc.</t>
  </si>
  <si>
    <t>$5.96M</t>
  </si>
  <si>
    <t>TBNK</t>
  </si>
  <si>
    <t>Territorial Bancorp Inc.</t>
  </si>
  <si>
    <t>$291.77M</t>
  </si>
  <si>
    <t>TSRO</t>
  </si>
  <si>
    <t>TESARO, Inc.</t>
  </si>
  <si>
    <t>$6.7B</t>
  </si>
  <si>
    <t>TESO</t>
  </si>
  <si>
    <t>Tesco Corporation</t>
  </si>
  <si>
    <t>$185.72M</t>
  </si>
  <si>
    <t>TSLA</t>
  </si>
  <si>
    <t xml:space="preserve">Tesla, Inc. </t>
  </si>
  <si>
    <t>$60.95B</t>
  </si>
  <si>
    <t>TESS</t>
  </si>
  <si>
    <t>TESSCO Technologies Incorporated</t>
  </si>
  <si>
    <t>$111.54M</t>
  </si>
  <si>
    <t>TTEK</t>
  </si>
  <si>
    <t>Tetra Tech, Inc.</t>
  </si>
  <si>
    <t>$2.43B</t>
  </si>
  <si>
    <t>TTPH</t>
  </si>
  <si>
    <t>Tetraphase Pharmaceuticals, Inc.</t>
  </si>
  <si>
    <t>$285.9M</t>
  </si>
  <si>
    <t>TCBI</t>
  </si>
  <si>
    <t>Texas Capital Bancshares, Inc.</t>
  </si>
  <si>
    <t>$3.92B</t>
  </si>
  <si>
    <t>TCBIL</t>
  </si>
  <si>
    <t>TCBIP</t>
  </si>
  <si>
    <t>$153.18M</t>
  </si>
  <si>
    <t>TCBIW</t>
  </si>
  <si>
    <t>TXN</t>
  </si>
  <si>
    <t>Texas Instruments Incorporated</t>
  </si>
  <si>
    <t>$81.63B</t>
  </si>
  <si>
    <t>TXRH</t>
  </si>
  <si>
    <t>Texas Roadhouse, Inc.</t>
  </si>
  <si>
    <t>$3.47B</t>
  </si>
  <si>
    <t>TFSL</t>
  </si>
  <si>
    <t>TFS Financial Corporation</t>
  </si>
  <si>
    <t>TGTX</t>
  </si>
  <si>
    <t>TG Therapeutics, Inc.</t>
  </si>
  <si>
    <t>$667.75M</t>
  </si>
  <si>
    <t>ABCO</t>
  </si>
  <si>
    <t>The Advisory Board Company</t>
  </si>
  <si>
    <t>ANDE</t>
  </si>
  <si>
    <t>The Andersons, Inc.</t>
  </si>
  <si>
    <t>$925.84M</t>
  </si>
  <si>
    <t>TBBK</t>
  </si>
  <si>
    <t>The Bancorp, Inc.</t>
  </si>
  <si>
    <t>$441.04M</t>
  </si>
  <si>
    <t>BPRN</t>
  </si>
  <si>
    <t>The Bank of Princeton</t>
  </si>
  <si>
    <t>BONT</t>
  </si>
  <si>
    <t>The Bon-Ton Stores, Inc.</t>
  </si>
  <si>
    <t>$14.41M</t>
  </si>
  <si>
    <t>CG</t>
  </si>
  <si>
    <t>The Carlyle Group L.P.</t>
  </si>
  <si>
    <t>$6.85B</t>
  </si>
  <si>
    <t>CAKE</t>
  </si>
  <si>
    <t>The Cheesecake Factory Incorporated</t>
  </si>
  <si>
    <t>$2.16B</t>
  </si>
  <si>
    <t>CHEF</t>
  </si>
  <si>
    <t>The Chefs&amp;#39; Warehouse, Inc.</t>
  </si>
  <si>
    <t>$384.73M</t>
  </si>
  <si>
    <t>TCFC</t>
  </si>
  <si>
    <t>The Community Financial Corporation</t>
  </si>
  <si>
    <t>$168.4M</t>
  </si>
  <si>
    <t>DSGX</t>
  </si>
  <si>
    <t>The Descartes Systems Group Inc.</t>
  </si>
  <si>
    <t>DXYN</t>
  </si>
  <si>
    <t>The Dixie Group, Inc.</t>
  </si>
  <si>
    <t>$69.34M</t>
  </si>
  <si>
    <t>ENSG</t>
  </si>
  <si>
    <t>The Ensign Group, Inc.</t>
  </si>
  <si>
    <t>XONE</t>
  </si>
  <si>
    <t>The ExOne Company</t>
  </si>
  <si>
    <t>$157.7M</t>
  </si>
  <si>
    <t>FINL</t>
  </si>
  <si>
    <t>The Finish Line, Inc.</t>
  </si>
  <si>
    <t>$552.82M</t>
  </si>
  <si>
    <t>FBMS</t>
  </si>
  <si>
    <t>The First Bancshares, Inc.</t>
  </si>
  <si>
    <t>$256.73M</t>
  </si>
  <si>
    <t>FLIC</t>
  </si>
  <si>
    <t>The First of Long Island Corporation</t>
  </si>
  <si>
    <t>$681.65M</t>
  </si>
  <si>
    <t>GT</t>
  </si>
  <si>
    <t>The Goodyear Tire &amp; Rubber Company</t>
  </si>
  <si>
    <t>HABT</t>
  </si>
  <si>
    <t>The Habit Restaurants, Inc.</t>
  </si>
  <si>
    <t>$364.34M</t>
  </si>
  <si>
    <t>HCKT</t>
  </si>
  <si>
    <t>The Hackett Group, Inc.</t>
  </si>
  <si>
    <t>$465.47M</t>
  </si>
  <si>
    <t>HAIN</t>
  </si>
  <si>
    <t>The Hain Celestial Group, Inc.</t>
  </si>
  <si>
    <t>$4.48B</t>
  </si>
  <si>
    <t>FITS</t>
  </si>
  <si>
    <t>The Health and Fitness ETF</t>
  </si>
  <si>
    <t>$2.73M</t>
  </si>
  <si>
    <t>CUBA</t>
  </si>
  <si>
    <t>The Herzfeld Caribbean Basin Fund, Inc.</t>
  </si>
  <si>
    <t>$45.08M</t>
  </si>
  <si>
    <t>INTG</t>
  </si>
  <si>
    <t>The Intergroup Corporation</t>
  </si>
  <si>
    <t>$59.49M</t>
  </si>
  <si>
    <t>JYNT</t>
  </si>
  <si>
    <t>The Joint Corp.</t>
  </si>
  <si>
    <t>$49.06M</t>
  </si>
  <si>
    <t>KEYW</t>
  </si>
  <si>
    <t>The KEYW Holding Corporation</t>
  </si>
  <si>
    <t>$435.17M</t>
  </si>
  <si>
    <t>KHC</t>
  </si>
  <si>
    <t>The Kraft Heinz Company</t>
  </si>
  <si>
    <t>$104.96B</t>
  </si>
  <si>
    <t>OLD</t>
  </si>
  <si>
    <t>The Long-Term Care ETF</t>
  </si>
  <si>
    <t>$2.57M</t>
  </si>
  <si>
    <t>MDCO</t>
  </si>
  <si>
    <t>The Medicines Company</t>
  </si>
  <si>
    <t>MEET</t>
  </si>
  <si>
    <t>The Meet Group, Inc.</t>
  </si>
  <si>
    <t>$284.32M</t>
  </si>
  <si>
    <t>MIK</t>
  </si>
  <si>
    <t>The Michaels Companies, Inc.</t>
  </si>
  <si>
    <t>MIDD</t>
  </si>
  <si>
    <t>The Middleby Corporation</t>
  </si>
  <si>
    <t>NAVG</t>
  </si>
  <si>
    <t>The Navigators Group, Inc.</t>
  </si>
  <si>
    <t>SLIM</t>
  </si>
  <si>
    <t>The Obesity ETF</t>
  </si>
  <si>
    <t>STKS</t>
  </si>
  <si>
    <t>The ONE Group Hospitality, Inc.</t>
  </si>
  <si>
    <t>$47.33M</t>
  </si>
  <si>
    <t>ORG</t>
  </si>
  <si>
    <t>The Organics ETF</t>
  </si>
  <si>
    <t>PCLN</t>
  </si>
  <si>
    <t xml:space="preserve">The Priceline Group Inc. </t>
  </si>
  <si>
    <t>$100.69B</t>
  </si>
  <si>
    <t>PRSC</t>
  </si>
  <si>
    <t>The Providence Service Corporation</t>
  </si>
  <si>
    <t>$674.16M</t>
  </si>
  <si>
    <t>RMR</t>
  </si>
  <si>
    <t>The RMR Group Inc.</t>
  </si>
  <si>
    <t>SMPL</t>
  </si>
  <si>
    <t>The Simply Good Foods Company</t>
  </si>
  <si>
    <t>$832.64M</t>
  </si>
  <si>
    <t>SMPLW</t>
  </si>
  <si>
    <t>SPNC</t>
  </si>
  <si>
    <t>The Spectranetics Corporation</t>
  </si>
  <si>
    <t>$1.69B</t>
  </si>
  <si>
    <t>TSG</t>
  </si>
  <si>
    <t>The Stars Group Inc.</t>
  </si>
  <si>
    <t>$2.63B</t>
  </si>
  <si>
    <t>TTD</t>
  </si>
  <si>
    <t>The Trade Desk, Inc.</t>
  </si>
  <si>
    <t>ULTI</t>
  </si>
  <si>
    <t>The Ultimate Software Group, Inc.</t>
  </si>
  <si>
    <t>YORW</t>
  </si>
  <si>
    <t>The York Water Company</t>
  </si>
  <si>
    <t>$436.83M</t>
  </si>
  <si>
    <t>NCTY</t>
  </si>
  <si>
    <t>The9 Limited</t>
  </si>
  <si>
    <t>$25.72M</t>
  </si>
  <si>
    <t>TRPX</t>
  </si>
  <si>
    <t>Therapix Biosciences Ltd.</t>
  </si>
  <si>
    <t>$20.72M</t>
  </si>
  <si>
    <t>TBPH</t>
  </si>
  <si>
    <t>Theravance Biopharma, Inc.</t>
  </si>
  <si>
    <t>TST</t>
  </si>
  <si>
    <t>TheStreet, Inc.</t>
  </si>
  <si>
    <t>$29.77M</t>
  </si>
  <si>
    <t>TCRD</t>
  </si>
  <si>
    <t>THL Credit, Inc.</t>
  </si>
  <si>
    <t>$316.29M</t>
  </si>
  <si>
    <t>TICC</t>
  </si>
  <si>
    <t>TICC Capital Corp.</t>
  </si>
  <si>
    <t>$341.31M</t>
  </si>
  <si>
    <t>TICCL</t>
  </si>
  <si>
    <t>TIG</t>
  </si>
  <si>
    <t>TiGenix</t>
  </si>
  <si>
    <t>$109.23B</t>
  </si>
  <si>
    <t>TTS</t>
  </si>
  <si>
    <t>Tile Shop Hldgs, Inc.</t>
  </si>
  <si>
    <t>$768.47M</t>
  </si>
  <si>
    <t>TIL</t>
  </si>
  <si>
    <t>Till Capital Ltd.</t>
  </si>
  <si>
    <t>$13.4M</t>
  </si>
  <si>
    <t>TSBK</t>
  </si>
  <si>
    <t>Timberland Bancorp, Inc.</t>
  </si>
  <si>
    <t>$199.97M</t>
  </si>
  <si>
    <t>TNTR</t>
  </si>
  <si>
    <t>Tintri, Inc.</t>
  </si>
  <si>
    <t>$197.52M</t>
  </si>
  <si>
    <t>TIPT</t>
  </si>
  <si>
    <t>Tiptree Inc.</t>
  </si>
  <si>
    <t>$240.93M</t>
  </si>
  <si>
    <t>TITN</t>
  </si>
  <si>
    <t>Titan Machinery Inc.</t>
  </si>
  <si>
    <t>$373.56M</t>
  </si>
  <si>
    <t>TTNP</t>
  </si>
  <si>
    <t>Titan Pharmaceuticals, Inc.</t>
  </si>
  <si>
    <t>TVTY</t>
  </si>
  <si>
    <t>Tivity Health, Inc.</t>
  </si>
  <si>
    <t>TIVO</t>
  </si>
  <si>
    <t>TiVo Corporation</t>
  </si>
  <si>
    <t>TMUS</t>
  </si>
  <si>
    <t>T-Mobile US, Inc.</t>
  </si>
  <si>
    <t>$53.1B</t>
  </si>
  <si>
    <t>TMUSP</t>
  </si>
  <si>
    <t>TOCA</t>
  </si>
  <si>
    <t>Tocagen Inc.</t>
  </si>
  <si>
    <t>$221.05M</t>
  </si>
  <si>
    <t>TNXP</t>
  </si>
  <si>
    <t>Tonix Pharmaceuticals Holding Corp.</t>
  </si>
  <si>
    <t>TISA</t>
  </si>
  <si>
    <t>Top Image Systems, Ltd.</t>
  </si>
  <si>
    <t>$23.87M</t>
  </si>
  <si>
    <t>TOPS</t>
  </si>
  <si>
    <t>TOP Ships Inc.</t>
  </si>
  <si>
    <t xml:space="preserve">TORM          </t>
  </si>
  <si>
    <t>TOR Minerals International Inc</t>
  </si>
  <si>
    <t>$28.33M</t>
  </si>
  <si>
    <t>TRCH</t>
  </si>
  <si>
    <t>Torchlight Energy Resources, Inc.</t>
  </si>
  <si>
    <t>$79.7M</t>
  </si>
  <si>
    <t>TSEM</t>
  </si>
  <si>
    <t>Tower Semiconductor Ltd.</t>
  </si>
  <si>
    <t>$2.5B</t>
  </si>
  <si>
    <t>CLUB</t>
  </si>
  <si>
    <t>Town Sports International Holdings, Inc.</t>
  </si>
  <si>
    <t>$149.45M</t>
  </si>
  <si>
    <t>TOWN</t>
  </si>
  <si>
    <t>Towne Bank</t>
  </si>
  <si>
    <t>TPIC</t>
  </si>
  <si>
    <t>TPI Composites, Inc.</t>
  </si>
  <si>
    <t>$644.04M</t>
  </si>
  <si>
    <t>TCON</t>
  </si>
  <si>
    <t>TRACON Pharmaceuticals, Inc.</t>
  </si>
  <si>
    <t>$36.54M</t>
  </si>
  <si>
    <t>TSCO</t>
  </si>
  <si>
    <t>Tractor Supply Company</t>
  </si>
  <si>
    <t>$7.16B</t>
  </si>
  <si>
    <t>TWMC</t>
  </si>
  <si>
    <t>Trans World Entertainment Corp.</t>
  </si>
  <si>
    <t>$61.4M</t>
  </si>
  <si>
    <t>TACT</t>
  </si>
  <si>
    <t>TransAct Technologies Incorporated</t>
  </si>
  <si>
    <t>$69.81M</t>
  </si>
  <si>
    <t>TRNS</t>
  </si>
  <si>
    <t>Transcat, Inc.</t>
  </si>
  <si>
    <t>$94.87M</t>
  </si>
  <si>
    <t>TGA</t>
  </si>
  <si>
    <t>Transglobe Energy Corp</t>
  </si>
  <si>
    <t>$89.53M</t>
  </si>
  <si>
    <t>TA</t>
  </si>
  <si>
    <t>TravelCenters of America LLC</t>
  </si>
  <si>
    <t>$144.24M</t>
  </si>
  <si>
    <t>TANNI</t>
  </si>
  <si>
    <t>TANNL</t>
  </si>
  <si>
    <t>TANNZ</t>
  </si>
  <si>
    <t>TZOO</t>
  </si>
  <si>
    <t>Travelzoo</t>
  </si>
  <si>
    <t>$113.77M</t>
  </si>
  <si>
    <t>TRVN</t>
  </si>
  <si>
    <t>Trevena, Inc.</t>
  </si>
  <si>
    <t>$146.26M</t>
  </si>
  <si>
    <t>TCBK</t>
  </si>
  <si>
    <t>TriCo Bancshares</t>
  </si>
  <si>
    <t>$868.17M</t>
  </si>
  <si>
    <t>TRIL</t>
  </si>
  <si>
    <t>Trillium Therapeutics Inc.</t>
  </si>
  <si>
    <t>$51.82M</t>
  </si>
  <si>
    <t>TRS</t>
  </si>
  <si>
    <t>TriMas Corporation</t>
  </si>
  <si>
    <t>$1.1B</t>
  </si>
  <si>
    <t>TRMB</t>
  </si>
  <si>
    <t>Trimble Inc.</t>
  </si>
  <si>
    <t>$9.47B</t>
  </si>
  <si>
    <t>TRIB</t>
  </si>
  <si>
    <t>Trinity Biotech plc</t>
  </si>
  <si>
    <t>$136.07M</t>
  </si>
  <si>
    <t>TRIP</t>
  </si>
  <si>
    <t>TripAdvisor, Inc.</t>
  </si>
  <si>
    <t>$5.59B</t>
  </si>
  <si>
    <t>TSC</t>
  </si>
  <si>
    <t>TriState Capital Holdings, Inc.</t>
  </si>
  <si>
    <t>$653.58M</t>
  </si>
  <si>
    <t>TBK</t>
  </si>
  <si>
    <t>Triumph Bancorp, Inc.</t>
  </si>
  <si>
    <t>$591.1M</t>
  </si>
  <si>
    <t>TRVG</t>
  </si>
  <si>
    <t>trivago N.V.</t>
  </si>
  <si>
    <t>TRNC</t>
  </si>
  <si>
    <t>tronc, Inc.</t>
  </si>
  <si>
    <t>$447.02M</t>
  </si>
  <si>
    <t>TROV</t>
  </si>
  <si>
    <t>TrovaGene, Inc.</t>
  </si>
  <si>
    <t>$25.51M</t>
  </si>
  <si>
    <t>TrueCar, Inc.</t>
  </si>
  <si>
    <t>$1.81B</t>
  </si>
  <si>
    <t>THST</t>
  </si>
  <si>
    <t>Truett-Hurst, Inc.</t>
  </si>
  <si>
    <t>$9.67M</t>
  </si>
  <si>
    <t>TRUP</t>
  </si>
  <si>
    <t>Trupanion, Inc.</t>
  </si>
  <si>
    <t>$684.2M</t>
  </si>
  <si>
    <t>TRST</t>
  </si>
  <si>
    <t>TrustCo Bank Corp NY</t>
  </si>
  <si>
    <t>$773.62M</t>
  </si>
  <si>
    <t>TRMK</t>
  </si>
  <si>
    <t>Trustmark Corporation</t>
  </si>
  <si>
    <t>TSRI</t>
  </si>
  <si>
    <t>TSR, Inc.</t>
  </si>
  <si>
    <t>TTMI</t>
  </si>
  <si>
    <t>TTM Technologies, Inc.</t>
  </si>
  <si>
    <t>TCX</t>
  </si>
  <si>
    <t>Tucows Inc.</t>
  </si>
  <si>
    <t>$556.64M</t>
  </si>
  <si>
    <t>TUES</t>
  </si>
  <si>
    <t>Tuesday Morning Corp.</t>
  </si>
  <si>
    <t>$87.95M</t>
  </si>
  <si>
    <t>TOUR</t>
  </si>
  <si>
    <t>Tuniu Corporation</t>
  </si>
  <si>
    <t>HEAR</t>
  </si>
  <si>
    <t>Turtle Beach Corporation</t>
  </si>
  <si>
    <t>$33M</t>
  </si>
  <si>
    <t>TUTI</t>
  </si>
  <si>
    <t>Tuttle Tactical Management Multi-Strategy Income ETF</t>
  </si>
  <si>
    <t>$8.01M</t>
  </si>
  <si>
    <t>TUTT</t>
  </si>
  <si>
    <t>Tuttle Tactical Management U.S. Core ETF</t>
  </si>
  <si>
    <t>FOX</t>
  </si>
  <si>
    <t>Twenty-First Century Fox, Inc.</t>
  </si>
  <si>
    <t>$51.29B</t>
  </si>
  <si>
    <t>FOXA</t>
  </si>
  <si>
    <t>$34.22B</t>
  </si>
  <si>
    <t>TWIN</t>
  </si>
  <si>
    <t>Twin Disc, Incorporated</t>
  </si>
  <si>
    <t>$201.24M</t>
  </si>
  <si>
    <t>TRCB</t>
  </si>
  <si>
    <t>Two River Bancorp</t>
  </si>
  <si>
    <t>$151.8M</t>
  </si>
  <si>
    <t>TYME</t>
  </si>
  <si>
    <t>Tyme Technologies, Inc.</t>
  </si>
  <si>
    <t>$379.61M</t>
  </si>
  <si>
    <t>USCR</t>
  </si>
  <si>
    <t>U S Concrete, Inc.</t>
  </si>
  <si>
    <t>PRTS</t>
  </si>
  <si>
    <t>U.S. Auto Parts Network, Inc.</t>
  </si>
  <si>
    <t>$94.19M</t>
  </si>
  <si>
    <t>USEG</t>
  </si>
  <si>
    <t>U.S. Energy Corp.</t>
  </si>
  <si>
    <t>$4.36M</t>
  </si>
  <si>
    <t>GROW</t>
  </si>
  <si>
    <t>U.S. Global Investors, Inc.</t>
  </si>
  <si>
    <t>USAU</t>
  </si>
  <si>
    <t>U.S. Gold Corp.</t>
  </si>
  <si>
    <t>$27.85M</t>
  </si>
  <si>
    <t>UBNT</t>
  </si>
  <si>
    <t>Ubiquiti Networks, Inc.</t>
  </si>
  <si>
    <t>$5.33B</t>
  </si>
  <si>
    <t>UFPT</t>
  </si>
  <si>
    <t>UFP Technologies, Inc.</t>
  </si>
  <si>
    <t>$202.49M</t>
  </si>
  <si>
    <t>ULTA</t>
  </si>
  <si>
    <t>Ulta Beauty, Inc.</t>
  </si>
  <si>
    <t>$15.55B</t>
  </si>
  <si>
    <t>UCTT</t>
  </si>
  <si>
    <t>Ultra Clean Holdings, Inc.</t>
  </si>
  <si>
    <t>$729.73M</t>
  </si>
  <si>
    <t>UPL</t>
  </si>
  <si>
    <t>Ultra Petroleum Corp.</t>
  </si>
  <si>
    <t>RARE</t>
  </si>
  <si>
    <t>Ultragenyx Pharmaceutical Inc.</t>
  </si>
  <si>
    <t>$2.72B</t>
  </si>
  <si>
    <t>ULBI</t>
  </si>
  <si>
    <t>Ultralife Corporation</t>
  </si>
  <si>
    <t>$103.43M</t>
  </si>
  <si>
    <t>UMBF</t>
  </si>
  <si>
    <t>UMB Financial Corporation</t>
  </si>
  <si>
    <t>$3.5B</t>
  </si>
  <si>
    <t>UMPQ</t>
  </si>
  <si>
    <t>Umpqua Holdings Corporation</t>
  </si>
  <si>
    <t>$4.03B</t>
  </si>
  <si>
    <t>UNAM</t>
  </si>
  <si>
    <t>Unico American Corporation</t>
  </si>
  <si>
    <t>$51.48M</t>
  </si>
  <si>
    <t>UBSH</t>
  </si>
  <si>
    <t>Union Bankshares Corporation</t>
  </si>
  <si>
    <t>$1.42B</t>
  </si>
  <si>
    <t>UNB</t>
  </si>
  <si>
    <t>Union Bankshares, Inc.</t>
  </si>
  <si>
    <t>$198.56M</t>
  </si>
  <si>
    <t>UNXL</t>
  </si>
  <si>
    <t>Uni-Pixel, Inc.</t>
  </si>
  <si>
    <t>$20.51M</t>
  </si>
  <si>
    <t>QURE</t>
  </si>
  <si>
    <t>uniQure N.V.</t>
  </si>
  <si>
    <t>$212.98M</t>
  </si>
  <si>
    <t>UBCP</t>
  </si>
  <si>
    <t>United Bancorp, Inc.</t>
  </si>
  <si>
    <t>$63.75M</t>
  </si>
  <si>
    <t>UBOH</t>
  </si>
  <si>
    <t>United Bancshares, Inc.</t>
  </si>
  <si>
    <t>UBSI</t>
  </si>
  <si>
    <t>United Bankshares, Inc.</t>
  </si>
  <si>
    <t>$3.57B</t>
  </si>
  <si>
    <t>UCBA</t>
  </si>
  <si>
    <t>United Community Bancorp</t>
  </si>
  <si>
    <t>UCBI</t>
  </si>
  <si>
    <t>United Community Banks, Inc.</t>
  </si>
  <si>
    <t>UCFC</t>
  </si>
  <si>
    <t>United Community Financial Corp.</t>
  </si>
  <si>
    <t>$447.93M</t>
  </si>
  <si>
    <t>UBNK</t>
  </si>
  <si>
    <t xml:space="preserve">United Financial Bancorp, Inc. </t>
  </si>
  <si>
    <t>$898.42M</t>
  </si>
  <si>
    <t>UFCS</t>
  </si>
  <si>
    <t>United Fire Group, Inc</t>
  </si>
  <si>
    <t>UIHC</t>
  </si>
  <si>
    <t>United Insurance Holdings Corp.</t>
  </si>
  <si>
    <t>$665.59M</t>
  </si>
  <si>
    <t>UNFI</t>
  </si>
  <si>
    <t>United Natural Foods, Inc.</t>
  </si>
  <si>
    <t>UBFO</t>
  </si>
  <si>
    <t>United Security Bancshares</t>
  </si>
  <si>
    <t>$152.72M</t>
  </si>
  <si>
    <t>USLM</t>
  </si>
  <si>
    <t>United States Lime &amp; Minerals, Inc.</t>
  </si>
  <si>
    <t>$456M</t>
  </si>
  <si>
    <t>UTHR</t>
  </si>
  <si>
    <t>United Therapeutics Corporation</t>
  </si>
  <si>
    <t>$5.69B</t>
  </si>
  <si>
    <t>UG</t>
  </si>
  <si>
    <t>United-Guardian, Inc.</t>
  </si>
  <si>
    <t>$73.51M</t>
  </si>
  <si>
    <t>UNIT</t>
  </si>
  <si>
    <t>Uniti Group Inc.</t>
  </si>
  <si>
    <t>UNTY</t>
  </si>
  <si>
    <t>Unity Bancorp, Inc.</t>
  </si>
  <si>
    <t>$190.68M</t>
  </si>
  <si>
    <t>OLED</t>
  </si>
  <si>
    <t>Universal Display Corporation</t>
  </si>
  <si>
    <t>$5.55B</t>
  </si>
  <si>
    <t>UEIC</t>
  </si>
  <si>
    <t>Universal Electronics Inc.</t>
  </si>
  <si>
    <t>$887.01M</t>
  </si>
  <si>
    <t>UFPI</t>
  </si>
  <si>
    <t>Universal Forest Products, Inc.</t>
  </si>
  <si>
    <t>ULH</t>
  </si>
  <si>
    <t>Universal Logistics Holdings, Inc.</t>
  </si>
  <si>
    <t>$412.42M</t>
  </si>
  <si>
    <t>USAP</t>
  </si>
  <si>
    <t>Universal Stainless &amp; Alloy Products, Inc.</t>
  </si>
  <si>
    <t>$134.88M</t>
  </si>
  <si>
    <t>UVSP</t>
  </si>
  <si>
    <t>Univest Corporation of Pennsylvania</t>
  </si>
  <si>
    <t>$798.59M</t>
  </si>
  <si>
    <t>UPLD</t>
  </si>
  <si>
    <t>Upland Software, Inc.</t>
  </si>
  <si>
    <t>$479.08M</t>
  </si>
  <si>
    <t>URRE</t>
  </si>
  <si>
    <t>Uranium Resources, Inc.</t>
  </si>
  <si>
    <t>$34.1M</t>
  </si>
  <si>
    <t>UONE</t>
  </si>
  <si>
    <t xml:space="preserve">Urban One, Inc. </t>
  </si>
  <si>
    <t>$84.56M</t>
  </si>
  <si>
    <t>UONEK</t>
  </si>
  <si>
    <t>$89.39M</t>
  </si>
  <si>
    <t>URBN</t>
  </si>
  <si>
    <t>Urban Outfitters, Inc.</t>
  </si>
  <si>
    <t>URGN</t>
  </si>
  <si>
    <t>UroGen Pharma Ltd.</t>
  </si>
  <si>
    <t>$217.9M</t>
  </si>
  <si>
    <t>ECOL</t>
  </si>
  <si>
    <t>US Ecology, Inc.</t>
  </si>
  <si>
    <t>USAT</t>
  </si>
  <si>
    <t>USA Technologies, Inc.</t>
  </si>
  <si>
    <t>$219.81M</t>
  </si>
  <si>
    <t>USATP</t>
  </si>
  <si>
    <t>$10.79M</t>
  </si>
  <si>
    <t>USAK</t>
  </si>
  <si>
    <t>USA Truck, Inc.</t>
  </si>
  <si>
    <t>$69.94M</t>
  </si>
  <si>
    <t>UTMD</t>
  </si>
  <si>
    <t>Utah Medical Products, Inc.</t>
  </si>
  <si>
    <t>$272.79M</t>
  </si>
  <si>
    <t>UTSI</t>
  </si>
  <si>
    <t>UTStarcom Holdings Corp</t>
  </si>
  <si>
    <t>$77.3M</t>
  </si>
  <si>
    <t>VLRX</t>
  </si>
  <si>
    <t>Valeritas Holdings, Inc.</t>
  </si>
  <si>
    <t>$37.64M</t>
  </si>
  <si>
    <t>VALX</t>
  </si>
  <si>
    <t>Validea Market Legends ETF</t>
  </si>
  <si>
    <t>$22.98M</t>
  </si>
  <si>
    <t>VALU</t>
  </si>
  <si>
    <t>Value Line, Inc.</t>
  </si>
  <si>
    <t>$166.71M</t>
  </si>
  <si>
    <t>VNDA</t>
  </si>
  <si>
    <t>Vanda Pharmaceuticals Inc.</t>
  </si>
  <si>
    <t>$695.3M</t>
  </si>
  <si>
    <t>BBH</t>
  </si>
  <si>
    <t>VanEck Vectors Biotech ETF</t>
  </si>
  <si>
    <t>$700.26M</t>
  </si>
  <si>
    <t>GNRX</t>
  </si>
  <si>
    <t>VanEck Vectors Generic Drugs ETF</t>
  </si>
  <si>
    <t>$3.23M</t>
  </si>
  <si>
    <t>PPH</t>
  </si>
  <si>
    <t>VanEck Vectors Pharmaceutical ETF</t>
  </si>
  <si>
    <t>$267.28M</t>
  </si>
  <si>
    <t>VWOB</t>
  </si>
  <si>
    <t>Vanguard Emerging Markets Government Bond ETF</t>
  </si>
  <si>
    <t>VNQI</t>
  </si>
  <si>
    <t>Vanguard Global ex-U.S. Real Estate ETF</t>
  </si>
  <si>
    <t>$4.67B</t>
  </si>
  <si>
    <t>VGIT</t>
  </si>
  <si>
    <t>Vanguard Intermediate -Term Government Bond ETF</t>
  </si>
  <si>
    <t>VCIT</t>
  </si>
  <si>
    <t>Vanguard Intermediate-Term Corporate Bond ETF</t>
  </si>
  <si>
    <t>$15.96B</t>
  </si>
  <si>
    <t>VIGI</t>
  </si>
  <si>
    <t>Vanguard International Dividend Appreciation ETF</t>
  </si>
  <si>
    <t>$487.12M</t>
  </si>
  <si>
    <t>VYMI</t>
  </si>
  <si>
    <t>Vanguard International High Dividend Yield ETF</t>
  </si>
  <si>
    <t>$461.1M</t>
  </si>
  <si>
    <t>VCLT</t>
  </si>
  <si>
    <t>Vanguard Long-Term Corporate Bond ETF</t>
  </si>
  <si>
    <t>$2.02B</t>
  </si>
  <si>
    <t>VGLT</t>
  </si>
  <si>
    <t>Vanguard Long-Term Government Bond ETF</t>
  </si>
  <si>
    <t>$512.15M</t>
  </si>
  <si>
    <t>VMBS</t>
  </si>
  <si>
    <t>Vanguard Mortgage-Backed Securities ETF</t>
  </si>
  <si>
    <t>$4.23B</t>
  </si>
  <si>
    <t>VONE</t>
  </si>
  <si>
    <t>Vanguard Russell 1000 ETF</t>
  </si>
  <si>
    <t>$723.12M</t>
  </si>
  <si>
    <t>VONG</t>
  </si>
  <si>
    <t>Vanguard Russell 1000 Growth ETF</t>
  </si>
  <si>
    <t>VONV</t>
  </si>
  <si>
    <t>Vanguard Russell 1000 Value ETF</t>
  </si>
  <si>
    <t>VTWO</t>
  </si>
  <si>
    <t>Vanguard Russell 2000 ETF</t>
  </si>
  <si>
    <t>VTWG</t>
  </si>
  <si>
    <t>Vanguard Russell 2000 Growth ETF</t>
  </si>
  <si>
    <t>$193.68M</t>
  </si>
  <si>
    <t>VTWV</t>
  </si>
  <si>
    <t>Vanguard Russell 2000 Value ETF</t>
  </si>
  <si>
    <t>$166.42M</t>
  </si>
  <si>
    <t>VTHR</t>
  </si>
  <si>
    <t>Vanguard Russell 3000 ETF</t>
  </si>
  <si>
    <t>$349.54M</t>
  </si>
  <si>
    <t>VCSH</t>
  </si>
  <si>
    <t>Vanguard Short-Term Corporate Bond ETF</t>
  </si>
  <si>
    <t>$20.19B</t>
  </si>
  <si>
    <t>VGSH</t>
  </si>
  <si>
    <t>Vanguard Short-Term Government ETF</t>
  </si>
  <si>
    <t>VTIP</t>
  </si>
  <si>
    <t>Vanguard Short-Term Inflation-Protected Securities Index Fund</t>
  </si>
  <si>
    <t>$3.75B</t>
  </si>
  <si>
    <t>BNDX</t>
  </si>
  <si>
    <t>Vanguard Total International Bond ETF</t>
  </si>
  <si>
    <t>$7.78B</t>
  </si>
  <si>
    <t>VXUS</t>
  </si>
  <si>
    <t>Vanguard Total International Stock ETF</t>
  </si>
  <si>
    <t>$8.97B</t>
  </si>
  <si>
    <t>VEAC</t>
  </si>
  <si>
    <t>Vantage Energy Acquisition Corp.</t>
  </si>
  <si>
    <t>$674.13M</t>
  </si>
  <si>
    <t>VEACU</t>
  </si>
  <si>
    <t>VEACW</t>
  </si>
  <si>
    <t>VREX</t>
  </si>
  <si>
    <t>Varex Imaging Corporation</t>
  </si>
  <si>
    <t>VRNS</t>
  </si>
  <si>
    <t>Varonis Systems, Inc.</t>
  </si>
  <si>
    <t>VDSI</t>
  </si>
  <si>
    <t>VASCO Data Security International, Inc.</t>
  </si>
  <si>
    <t>$522.17M</t>
  </si>
  <si>
    <t>VBLT</t>
  </si>
  <si>
    <t>Vascular Biogenics Ltd.</t>
  </si>
  <si>
    <t>$111.64M</t>
  </si>
  <si>
    <t>VBIV</t>
  </si>
  <si>
    <t>VBI Vaccines, Inc.</t>
  </si>
  <si>
    <t>$155.29M</t>
  </si>
  <si>
    <t>WOOF</t>
  </si>
  <si>
    <t xml:space="preserve">VCA Inc. </t>
  </si>
  <si>
    <t>$7.53B</t>
  </si>
  <si>
    <t>VECO</t>
  </si>
  <si>
    <t>Veeco Instruments Inc.</t>
  </si>
  <si>
    <t>DGLD</t>
  </si>
  <si>
    <t>VelocityShares 3x Inverse Gold ETN</t>
  </si>
  <si>
    <t>DSLV</t>
  </si>
  <si>
    <t>VelocityShares 3x Inverse Silver ETN</t>
  </si>
  <si>
    <t>$33.1M</t>
  </si>
  <si>
    <t>UGLD</t>
  </si>
  <si>
    <t>VelocityShares 3x Long Gold ETN</t>
  </si>
  <si>
    <t>$102.02M</t>
  </si>
  <si>
    <t>USLV</t>
  </si>
  <si>
    <t>VelocityShares 3x Long Silver ETN</t>
  </si>
  <si>
    <t>$245.04M</t>
  </si>
  <si>
    <t>TVIZ</t>
  </si>
  <si>
    <t>VelocityShares Daily 2x VIX Medium-Term ETN</t>
  </si>
  <si>
    <t>$2.19M</t>
  </si>
  <si>
    <t>TVIX</t>
  </si>
  <si>
    <t>VelocityShares Daily 2x VIX Short-Term ETN</t>
  </si>
  <si>
    <t>$213.87M</t>
  </si>
  <si>
    <t>ZIV</t>
  </si>
  <si>
    <t>VelocityShares Daily Inverse VIX Medium-Term ETN</t>
  </si>
  <si>
    <t>$193.55M</t>
  </si>
  <si>
    <t>XIV</t>
  </si>
  <si>
    <t>VelocityShares Daily Inverse VIX Short-Term ETN</t>
  </si>
  <si>
    <t>$817.95M</t>
  </si>
  <si>
    <t>VIIZ</t>
  </si>
  <si>
    <t>VelocityShares VIX Medium-Term ETN</t>
  </si>
  <si>
    <t>$1.05M</t>
  </si>
  <si>
    <t>VIIX</t>
  </si>
  <si>
    <t>VelocityShares VIX Short-Term ETN</t>
  </si>
  <si>
    <t>VEON</t>
  </si>
  <si>
    <t>VEON Ltd.</t>
  </si>
  <si>
    <t>VRA</t>
  </si>
  <si>
    <t>Vera Bradley, Inc.</t>
  </si>
  <si>
    <t>$369.13M</t>
  </si>
  <si>
    <t>VCYT</t>
  </si>
  <si>
    <t>Veracyte, Inc.</t>
  </si>
  <si>
    <t>$272.17M</t>
  </si>
  <si>
    <t>VSTM</t>
  </si>
  <si>
    <t>Verastem, Inc.</t>
  </si>
  <si>
    <t>$144.64M</t>
  </si>
  <si>
    <t>VCEL</t>
  </si>
  <si>
    <t>Vericel Corporation</t>
  </si>
  <si>
    <t>$98.3M</t>
  </si>
  <si>
    <t>VRNT</t>
  </si>
  <si>
    <t>Verint Systems Inc.</t>
  </si>
  <si>
    <t>VRSN</t>
  </si>
  <si>
    <t>VeriSign, Inc.</t>
  </si>
  <si>
    <t>$9.87B</t>
  </si>
  <si>
    <t>VRSK</t>
  </si>
  <si>
    <t>Verisk Analytics, Inc.</t>
  </si>
  <si>
    <t>$13.48B</t>
  </si>
  <si>
    <t>VBTX</t>
  </si>
  <si>
    <t>Veritex Holdings, Inc.</t>
  </si>
  <si>
    <t>$547.27M</t>
  </si>
  <si>
    <t>VERI</t>
  </si>
  <si>
    <t>Veritone, Inc.</t>
  </si>
  <si>
    <t>$134.76M</t>
  </si>
  <si>
    <t>VRML</t>
  </si>
  <si>
    <t>Vermillion, Inc.</t>
  </si>
  <si>
    <t>$81.89M</t>
  </si>
  <si>
    <t>VRNA</t>
  </si>
  <si>
    <t>Verona Pharma plc</t>
  </si>
  <si>
    <t>$158.77M</t>
  </si>
  <si>
    <t>VSAR</t>
  </si>
  <si>
    <t>Versartis, Inc.</t>
  </si>
  <si>
    <t>$614.4M</t>
  </si>
  <si>
    <t>VTNR</t>
  </si>
  <si>
    <t>Vertex Energy, Inc</t>
  </si>
  <si>
    <t>$32.47M</t>
  </si>
  <si>
    <t>VRTX</t>
  </si>
  <si>
    <t>Vertex Pharmaceuticals Incorporated</t>
  </si>
  <si>
    <t>$38.64B</t>
  </si>
  <si>
    <t>VERU</t>
  </si>
  <si>
    <t>Veru Inc.</t>
  </si>
  <si>
    <t>$71.3M</t>
  </si>
  <si>
    <t>VIA</t>
  </si>
  <si>
    <t>Viacom Inc.</t>
  </si>
  <si>
    <t>$15.14B</t>
  </si>
  <si>
    <t>VIAB</t>
  </si>
  <si>
    <t>$10.69B</t>
  </si>
  <si>
    <t>VSAT</t>
  </si>
  <si>
    <t>ViaSat, Inc.</t>
  </si>
  <si>
    <t>$3.81B</t>
  </si>
  <si>
    <t>VIAV</t>
  </si>
  <si>
    <t>Viavi Solutions Inc.</t>
  </si>
  <si>
    <t>VICL</t>
  </si>
  <si>
    <t>Vical Incorporated</t>
  </si>
  <si>
    <t>$27.3M</t>
  </si>
  <si>
    <t>VICR</t>
  </si>
  <si>
    <t>Vicor Corporation</t>
  </si>
  <si>
    <t>$712.45M</t>
  </si>
  <si>
    <t>CIZ</t>
  </si>
  <si>
    <t>VictoryShares Developed Enhanced Volatility Wtd ETF</t>
  </si>
  <si>
    <t>VSDA</t>
  </si>
  <si>
    <t>VictoryShares Dividend Accelerator ETF</t>
  </si>
  <si>
    <t>CEZ</t>
  </si>
  <si>
    <t>VictoryShares Emerging Market Volatility Wtd ETF</t>
  </si>
  <si>
    <t>CID</t>
  </si>
  <si>
    <t>VictoryShares International High Div Volatility Wtd ETF</t>
  </si>
  <si>
    <t>CIL</t>
  </si>
  <si>
    <t>VictoryShares International Volatility Wtd ETF</t>
  </si>
  <si>
    <t>CFO</t>
  </si>
  <si>
    <t>VictoryShares US 500 Enhanced Volatility Wtd ETF</t>
  </si>
  <si>
    <t>$31.21M</t>
  </si>
  <si>
    <t>CFA</t>
  </si>
  <si>
    <t>VictoryShares US 500 Volatility Wtd ETF</t>
  </si>
  <si>
    <t>CSF</t>
  </si>
  <si>
    <t>VictoryShares US Discovery Enhanced Volatility Wtd ETF</t>
  </si>
  <si>
    <t>$22.69M</t>
  </si>
  <si>
    <t>CDC</t>
  </si>
  <si>
    <t>VictoryShares US EQ Income Enhanced Volatility Wtd ETF</t>
  </si>
  <si>
    <t>CDL</t>
  </si>
  <si>
    <t>VictoryShares US Large Cap High Div Volatility Wtd ETF</t>
  </si>
  <si>
    <t>VSMV</t>
  </si>
  <si>
    <t>VictoryShares US Multi-Factor Minimum Volatility ETF</t>
  </si>
  <si>
    <t>CSB</t>
  </si>
  <si>
    <t>VictoryShares US Small Cap High Div Volatility Wtd ETF</t>
  </si>
  <si>
    <t>CSA</t>
  </si>
  <si>
    <t>VictoryShares US Small Cap Volatility Wtd ETF</t>
  </si>
  <si>
    <t>$2.17B</t>
  </si>
  <si>
    <t>VBND</t>
  </si>
  <si>
    <t>Vident Core U.S. Bond Strategy Fund</t>
  </si>
  <si>
    <t>$429.05M</t>
  </si>
  <si>
    <t>VUSE</t>
  </si>
  <si>
    <t>Vident Core US Equity ETF</t>
  </si>
  <si>
    <t>$457.52M</t>
  </si>
  <si>
    <t>VIDI</t>
  </si>
  <si>
    <t>Vident International Equity Fund</t>
  </si>
  <si>
    <t>VDTH</t>
  </si>
  <si>
    <t>Videocon d2h Limited</t>
  </si>
  <si>
    <t>$928.23M</t>
  </si>
  <si>
    <t>VRAY</t>
  </si>
  <si>
    <t>ViewRay, Inc.</t>
  </si>
  <si>
    <t>$328.8M</t>
  </si>
  <si>
    <t>VKTX</t>
  </si>
  <si>
    <t>Viking Therapeutics, Inc.</t>
  </si>
  <si>
    <t>$26.31M</t>
  </si>
  <si>
    <t>VKTXW</t>
  </si>
  <si>
    <t>VBFC</t>
  </si>
  <si>
    <t>Village Bank and Trust Financial Corp.</t>
  </si>
  <si>
    <t>$45.74M</t>
  </si>
  <si>
    <t>VLGEA</t>
  </si>
  <si>
    <t>Village Super Market, Inc.</t>
  </si>
  <si>
    <t>$349.33M</t>
  </si>
  <si>
    <t>VNOM</t>
  </si>
  <si>
    <t>Viper Energy Partners LP</t>
  </si>
  <si>
    <t>VIRC</t>
  </si>
  <si>
    <t>Virco Manufacturing Corporation</t>
  </si>
  <si>
    <t>$81.97M</t>
  </si>
  <si>
    <t>VIRT</t>
  </si>
  <si>
    <t>Virtu Financial, Inc.</t>
  </si>
  <si>
    <t>$2.9B</t>
  </si>
  <si>
    <t>VRTS</t>
  </si>
  <si>
    <t>Virtus Investment Partners, Inc.</t>
  </si>
  <si>
    <t>$828.7M</t>
  </si>
  <si>
    <t>VRTSP</t>
  </si>
  <si>
    <t>VRTU</t>
  </si>
  <si>
    <t>Virtusa Corporation</t>
  </si>
  <si>
    <t>$974.46M</t>
  </si>
  <si>
    <t>VTGN</t>
  </si>
  <si>
    <t>VistaGen Therapeutics, Inc.</t>
  </si>
  <si>
    <t>$17.3M</t>
  </si>
  <si>
    <t>VTL</t>
  </si>
  <si>
    <t>Vital Therapies, Inc.</t>
  </si>
  <si>
    <t>$122.4M</t>
  </si>
  <si>
    <t>VIVE</t>
  </si>
  <si>
    <t>Viveve Medical, Inc.</t>
  </si>
  <si>
    <t>$130.18M</t>
  </si>
  <si>
    <t>VVPR</t>
  </si>
  <si>
    <t>VivoPower International PLC</t>
  </si>
  <si>
    <t>$47.06M</t>
  </si>
  <si>
    <t>VVUS</t>
  </si>
  <si>
    <t>VIVUS, Inc.</t>
  </si>
  <si>
    <t>$106.87M</t>
  </si>
  <si>
    <t>VOD</t>
  </si>
  <si>
    <t>Vodafone Group Plc</t>
  </si>
  <si>
    <t>$78.85B</t>
  </si>
  <si>
    <t>VOXX</t>
  </si>
  <si>
    <t>VOXX International Corporation</t>
  </si>
  <si>
    <t>$172.75M</t>
  </si>
  <si>
    <t>VYGR</t>
  </si>
  <si>
    <t>Voyager Therapeutics, Inc.</t>
  </si>
  <si>
    <t>$235.77M</t>
  </si>
  <si>
    <t>VSEC</t>
  </si>
  <si>
    <t>VSE Corporation</t>
  </si>
  <si>
    <t>$558.72M</t>
  </si>
  <si>
    <t>VTVT</t>
  </si>
  <si>
    <t>vTv Therapeutics Inc.</t>
  </si>
  <si>
    <t>$132.56M</t>
  </si>
  <si>
    <t>VUZI</t>
  </si>
  <si>
    <t>Vuzix Corporation</t>
  </si>
  <si>
    <t>$124.49M</t>
  </si>
  <si>
    <t>VWR</t>
  </si>
  <si>
    <t>VWR Corporation</t>
  </si>
  <si>
    <t>$4.35B</t>
  </si>
  <si>
    <t>WBA</t>
  </si>
  <si>
    <t>Walgreens Boots Alliance, Inc.</t>
  </si>
  <si>
    <t>$86.76B</t>
  </si>
  <si>
    <t>WAFD</t>
  </si>
  <si>
    <t>Washington Federal, Inc.</t>
  </si>
  <si>
    <t>$2.98B</t>
  </si>
  <si>
    <t>WAFDW</t>
  </si>
  <si>
    <t>WASH</t>
  </si>
  <si>
    <t>Washington Trust Bancorp, Inc.</t>
  </si>
  <si>
    <t>$899.26M</t>
  </si>
  <si>
    <t>WFBI</t>
  </si>
  <si>
    <t>WashingtonFirst Bankshares Inc</t>
  </si>
  <si>
    <t>$442.53M</t>
  </si>
  <si>
    <t>WSBF</t>
  </si>
  <si>
    <t>Waterstone Financial, Inc.</t>
  </si>
  <si>
    <t>$533.48M</t>
  </si>
  <si>
    <t>WVE</t>
  </si>
  <si>
    <t>WAVE Life Sciences Ltd.</t>
  </si>
  <si>
    <t>$543.54M</t>
  </si>
  <si>
    <t>WAYN</t>
  </si>
  <si>
    <t>Wayne Savings Bancshares Inc.</t>
  </si>
  <si>
    <t>$48.68M</t>
  </si>
  <si>
    <t>WSTG</t>
  </si>
  <si>
    <t>Wayside Technology Group, Inc.</t>
  </si>
  <si>
    <t>$75.82M</t>
  </si>
  <si>
    <t>WCFB</t>
  </si>
  <si>
    <t>WCF Bancorp, Inc.</t>
  </si>
  <si>
    <t>$26.13M</t>
  </si>
  <si>
    <t>WDFC</t>
  </si>
  <si>
    <t>WD-40 Company</t>
  </si>
  <si>
    <t>FLAG</t>
  </si>
  <si>
    <t>WeatherStorm Forensic Accounting Long Short ETF</t>
  </si>
  <si>
    <t>$15.46M</t>
  </si>
  <si>
    <t>WEB</t>
  </si>
  <si>
    <t>Web.com Group, Inc.</t>
  </si>
  <si>
    <t>WBMD</t>
  </si>
  <si>
    <t>WebMD Health Corp</t>
  </si>
  <si>
    <t>$2.52B</t>
  </si>
  <si>
    <t>WB</t>
  </si>
  <si>
    <t>Weibo Corporation</t>
  </si>
  <si>
    <t>$18.81B</t>
  </si>
  <si>
    <t>WEBK</t>
  </si>
  <si>
    <t>Wellesley Bancorp, Inc.</t>
  </si>
  <si>
    <t>$67.09M</t>
  </si>
  <si>
    <t>WEN</t>
  </si>
  <si>
    <t>Wendy&amp;#39;s Company (The)</t>
  </si>
  <si>
    <t>$3.74B</t>
  </si>
  <si>
    <t>WERN</t>
  </si>
  <si>
    <t>Werner Enterprises, Inc.</t>
  </si>
  <si>
    <t>WSBC</t>
  </si>
  <si>
    <t>WesBanco, Inc.</t>
  </si>
  <si>
    <t>WTBA</t>
  </si>
  <si>
    <t>West Bancorporation</t>
  </si>
  <si>
    <t>$362.32M</t>
  </si>
  <si>
    <t>WSTC</t>
  </si>
  <si>
    <t>West Corporation</t>
  </si>
  <si>
    <t>$1.95B</t>
  </si>
  <si>
    <t>WMAR</t>
  </si>
  <si>
    <t>West Marine, Inc.</t>
  </si>
  <si>
    <t>$325.58M</t>
  </si>
  <si>
    <t>WABC</t>
  </si>
  <si>
    <t>Westamerica Bancorporation</t>
  </si>
  <si>
    <t>WBB</t>
  </si>
  <si>
    <t>Westbury Bancorp, Inc.</t>
  </si>
  <si>
    <t>$79.96M</t>
  </si>
  <si>
    <t>WSTL</t>
  </si>
  <si>
    <t>Westell Technologies, Inc.</t>
  </si>
  <si>
    <t>$51.54M</t>
  </si>
  <si>
    <t>WDC</t>
  </si>
  <si>
    <t>Western Digital Corporation</t>
  </si>
  <si>
    <t>$23.69B</t>
  </si>
  <si>
    <t>WNEB</t>
  </si>
  <si>
    <t>Western New England Bancorp, Inc.</t>
  </si>
  <si>
    <t>$304.49M</t>
  </si>
  <si>
    <t>WLB</t>
  </si>
  <si>
    <t>Westmoreland Coal Company</t>
  </si>
  <si>
    <t>$55.85M</t>
  </si>
  <si>
    <t>WPRT</t>
  </si>
  <si>
    <t>Westport Fuel Systems Inc</t>
  </si>
  <si>
    <t>$248.13M</t>
  </si>
  <si>
    <t>WEYS</t>
  </si>
  <si>
    <t>Weyco Group, Inc.</t>
  </si>
  <si>
    <t>WHLR</t>
  </si>
  <si>
    <t>Wheeler Real Estate Investment Trust, Inc.</t>
  </si>
  <si>
    <t>$90.8M</t>
  </si>
  <si>
    <t>WHLRD</t>
  </si>
  <si>
    <t>WHLRP</t>
  </si>
  <si>
    <t>$16.36M</t>
  </si>
  <si>
    <t>WHLRW</t>
  </si>
  <si>
    <t>WHF</t>
  </si>
  <si>
    <t>WhiteHorse Finance, Inc.</t>
  </si>
  <si>
    <t>$254.62M</t>
  </si>
  <si>
    <t>WHFBL</t>
  </si>
  <si>
    <t>WFM</t>
  </si>
  <si>
    <t>Whole Foods Market, Inc.</t>
  </si>
  <si>
    <t>$13.4B</t>
  </si>
  <si>
    <t>WHLM</t>
  </si>
  <si>
    <t>Wilhelmina International, Inc.</t>
  </si>
  <si>
    <t>$41.49M</t>
  </si>
  <si>
    <t>WVVI</t>
  </si>
  <si>
    <t>Willamette Valley Vineyards, Inc.</t>
  </si>
  <si>
    <t>$39.82M</t>
  </si>
  <si>
    <t>WVVIP</t>
  </si>
  <si>
    <t>WLDN</t>
  </si>
  <si>
    <t>Willdan Group, Inc.</t>
  </si>
  <si>
    <t>$316.57M</t>
  </si>
  <si>
    <t>WLFC</t>
  </si>
  <si>
    <t>Willis Lease Finance Corporation</t>
  </si>
  <si>
    <t>$162.12M</t>
  </si>
  <si>
    <t>WLTW</t>
  </si>
  <si>
    <t>Willis Towers Watson Public Limited Company</t>
  </si>
  <si>
    <t>$20.15B</t>
  </si>
  <si>
    <t>WIN</t>
  </si>
  <si>
    <t>Windstream Holdings, Inc.</t>
  </si>
  <si>
    <t>$395.01M</t>
  </si>
  <si>
    <t>WING</t>
  </si>
  <si>
    <t>Wingstop Inc.</t>
  </si>
  <si>
    <t>$952.12M</t>
  </si>
  <si>
    <t>WINA</t>
  </si>
  <si>
    <t>Winmark Corporation</t>
  </si>
  <si>
    <t>$545.91M</t>
  </si>
  <si>
    <t>WINS</t>
  </si>
  <si>
    <t>Wins Finance Holdings Inc.</t>
  </si>
  <si>
    <t>$4.07B</t>
  </si>
  <si>
    <t>WTFC</t>
  </si>
  <si>
    <t>Wintrust Financial Corporation</t>
  </si>
  <si>
    <t>WTFCM</t>
  </si>
  <si>
    <t>WTFCW</t>
  </si>
  <si>
    <t>AGZD</t>
  </si>
  <si>
    <t>WisdomTree Barclays Interest Rate Hedged U.S. Aggregate Bond F</t>
  </si>
  <si>
    <t>$23.98M</t>
  </si>
  <si>
    <t>AGND</t>
  </si>
  <si>
    <t>WisdomTree Barclays Negative Duration U.S. Aggregate Bond Fund</t>
  </si>
  <si>
    <t>CXSE</t>
  </si>
  <si>
    <t>WisdomTree China ex-State-Owned Enterprises Fund</t>
  </si>
  <si>
    <t>$20.36M</t>
  </si>
  <si>
    <t>EMCG</t>
  </si>
  <si>
    <t>WisdomTree Emerging Markets Consumer Growth Fund</t>
  </si>
  <si>
    <t>$27.07M</t>
  </si>
  <si>
    <t>EMCB</t>
  </si>
  <si>
    <t>WisdomTree Emerging Markets Corporate Bond Fund</t>
  </si>
  <si>
    <t>$50.44M</t>
  </si>
  <si>
    <t>DGRE</t>
  </si>
  <si>
    <t>WisdomTree Emerging Markets Quality Dividend Growth Fund</t>
  </si>
  <si>
    <t>$58.14M</t>
  </si>
  <si>
    <t>DXGE</t>
  </si>
  <si>
    <t>WisdomTree Germany Hedged Equity Fund</t>
  </si>
  <si>
    <t>$118.13M</t>
  </si>
  <si>
    <t>HYZD</t>
  </si>
  <si>
    <t>WisdomTree Interest Rate Hedged High Yield Bond Fund</t>
  </si>
  <si>
    <t>$62.71M</t>
  </si>
  <si>
    <t>WETF</t>
  </si>
  <si>
    <t>WisdomTree Investments, Inc.</t>
  </si>
  <si>
    <t>DXJS</t>
  </si>
  <si>
    <t>WisdomTree Japan Hedged SmallCap Equity Fund</t>
  </si>
  <si>
    <t>$138.21M</t>
  </si>
  <si>
    <t>GULF</t>
  </si>
  <si>
    <t>WisdomTree Middle East Dividend Fund</t>
  </si>
  <si>
    <t>$15.88M</t>
  </si>
  <si>
    <t>HYND</t>
  </si>
  <si>
    <t>WisdomTree Negative Duration High Yield Bond Fund</t>
  </si>
  <si>
    <t>CRDT</t>
  </si>
  <si>
    <t>WisdomTree Strategic Corporate Bond Fund</t>
  </si>
  <si>
    <t>$9.58M</t>
  </si>
  <si>
    <t>DGRW</t>
  </si>
  <si>
    <t>WisdomTree U.S. Quality Dividend Growth Fund</t>
  </si>
  <si>
    <t>DGRS</t>
  </si>
  <si>
    <t>WisdomTree U.S. SmallCap Quality Dividend Growth Fund</t>
  </si>
  <si>
    <t>$97.2M</t>
  </si>
  <si>
    <t>DXPS</t>
  </si>
  <si>
    <t>WisdomTree United Kingdom Hedged Equity Fund</t>
  </si>
  <si>
    <t>$14.72M</t>
  </si>
  <si>
    <t>UBND</t>
  </si>
  <si>
    <t>WisdomTree Western Asset Unconstrained Bond Fund</t>
  </si>
  <si>
    <t>$5.13M</t>
  </si>
  <si>
    <t>WIX</t>
  </si>
  <si>
    <t>Wix.com Ltd.</t>
  </si>
  <si>
    <t>WMIH</t>
  </si>
  <si>
    <t>WMIH Corp.</t>
  </si>
  <si>
    <t>$237.34M</t>
  </si>
  <si>
    <t>WBKC</t>
  </si>
  <si>
    <t>Wolverine Bancorp, Inc.</t>
  </si>
  <si>
    <t>WWD</t>
  </si>
  <si>
    <t>Woodward, Inc.</t>
  </si>
  <si>
    <t>WKHS</t>
  </si>
  <si>
    <t>Workhorse Group, Inc.</t>
  </si>
  <si>
    <t>$94.57M</t>
  </si>
  <si>
    <t>WRLD</t>
  </si>
  <si>
    <t>World Acceptance Corporation</t>
  </si>
  <si>
    <t>$708.95M</t>
  </si>
  <si>
    <t>WPCS</t>
  </si>
  <si>
    <t>WPCS International Incorporated</t>
  </si>
  <si>
    <t>$4.32M</t>
  </si>
  <si>
    <t>WPPGY</t>
  </si>
  <si>
    <t>WPP plc</t>
  </si>
  <si>
    <t>$27.41B</t>
  </si>
  <si>
    <t>WMGI</t>
  </si>
  <si>
    <t>Wright Medical Group N.V.</t>
  </si>
  <si>
    <t>WMGIZ</t>
  </si>
  <si>
    <t>WSFS</t>
  </si>
  <si>
    <t>WSFS Financial Corporation</t>
  </si>
  <si>
    <t>$1.41B</t>
  </si>
  <si>
    <t>WSFSL</t>
  </si>
  <si>
    <t>WSCI</t>
  </si>
  <si>
    <t>WSI Industries Inc.</t>
  </si>
  <si>
    <t>WVFC</t>
  </si>
  <si>
    <t>WVS Financial Corp.</t>
  </si>
  <si>
    <t>$32.94M</t>
  </si>
  <si>
    <t>WYNN</t>
  </si>
  <si>
    <t>Wynn Resorts, Limited</t>
  </si>
  <si>
    <t>$13.34B</t>
  </si>
  <si>
    <t>XBIT</t>
  </si>
  <si>
    <t>XBiotech Inc.</t>
  </si>
  <si>
    <t>$147.51M</t>
  </si>
  <si>
    <t>XELB</t>
  </si>
  <si>
    <t>Xcel Brands, Inc</t>
  </si>
  <si>
    <t>XCRA</t>
  </si>
  <si>
    <t>Xcerra Corporation</t>
  </si>
  <si>
    <t>$508.48M</t>
  </si>
  <si>
    <t>XNCR</t>
  </si>
  <si>
    <t>Xencor, Inc.</t>
  </si>
  <si>
    <t>XBIO</t>
  </si>
  <si>
    <t>Xenetic Biosciences, Inc.</t>
  </si>
  <si>
    <t>$25.28M</t>
  </si>
  <si>
    <t>XBKS</t>
  </si>
  <si>
    <t>Xenith Bankshares, Inc.</t>
  </si>
  <si>
    <t>$688.24M</t>
  </si>
  <si>
    <t>XENE</t>
  </si>
  <si>
    <t>Xenon Pharmaceuticals Inc.</t>
  </si>
  <si>
    <t>$52.2M</t>
  </si>
  <si>
    <t>XGTI</t>
  </si>
  <si>
    <t>XG Technology, Inc</t>
  </si>
  <si>
    <t>$27.89M</t>
  </si>
  <si>
    <t>XGTIW</t>
  </si>
  <si>
    <t>XLNX</t>
  </si>
  <si>
    <t>Xilinx, Inc.</t>
  </si>
  <si>
    <t>$15.7B</t>
  </si>
  <si>
    <t>GLDI</t>
  </si>
  <si>
    <t>X-Links Gold Shares Covered Call ETN</t>
  </si>
  <si>
    <t>$125.01M</t>
  </si>
  <si>
    <t>SLVO</t>
  </si>
  <si>
    <t>X-Links Silver Shares Covered Call ETN</t>
  </si>
  <si>
    <t>XOMA</t>
  </si>
  <si>
    <t>XOMA Corporation</t>
  </si>
  <si>
    <t>$56.82M</t>
  </si>
  <si>
    <t>XPER</t>
  </si>
  <si>
    <t>Xperi Corporation</t>
  </si>
  <si>
    <t>XPLR</t>
  </si>
  <si>
    <t>Xplore Technologies Corp</t>
  </si>
  <si>
    <t>$25.64M</t>
  </si>
  <si>
    <t>XTLB</t>
  </si>
  <si>
    <t>XTL Biopharmaceuticals Ltd.</t>
  </si>
  <si>
    <t>$15.89M</t>
  </si>
  <si>
    <t>XNET</t>
  </si>
  <si>
    <t>Xunlei Limited</t>
  </si>
  <si>
    <t>$250.84M</t>
  </si>
  <si>
    <t>YNDX</t>
  </si>
  <si>
    <t>Yandex N.V.</t>
  </si>
  <si>
    <t>$9.7B</t>
  </si>
  <si>
    <t>YERR</t>
  </si>
  <si>
    <t>Yangtze River Development Limited</t>
  </si>
  <si>
    <t>YTRA</t>
  </si>
  <si>
    <t>Yatra Online, Inc.</t>
  </si>
  <si>
    <t>$365.01M</t>
  </si>
  <si>
    <t>YTEN</t>
  </si>
  <si>
    <t>Yield10 Bioscience, Inc.</t>
  </si>
  <si>
    <t>$8.7M</t>
  </si>
  <si>
    <t>YIN</t>
  </si>
  <si>
    <t>Yintech Investment Holdings Limited</t>
  </si>
  <si>
    <t>$692.27M</t>
  </si>
  <si>
    <t>YOGA</t>
  </si>
  <si>
    <t>YogaWorks, Inc.</t>
  </si>
  <si>
    <t>YGYI</t>
  </si>
  <si>
    <t>Youngevity International, Inc.</t>
  </si>
  <si>
    <t>$93.48M</t>
  </si>
  <si>
    <t>YRCW</t>
  </si>
  <si>
    <t>YRC Worldwide, Inc.</t>
  </si>
  <si>
    <t>$420.83M</t>
  </si>
  <si>
    <t>YY</t>
  </si>
  <si>
    <t>YY Inc.</t>
  </si>
  <si>
    <t>ZFGN</t>
  </si>
  <si>
    <t>Zafgen, Inc.</t>
  </si>
  <si>
    <t>$93.34M</t>
  </si>
  <si>
    <t>ZAGG</t>
  </si>
  <si>
    <t>ZAGG Inc</t>
  </si>
  <si>
    <t>$267.76M</t>
  </si>
  <si>
    <t>ZAIS</t>
  </si>
  <si>
    <t>ZAIS Group Holdings, Inc.</t>
  </si>
  <si>
    <t>$32.3M</t>
  </si>
  <si>
    <t>ZEAL</t>
  </si>
  <si>
    <t>Zealand Pharma A/S</t>
  </si>
  <si>
    <t>ZBRA</t>
  </si>
  <si>
    <t>Zebra Technologies Corporation</t>
  </si>
  <si>
    <t>Z</t>
  </si>
  <si>
    <t>Zillow Group, Inc.</t>
  </si>
  <si>
    <t>$8.82B</t>
  </si>
  <si>
    <t>ZG</t>
  </si>
  <si>
    <t>ZN</t>
  </si>
  <si>
    <t>Zion Oil &amp; Gas Inc</t>
  </si>
  <si>
    <t>$169.35M</t>
  </si>
  <si>
    <t>ZNWAA</t>
  </si>
  <si>
    <t>ZION</t>
  </si>
  <si>
    <t>Zions Bancorporation</t>
  </si>
  <si>
    <t>$9.26B</t>
  </si>
  <si>
    <t>ZIONW</t>
  </si>
  <si>
    <t>ZIONZ</t>
  </si>
  <si>
    <t>ZIOP</t>
  </si>
  <si>
    <t>ZIOPHARM Oncology Inc</t>
  </si>
  <si>
    <t>$810.61M</t>
  </si>
  <si>
    <t>ZIXI</t>
  </si>
  <si>
    <t>Zix Corporation</t>
  </si>
  <si>
    <t>$284.56M</t>
  </si>
  <si>
    <t>ZGNX</t>
  </si>
  <si>
    <t>Zogenix, Inc.</t>
  </si>
  <si>
    <t>$306.45M</t>
  </si>
  <si>
    <t>ZSAN</t>
  </si>
  <si>
    <t>Zosano Pharma Corporation</t>
  </si>
  <si>
    <t>$40.77M</t>
  </si>
  <si>
    <t>ZUMZ</t>
  </si>
  <si>
    <t>Zumiez Inc.</t>
  </si>
  <si>
    <t>$323.79M</t>
  </si>
  <si>
    <t>ZYNE</t>
  </si>
  <si>
    <t>Zynerba Pharmaceuticals, Inc.</t>
  </si>
  <si>
    <t>$83.12M</t>
  </si>
  <si>
    <t>ZNGA</t>
  </si>
  <si>
    <t>Zynga Inc.</t>
  </si>
  <si>
    <t>$3.21B</t>
  </si>
  <si>
    <t>Ticker</t>
  </si>
  <si>
    <t>AIR NEW ZEALAND</t>
  </si>
  <si>
    <t>ALLIED FARMERS</t>
  </si>
  <si>
    <t>ARGOSY PROPERTY</t>
  </si>
  <si>
    <t>AUCKLAND INTL.AIRPORT</t>
  </si>
  <si>
    <t>AUGUSTA CAPITAL</t>
  </si>
  <si>
    <t>AWF MADISON GROUP</t>
  </si>
  <si>
    <t>CAVALIER</t>
  </si>
  <si>
    <t>CDL INVESTMENTS NZ.</t>
  </si>
  <si>
    <t>CHORUS</t>
  </si>
  <si>
    <t>COLONIAL MOTOR</t>
  </si>
  <si>
    <t>COMVITA</t>
  </si>
  <si>
    <t>CONTACT ENERGY</t>
  </si>
  <si>
    <t>DELEGAT GROUP</t>
  </si>
  <si>
    <t>EBOS GROUP</t>
  </si>
  <si>
    <t>FINZSOFT SOLUTIONS</t>
  </si>
  <si>
    <t>FISHER &amp; PAYKEL HLTHCR.</t>
  </si>
  <si>
    <t>FLETCHER BUILDING</t>
  </si>
  <si>
    <t>FREIGHTWAYS</t>
  </si>
  <si>
    <t>FUTURE MOBILITY SOLUTIONS</t>
  </si>
  <si>
    <t>GOODMAN PROPERTY TRUST UNITS</t>
  </si>
  <si>
    <t>GREEN CROSS HEALTH</t>
  </si>
  <si>
    <t>HALLENSTEIN GLASSON HDG.</t>
  </si>
  <si>
    <t>INFRATIL</t>
  </si>
  <si>
    <t>KIWI PROPERTY GROUP</t>
  </si>
  <si>
    <t>MAINFREIGHT</t>
  </si>
  <si>
    <t>MARSDEN MARITIME HDG.</t>
  </si>
  <si>
    <t>MERCER GROUP</t>
  </si>
  <si>
    <t>METLIFECARE</t>
  </si>
  <si>
    <t>MLLM.&amp; CPTH.HTLS.NZ.</t>
  </si>
  <si>
    <t>NEW ZEALAND OIL AND GAS</t>
  </si>
  <si>
    <t>NZ WINDFARMS</t>
  </si>
  <si>
    <t>NZX</t>
  </si>
  <si>
    <t>PACIFIC EDGE</t>
  </si>
  <si>
    <t>PGG WRIGHTSON</t>
  </si>
  <si>
    <t>PLEXURE GROUP</t>
  </si>
  <si>
    <t>PORT OF TAURANGA</t>
  </si>
  <si>
    <t>PRECINCT PROPERTIES NEW ZEALAND</t>
  </si>
  <si>
    <t>PROPERTY FOR INDUSTRY</t>
  </si>
  <si>
    <t>RAKON</t>
  </si>
  <si>
    <t>RESTAURANT BRANDS NZ.</t>
  </si>
  <si>
    <t>RUBICON</t>
  </si>
  <si>
    <t>RYMAN HEALTHCARE</t>
  </si>
  <si>
    <t>SANFORD</t>
  </si>
  <si>
    <t>SCOTT TECHNOLOGY</t>
  </si>
  <si>
    <t>SEEKA</t>
  </si>
  <si>
    <t>SKELLERUP HOLDINGS</t>
  </si>
  <si>
    <t>SKY CITY ENTM.GP.</t>
  </si>
  <si>
    <t>SKY NETWORK TELEVISION</t>
  </si>
  <si>
    <t>SMARTPAY HOLDINGS</t>
  </si>
  <si>
    <t>SMITHS CITY GROUP</t>
  </si>
  <si>
    <t>SOUTH PORT NEW ZEALAND</t>
  </si>
  <si>
    <t>SPARK NEW ZEALAND</t>
  </si>
  <si>
    <t>STEEL &amp; TUBE HOLDINGS</t>
  </si>
  <si>
    <t>SUMMERSET GROUP HOLDINGS</t>
  </si>
  <si>
    <t>T&amp;G GLOBAL</t>
  </si>
  <si>
    <t>TEAMTALK</t>
  </si>
  <si>
    <t>TOURISM HOLDINGS</t>
  </si>
  <si>
    <t>TOWER</t>
  </si>
  <si>
    <t>VECTOR</t>
  </si>
  <si>
    <t>VITAL HEALTHCARE PR.TST.</t>
  </si>
  <si>
    <t>WAREHOUSE GROUP</t>
  </si>
  <si>
    <t>WELLINGTON DRIVE TECHS.</t>
  </si>
  <si>
    <t>Returns on Trading Strategy</t>
  </si>
  <si>
    <t>Ticker:</t>
  </si>
  <si>
    <t>Total Revenue_x000D_</t>
  </si>
  <si>
    <t>0_x000D_</t>
  </si>
  <si>
    <t>Trend_x000D_</t>
  </si>
  <si>
    <t>Period Ending:</t>
  </si>
  <si>
    <t>12/31/2015_x000D_</t>
  </si>
  <si>
    <t>12/31/2018_x000D_</t>
  </si>
  <si>
    <t>12/31/2017_x000D_</t>
  </si>
  <si>
    <t>ABANO HEALTHCARE GROUP</t>
  </si>
  <si>
    <t>AFC GROUP HOLDINGS</t>
  </si>
  <si>
    <t>AFT PHARMACEUTICALS</t>
  </si>
  <si>
    <t>AORERE RESOURCES</t>
  </si>
  <si>
    <t>ARVIDA GROUP</t>
  </si>
  <si>
    <t>ASSET PLUS</t>
  </si>
  <si>
    <t>BARRAMUNDI</t>
  </si>
  <si>
    <t>BLACKWELL GLOBAL HOLDINGS</t>
  </si>
  <si>
    <t>BLIS TECHNOLOGIES</t>
  </si>
  <si>
    <t>BRISCOE GROUP AUSTRALASIA</t>
  </si>
  <si>
    <t>BURGER FUEL WORLDWIDE</t>
  </si>
  <si>
    <t>COOKS GLOBAL FOODS</t>
  </si>
  <si>
    <t>CSM GROUP</t>
  </si>
  <si>
    <t>EROAD</t>
  </si>
  <si>
    <t>EVOLVE EDUCATION GROUP</t>
  </si>
  <si>
    <t>FOLEY WINES</t>
  </si>
  <si>
    <t>FONTERRA COOPERATIVE GP.</t>
  </si>
  <si>
    <t>GENERAL CAPITAL</t>
  </si>
  <si>
    <t>GENESIS ENERGY</t>
  </si>
  <si>
    <t>GENEVA FINANCE</t>
  </si>
  <si>
    <t>GENTRACK GROUP</t>
  </si>
  <si>
    <t>GEO</t>
  </si>
  <si>
    <t>HEARTLAND GROUP HOLDINGS</t>
  </si>
  <si>
    <t>IKEGPS GROUP</t>
  </si>
  <si>
    <t>INVESTORE PROPERTY</t>
  </si>
  <si>
    <t>JUST LIFE GROUP</t>
  </si>
  <si>
    <t>LIVESTOCK IMPROVEMENT CORPORATION</t>
  </si>
  <si>
    <t>MARLBOROUGH WINE ESTATES GROUP</t>
  </si>
  <si>
    <t>MARLIN GLOBAL</t>
  </si>
  <si>
    <t>MERCURY NZ</t>
  </si>
  <si>
    <t>MERIDIAN ENERGY</t>
  </si>
  <si>
    <t>METRO PERFORMANCE GLASS</t>
  </si>
  <si>
    <t>MOA GROUP</t>
  </si>
  <si>
    <t>NEW TALISMAN GOLD MINES</t>
  </si>
  <si>
    <t>NEW ZEALAND KING SALMON INVESTMENTS</t>
  </si>
  <si>
    <t>NZME</t>
  </si>
  <si>
    <t>OCEANIA HEALTHCARE TECHNOLOGY INVESTMENTS</t>
  </si>
  <si>
    <t>PAYSAUCE</t>
  </si>
  <si>
    <t>PROMISIA INTEGRATIVE</t>
  </si>
  <si>
    <t>PUSHPAY HOLDINGS</t>
  </si>
  <si>
    <t>SCALES</t>
  </si>
  <si>
    <t>SEADRAGON</t>
  </si>
  <si>
    <t>SERKO</t>
  </si>
  <si>
    <t>SNAKK MEDIA</t>
  </si>
  <si>
    <t>SOLUTION DYNAMICS</t>
  </si>
  <si>
    <t>SOUTHERN CHARTER FINANCIAL GROUP</t>
  </si>
  <si>
    <t>STRIDE PR.&amp; STRIDE INVMGT.</t>
  </si>
  <si>
    <t>SYNLAIT MILK</t>
  </si>
  <si>
    <t>THE A2 MILK COMPANY</t>
  </si>
  <si>
    <t>THE NEW ZEALAND REFINING COMPANY</t>
  </si>
  <si>
    <t>TIL LOGISTICS GROUP</t>
  </si>
  <si>
    <t>TILT RENEWABLES</t>
  </si>
  <si>
    <t>TRS INVESTMENTS</t>
  </si>
  <si>
    <t>TRUSTPOWER</t>
  </si>
  <si>
    <t>TURNERS AUTOMOTIVE GROUP</t>
  </si>
  <si>
    <t>VISTA GROUP INTERNATIONAL</t>
  </si>
  <si>
    <t>Z ENERGY</t>
  </si>
  <si>
    <t>2012/01</t>
  </si>
  <si>
    <t>2012/02</t>
  </si>
  <si>
    <t>2012/03</t>
  </si>
  <si>
    <t>2012/04</t>
  </si>
  <si>
    <t>2012/05</t>
  </si>
  <si>
    <t>2012/06</t>
  </si>
  <si>
    <t>2012/07</t>
  </si>
  <si>
    <t>2012/08</t>
  </si>
  <si>
    <t>2012/09</t>
  </si>
  <si>
    <t>2012/10</t>
  </si>
  <si>
    <t>2012/11</t>
  </si>
  <si>
    <t>2012/12</t>
  </si>
  <si>
    <t>2013/01</t>
  </si>
  <si>
    <t>2013/02</t>
  </si>
  <si>
    <t>2013/03</t>
  </si>
  <si>
    <t>2013/04</t>
  </si>
  <si>
    <t>2013/05</t>
  </si>
  <si>
    <t>2013/06</t>
  </si>
  <si>
    <t>2013/07</t>
  </si>
  <si>
    <t>2013/08</t>
  </si>
  <si>
    <t>2013/09</t>
  </si>
  <si>
    <t>2013/10</t>
  </si>
  <si>
    <t>2013/11</t>
  </si>
  <si>
    <t>2013/12</t>
  </si>
  <si>
    <t>2014/01</t>
  </si>
  <si>
    <t>2014/02</t>
  </si>
  <si>
    <t>2014/03</t>
  </si>
  <si>
    <t>2014/04</t>
  </si>
  <si>
    <t>2014/05</t>
  </si>
  <si>
    <t>2014/06</t>
  </si>
  <si>
    <t>2014/07</t>
  </si>
  <si>
    <t>2014/08</t>
  </si>
  <si>
    <t>2014/09</t>
  </si>
  <si>
    <t>2014/10</t>
  </si>
  <si>
    <t>2014/11</t>
  </si>
  <si>
    <t>2014/12</t>
  </si>
  <si>
    <t>2015/01</t>
  </si>
  <si>
    <t>2015/02</t>
  </si>
  <si>
    <t>2015/03</t>
  </si>
  <si>
    <t>2015/04</t>
  </si>
  <si>
    <t>2015/05</t>
  </si>
  <si>
    <t>2015/06</t>
  </si>
  <si>
    <t>2015/07</t>
  </si>
  <si>
    <t>2015/08</t>
  </si>
  <si>
    <t>2015/09</t>
  </si>
  <si>
    <t>2015/10</t>
  </si>
  <si>
    <t>2015/11</t>
  </si>
  <si>
    <t>2015/12</t>
  </si>
  <si>
    <t>2016/01</t>
  </si>
  <si>
    <t>2016/02</t>
  </si>
  <si>
    <t>2016/03</t>
  </si>
  <si>
    <t>2016/04</t>
  </si>
  <si>
    <t>2016/05</t>
  </si>
  <si>
    <t>2016/06</t>
  </si>
  <si>
    <t>2016/07</t>
  </si>
  <si>
    <t>2016/08</t>
  </si>
  <si>
    <t>2016/09</t>
  </si>
  <si>
    <t>2016/10</t>
  </si>
  <si>
    <t>2016/11</t>
  </si>
  <si>
    <t>2016/12</t>
  </si>
  <si>
    <t>2017/01</t>
  </si>
  <si>
    <t>2017/02</t>
  </si>
  <si>
    <t>2017/03</t>
  </si>
  <si>
    <t>2017/04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</si>
  <si>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</si>
  <si>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</si>
  <si>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</si>
  <si>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</si>
  <si>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</si>
  <si>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</si>
  <si>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</si>
  <si>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</si>
  <si>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</si>
  <si>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</si>
  <si>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</si>
  <si>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</si>
  <si>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</si>
  <si>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</si>
  <si>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</si>
  <si>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</si>
  <si>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</si>
  <si>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</si>
  <si>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</si>
  <si>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</si>
  <si>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ABANO HEALTHCARE GROUP - PRICE TO BOOK VAL</t>
  </si>
  <si>
    <t>AFC GROUP HOLDINGS - PRICE TO BOOK VAL</t>
  </si>
  <si>
    <t>AFT PHARMACEUTICALS - PRICE TO BOOK VAL</t>
  </si>
  <si>
    <t>AIR NEW ZEALAND - PRICE TO BOOK VAL</t>
  </si>
  <si>
    <t>ALLIED FARMERS - PRICE TO BOOK VAL</t>
  </si>
  <si>
    <t>AORERE RESOURCES - PRICE TO BOOK VAL</t>
  </si>
  <si>
    <t>ARGOSY PROPERTY - PRICE TO BOOK VAL</t>
  </si>
  <si>
    <t>ARVIDA GROUP - PRICE TO BOOK VAL</t>
  </si>
  <si>
    <t>ASSET PLUS - PRICE TO BOOK VAL</t>
  </si>
  <si>
    <t>AUCKLAND INTL.AIRPORT - PRICE TO BOOK VAL</t>
  </si>
  <si>
    <t>AUGUSTA CAPITAL - PRICE TO BOOK VAL</t>
  </si>
  <si>
    <t>AWF MADISON GROUP - PRICE TO BOOK VAL</t>
  </si>
  <si>
    <t>BARRAMUNDI - PRICE TO BOOK VAL</t>
  </si>
  <si>
    <t>BLACKWELL GLOBAL HOLDINGS - PRICE TO BOOK VAL</t>
  </si>
  <si>
    <t>BLIS TECHNOLOGIES - PRICE TO BOOK VAL</t>
  </si>
  <si>
    <t>BRISCOE GROUP AUSTRALASIA - PRICE TO BOOK VAL</t>
  </si>
  <si>
    <t>BURGER FUEL WORLDWIDE - PRICE TO BOOK VAL</t>
  </si>
  <si>
    <t>CAVALIER - PRICE TO BOOK VAL</t>
  </si>
  <si>
    <t>CDL INVESTMENTS NZ. - PRICE TO BOOK VAL</t>
  </si>
  <si>
    <t>CHORUS - PRICE TO BOOK VAL</t>
  </si>
  <si>
    <t>COLONIAL MOTOR - PRICE TO BOOK VAL</t>
  </si>
  <si>
    <t>COMVITA - PRICE TO BOOK VAL</t>
  </si>
  <si>
    <t>CONTACT ENERGY - PRICE TO BOOK VAL</t>
  </si>
  <si>
    <t>COOKS GLOBAL FOODS - PRICE TO BOOK VAL</t>
  </si>
  <si>
    <t>CSM GROUP - PRICE TO BOOK VAL</t>
  </si>
  <si>
    <t>DELEGAT GROUP - PRICE TO BOOK VAL</t>
  </si>
  <si>
    <t>EBOS GROUP - PRICE TO BOOK VAL</t>
  </si>
  <si>
    <t>EROAD - PRICE TO BOOK VAL</t>
  </si>
  <si>
    <t>EVOLVE EDUCATION GROUP - PRICE TO BOOK VAL</t>
  </si>
  <si>
    <t>FINZSOFT SOLUTIONS - PRICE TO BOOK VAL</t>
  </si>
  <si>
    <t>FISHER &amp; PAYKEL HLTHCR. - PRICE TO BOOK VAL</t>
  </si>
  <si>
    <t>FLETCHER BUILDING - PRICE TO BOOK VAL</t>
  </si>
  <si>
    <t>FOLEY WINES - PRICE TO BOOK VAL</t>
  </si>
  <si>
    <t>FONTERRA COOPERATIVE GP. - PRICE TO BOOK VAL</t>
  </si>
  <si>
    <t>FREIGHTWAYS - PRICE TO BOOK VAL</t>
  </si>
  <si>
    <t>FUTURE MOBILITY SOLUTIONS - PRICE TO BOOK VAL</t>
  </si>
  <si>
    <t>GENERAL CAPITAL - PRICE TO BOOK VAL</t>
  </si>
  <si>
    <t>GENESIS ENERGY - PRICE TO BOOK VAL</t>
  </si>
  <si>
    <t>GENEVA FINANCE - PRICE TO BOOK VAL</t>
  </si>
  <si>
    <t>GENTRACK GROUP - PRICE TO BOOK VAL</t>
  </si>
  <si>
    <t>GEO - PRICE TO BOOK VAL</t>
  </si>
  <si>
    <t>GOODMAN PROPERTY TRUST UNITS - PRICE TO BOOK VAL</t>
  </si>
  <si>
    <t>GREEN CROSS HEALTH - PRICE TO BOOK VAL</t>
  </si>
  <si>
    <t>HALLENSTEIN GLASSON HDG. - PRICE TO BOOK VAL</t>
  </si>
  <si>
    <t>HEARTLAND GROUP HOLDINGS - PRICE TO BOOK VAL</t>
  </si>
  <si>
    <t>IKEGPS GROUP - PRICE TO BOOK VAL</t>
  </si>
  <si>
    <t>INFRATIL - PRICE TO BOOK VAL</t>
  </si>
  <si>
    <t>INVESTORE PROPERTY - PRICE TO BOOK VAL</t>
  </si>
  <si>
    <t>JUST LIFE GROUP - PRICE TO BOOK VAL</t>
  </si>
  <si>
    <t>KIWI PROPERTY GROUP - PRICE TO BOOK VAL</t>
  </si>
  <si>
    <t>LIVESTOCK IMPROVEMENT CORPORATION - PRICE TO BOOK VAL</t>
  </si>
  <si>
    <t>MAINFREIGHT - PRICE TO BOOK VAL</t>
  </si>
  <si>
    <t>MARLBOROUGH WINE ESTATES GROUP - PRICE TO BOOK VAL</t>
  </si>
  <si>
    <t>MARLIN GLOBAL - PRICE TO BOOK VAL</t>
  </si>
  <si>
    <t>MARSDEN MARITIME HDG. - PRICE TO BOOK VAL</t>
  </si>
  <si>
    <t>MERCER GROUP - PRICE TO BOOK VAL</t>
  </si>
  <si>
    <t>MERCURY NZ - PRICE TO BOOK VAL</t>
  </si>
  <si>
    <t>MERIDIAN ENERGY - PRICE TO BOOK VAL</t>
  </si>
  <si>
    <t>METLIFECARE - PRICE TO BOOK VAL</t>
  </si>
  <si>
    <t>METRO PERFORMANCE GLASS - PRICE TO BOOK VAL</t>
  </si>
  <si>
    <t>MLLM.&amp; CPTH.HTLS.NZ. - PRICE TO BOOK VAL</t>
  </si>
  <si>
    <t>MOA GROUP - PRICE TO BOOK VAL</t>
  </si>
  <si>
    <t>NEW TALISMAN GOLD MINES - PRICE TO BOOK VAL</t>
  </si>
  <si>
    <t>NEW ZEALAND KING SALMON INVESTMENTS - PRICE TO BOOK VAL</t>
  </si>
  <si>
    <t>NEW ZEALAND OIL AND GAS - PRICE TO BOOK VAL</t>
  </si>
  <si>
    <t>NZ WINDFARMS - PRICE TO BOOK VAL</t>
  </si>
  <si>
    <t>NZME - PRICE TO BOOK VAL</t>
  </si>
  <si>
    <t>NZX - PRICE TO BOOK VAL</t>
  </si>
  <si>
    <t>OCEANIA HEALTHCARE TECHNOLOGY INVESTMENTS - PRICE TO BOOK VAL</t>
  </si>
  <si>
    <t>PACIFIC EDGE - PRICE TO BOOK VAL</t>
  </si>
  <si>
    <t>PAYSAUCE - PRICE TO BOOK VAL</t>
  </si>
  <si>
    <t>PGG WRIGHTSON - PRICE TO BOOK VAL</t>
  </si>
  <si>
    <t>PLEXURE GROUP - PRICE TO BOOK VAL</t>
  </si>
  <si>
    <t>PORT OF TAURANGA - PRICE TO BOOK VAL</t>
  </si>
  <si>
    <t>PRECINCT PROPERTIES NEW ZEALAND - PRICE TO BOOK VAL</t>
  </si>
  <si>
    <t>PROMISIA INTEGRATIVE - PRICE TO BOOK VAL</t>
  </si>
  <si>
    <t>PROPERTY FOR INDUSTRY - PRICE TO BOOK VAL</t>
  </si>
  <si>
    <t>PUSHPAY HOLDINGS - PRICE TO BOOK VAL</t>
  </si>
  <si>
    <t>RAKON - PRICE TO BOOK VAL</t>
  </si>
  <si>
    <t>RESTAURANT BRANDS NZ. - PRICE TO BOOK VAL</t>
  </si>
  <si>
    <t>RUBICON - PRICE TO BOOK VAL</t>
  </si>
  <si>
    <t>RYMAN HEALTHCARE - PRICE TO BOOK VAL</t>
  </si>
  <si>
    <t>SANFORD - PRICE TO BOOK VAL</t>
  </si>
  <si>
    <t>SCALES - PRICE TO BOOK VAL</t>
  </si>
  <si>
    <t>SCOTT TECHNOLOGY - PRICE TO BOOK VAL</t>
  </si>
  <si>
    <t>SEADRAGON - PRICE TO BOOK VAL</t>
  </si>
  <si>
    <t>SEEKA - PRICE TO BOOK VAL</t>
  </si>
  <si>
    <t>SERKO - PRICE TO BOOK VAL</t>
  </si>
  <si>
    <t>SKELLERUP HOLDINGS - PRICE TO BOOK VAL</t>
  </si>
  <si>
    <t>SKY CITY ENTM.GP. - PRICE TO BOOK VAL</t>
  </si>
  <si>
    <t>SKY NETWORK TELEVISION - PRICE TO BOOK VAL</t>
  </si>
  <si>
    <t>SMARTPAY HOLDINGS - PRICE TO BOOK VAL</t>
  </si>
  <si>
    <t>SMITHS CITY GROUP - PRICE TO BOOK VAL</t>
  </si>
  <si>
    <t>SNAKK MEDIA - PRICE TO BOOK VAL</t>
  </si>
  <si>
    <t>SOLUTION DYNAMICS - PRICE TO BOOK VAL</t>
  </si>
  <si>
    <t>SOUTH PORT NEW ZEALAND - PRICE TO BOOK VAL</t>
  </si>
  <si>
    <t>SOUTHERN CHARTER FINANCIAL GROUP - PRICE TO BOOK VAL</t>
  </si>
  <si>
    <t>SPARK NEW ZEALAND - PRICE TO BOOK VAL</t>
  </si>
  <si>
    <t>STEEL &amp; TUBE HOLDINGS - PRICE TO BOOK VAL</t>
  </si>
  <si>
    <t>STRIDE PR.&amp; STRIDE INVMGT. - PRICE TO BOOK VAL</t>
  </si>
  <si>
    <t>SUMMERSET GROUP HOLDINGS - PRICE TO BOOK VAL</t>
  </si>
  <si>
    <t>SYNLAIT MILK - PRICE TO BOOK VAL</t>
  </si>
  <si>
    <t>T&amp;G GLOBAL - PRICE TO BOOK VAL</t>
  </si>
  <si>
    <t>TEAMTALK - PRICE TO BOOK VAL</t>
  </si>
  <si>
    <t>THE A2 MILK COMPANY - PRICE TO BOOK VAL</t>
  </si>
  <si>
    <t>THE NEW ZEALAND REFINING COMPANY - PRICE TO BOOK VAL</t>
  </si>
  <si>
    <t>TIL LOGISTICS GROUP - PRICE TO BOOK VAL</t>
  </si>
  <si>
    <t>TILT RENEWABLES - PRICE TO BOOK VAL</t>
  </si>
  <si>
    <t>TOURISM HOLDINGS - PRICE TO BOOK VAL</t>
  </si>
  <si>
    <t>TOWER - PRICE TO BOOK VAL</t>
  </si>
  <si>
    <t>TRS INVESTMENTS - PRICE TO BOOK VAL</t>
  </si>
  <si>
    <t>TRUSTPOWER - PRICE TO BOOK VAL</t>
  </si>
  <si>
    <t>TURNERS AUTOMOTIVE GROUP - PRICE TO BOOK VAL</t>
  </si>
  <si>
    <t>VECTOR - PRICE TO BOOK VAL</t>
  </si>
  <si>
    <t>VISTA GROUP INTERNATIONAL - PRICE TO BOOK VAL</t>
  </si>
  <si>
    <t>VITAL HEALTHCARE PR.TST. - PRICE TO BOOK VAL</t>
  </si>
  <si>
    <t>WAREHOUSE GROUP - PRICE TO BOOK VAL</t>
  </si>
  <si>
    <t>WELLINGTON DRIVE TECHS. - PRICE TO BOOK VAL</t>
  </si>
  <si>
    <t>Z ENERGY - PRICE TO BOOK VAL</t>
  </si>
  <si>
    <t>ABANO HEALTHCARE GROUP - MARKET VALUE</t>
  </si>
  <si>
    <t>AFC GROUP HOLDINGS - MARKET VALUE</t>
  </si>
  <si>
    <t>AFT PHARMACEUTICALS - MARKET VALUE</t>
  </si>
  <si>
    <t>AIR NEW ZEALAND - MARKET VALUE</t>
  </si>
  <si>
    <t>ALLIED FARMERS - MARKET VALUE</t>
  </si>
  <si>
    <t>AORERE RESOURCES - MARKET VALUE</t>
  </si>
  <si>
    <t>ARGOSY PROPERTY - MARKET VALUE</t>
  </si>
  <si>
    <t>ARVIDA GROUP - MARKET VALUE</t>
  </si>
  <si>
    <t>ASSET PLUS - MARKET VALUE</t>
  </si>
  <si>
    <t>AUCKLAND INTL.AIRPORT - MARKET VALUE</t>
  </si>
  <si>
    <t>AUGUSTA CAPITAL - MARKET VALUE</t>
  </si>
  <si>
    <t>AWF MADISON GROUP - MARKET VALUE</t>
  </si>
  <si>
    <t>BARRAMUNDI - MARKET VALUE</t>
  </si>
  <si>
    <t>BLACKWELL GLOBAL HOLDINGS - MARKET VALUE</t>
  </si>
  <si>
    <t>BLIS TECHNOLOGIES - MARKET VALUE</t>
  </si>
  <si>
    <t>BRISCOE GROUP AUSTRALASIA - MARKET VALUE</t>
  </si>
  <si>
    <t>BURGER FUEL WORLDWIDE - MARKET VALUE</t>
  </si>
  <si>
    <t>CAVALIER - MARKET VALUE</t>
  </si>
  <si>
    <t>CDL INVESTMENTS NZ. - MARKET VALUE</t>
  </si>
  <si>
    <t>CHORUS - MARKET VALUE</t>
  </si>
  <si>
    <t>COLONIAL MOTOR - MARKET VALUE</t>
  </si>
  <si>
    <t>COMVITA - MARKET VALUE</t>
  </si>
  <si>
    <t>CONTACT ENERGY - MARKET VALUE</t>
  </si>
  <si>
    <t>COOKS GLOBAL FOODS - MARKET VALUE</t>
  </si>
  <si>
    <t>CSM GROUP - MARKET VALUE</t>
  </si>
  <si>
    <t>DELEGAT GROUP - MARKET VALUE</t>
  </si>
  <si>
    <t>EBOS GROUP - MARKET VALUE</t>
  </si>
  <si>
    <t>EROAD - MARKET VALUE</t>
  </si>
  <si>
    <t>EVOLVE EDUCATION GROUP - MARKET VALUE</t>
  </si>
  <si>
    <t>FINZSOFT SOLUTIONS - MARKET VALUE</t>
  </si>
  <si>
    <t>FISHER &amp; PAYKEL HLTHCR. - MARKET VALUE</t>
  </si>
  <si>
    <t>FLETCHER BUILDING - MARKET VALUE</t>
  </si>
  <si>
    <t>FOLEY WINES - MARKET VALUE</t>
  </si>
  <si>
    <t>FONTERRA COOPERATIVE GP. - MARKET VALUE</t>
  </si>
  <si>
    <t>FONTERRA SHAREHOLDERS FUND UNITS - MARKET VALUE</t>
  </si>
  <si>
    <t>FREIGHTWAYS - MARKET VALUE</t>
  </si>
  <si>
    <t>FUTURE MOBILITY SOLUTIONS - MARKET VALUE</t>
  </si>
  <si>
    <t>GENERAL CAPITAL - MARKET VALUE</t>
  </si>
  <si>
    <t>GENESIS ENERGY - MARKET VALUE</t>
  </si>
  <si>
    <t>GENEVA FINANCE - MARKET VALUE</t>
  </si>
  <si>
    <t>GEO - MARKET VALUE</t>
  </si>
  <si>
    <t>GOODMAN PROPERTY TRUST UNITS - MARKET VALUE</t>
  </si>
  <si>
    <t>GREEN CROSS HEALTH - MARKET VALUE</t>
  </si>
  <si>
    <t>HALLENSTEIN GLASSON HDG. - MARKET VALUE</t>
  </si>
  <si>
    <t>HEARTLAND GROUP HOLDINGS - MARKET VALUE</t>
  </si>
  <si>
    <t>IKEGPS GROUP - MARKET VALUE</t>
  </si>
  <si>
    <t>INFRATIL - MARKET VALUE</t>
  </si>
  <si>
    <t>INVESTORE PROPERTY - MARKET VALUE</t>
  </si>
  <si>
    <t>JUST LIFE GROUP - MARKET VALUE</t>
  </si>
  <si>
    <t>KIWI PROPERTY GROUP - MARKET VALUE</t>
  </si>
  <si>
    <t>LIVESTOCK IMPROVEMENT CORPORATION - MARKET VALUE</t>
  </si>
  <si>
    <t>MAINFREIGHT - MARKET VALUE</t>
  </si>
  <si>
    <t>MARLBOROUGH WINE ESTATES GROUP - MARKET VALUE</t>
  </si>
  <si>
    <t>MARLIN GLOBAL - MARKET VALUE</t>
  </si>
  <si>
    <t>MARSDEN MARITIME HDG. - MARKET VALUE</t>
  </si>
  <si>
    <t>MERCER GROUP - MARKET VALUE</t>
  </si>
  <si>
    <t>MERCURY NZ - MARKET VALUE</t>
  </si>
  <si>
    <t>MERIDIAN ENERGY - MARKET VALUE</t>
  </si>
  <si>
    <t>METLIFECARE - MARKET VALUE</t>
  </si>
  <si>
    <t>METRO PERFORMANCE GLASS - MARKET VALUE</t>
  </si>
  <si>
    <t>MLLM.&amp; CPTH.HTLS.NZ. - MARKET VALUE</t>
  </si>
  <si>
    <t>MOA GROUP - MARKET VALUE</t>
  </si>
  <si>
    <t>NEW TALISMAN GOLD MINES - MARKET VALUE</t>
  </si>
  <si>
    <t>NEW ZEALAND KING SALMON INVESTMENTS - MARKET VALUE</t>
  </si>
  <si>
    <t>NEW ZEALAND OIL AND GAS - MARKET VALUE</t>
  </si>
  <si>
    <t>NZ WINDFARMS - MARKET VALUE</t>
  </si>
  <si>
    <t>NZME - MARKET VALUE</t>
  </si>
  <si>
    <t>NZX - MARKET VALUE</t>
  </si>
  <si>
    <t>OCEANIA HEALTHCARE TECHNOLOGY INVESTMENTS - MARKET VALUE</t>
  </si>
  <si>
    <t>PACIFIC EDGE - MARKET VALUE</t>
  </si>
  <si>
    <t>PAYSAUCE - MARKET VALUE</t>
  </si>
  <si>
    <t>PGG WRIGHTSON - MARKET VALUE</t>
  </si>
  <si>
    <t>PLEXURE GROUP - MARKET VALUE</t>
  </si>
  <si>
    <t>PORT OF TAURANGA - MARKET VALUE</t>
  </si>
  <si>
    <t>PRECINCT PROPERTIES NEW ZEALAND - MARKET VALUE</t>
  </si>
  <si>
    <t>PROMISIA INTEGRATIVE - MARKET VALUE</t>
  </si>
  <si>
    <t>PROPERTY FOR INDUSTRY - MARKET VALUE</t>
  </si>
  <si>
    <t>PUSHPAY HOLDINGS - MARKET VALUE</t>
  </si>
  <si>
    <t>RAKON - MARKET VALUE</t>
  </si>
  <si>
    <t>RESTAURANT BRANDS NZ. - MARKET VALUE</t>
  </si>
  <si>
    <t>RUBICON - MARKET VALUE</t>
  </si>
  <si>
    <t>RYMAN HEALTHCARE - MARKET VALUE</t>
  </si>
  <si>
    <t>SANFORD - MARKET VALUE</t>
  </si>
  <si>
    <t>SCALES - MARKET VALUE</t>
  </si>
  <si>
    <t>SCOTT TECHNOLOGY - MARKET VALUE</t>
  </si>
  <si>
    <t>SEADRAGON - MARKET VALUE</t>
  </si>
  <si>
    <t>SEEKA - MARKET VALUE</t>
  </si>
  <si>
    <t>SERKO - MARKET VALUE</t>
  </si>
  <si>
    <t>SKELLERUP HOLDINGS - MARKET VALUE</t>
  </si>
  <si>
    <t>SKY CITY ENTM.GP. - MARKET VALUE</t>
  </si>
  <si>
    <t>SKY NETWORK TELEVISION - MARKET VALUE</t>
  </si>
  <si>
    <t>SMARTPAY HOLDINGS - MARKET VALUE</t>
  </si>
  <si>
    <t>SMITHS CITY GROUP - MARKET VALUE</t>
  </si>
  <si>
    <t>SNAKK MEDIA - MARKET VALUE</t>
  </si>
  <si>
    <t>SOLUTION DYNAMICS - MARKET VALUE</t>
  </si>
  <si>
    <t>SOUTH PORT NEW ZEALAND - MARKET VALUE</t>
  </si>
  <si>
    <t>SOUTHERN CHARTER FINANCIAL GROUP - MARKET VALUE</t>
  </si>
  <si>
    <t>SPARK NEW ZEALAND - MARKET VALUE</t>
  </si>
  <si>
    <t>STEEL &amp; TUBE HOLDINGS - MARKET VALUE</t>
  </si>
  <si>
    <t>STRIDE PR.&amp; STRIDE INVMGT. - MARKET VALUE</t>
  </si>
  <si>
    <t>SUMMERSET GROUP HOLDINGS - MARKET VALUE</t>
  </si>
  <si>
    <t>SYNLAIT MILK - MARKET VALUE</t>
  </si>
  <si>
    <t>T&amp;G GLOBAL - MARKET VALUE</t>
  </si>
  <si>
    <t>TEAMTALK - MARKET VALUE</t>
  </si>
  <si>
    <t>THE A2 MILK COMPANY - MARKET VALUE</t>
  </si>
  <si>
    <t>THE NEW ZEALAND REFINING COMPANY - MARKET VALUE</t>
  </si>
  <si>
    <t>TIL LOGISTICS GROUP - MARKET VALUE</t>
  </si>
  <si>
    <t>TILT RENEWABLES - MARKET VALUE</t>
  </si>
  <si>
    <t>TOURISM HOLDINGS - MARKET VALUE</t>
  </si>
  <si>
    <t>TOWER - MARKET VALUE</t>
  </si>
  <si>
    <t>TRS INVESTMENTS - MARKET VALUE</t>
  </si>
  <si>
    <t>TRUSTPOWER - MARKET VALUE</t>
  </si>
  <si>
    <t>TURNERS AUTOMOTIVE GROUP - MARKET VALUE</t>
  </si>
  <si>
    <t>VECTOR - MARKET VALUE</t>
  </si>
  <si>
    <t>VISTA GROUP INTERNATIONAL - MARKET VALUE</t>
  </si>
  <si>
    <t>VITAL HEALTHCARE PR.TST. - MARKET VALUE</t>
  </si>
  <si>
    <t>WAREHOUSE GROUP - MARKET VALUE</t>
  </si>
  <si>
    <t>WELLINGTON DRIVE TECHS. - MARKET VALUE</t>
  </si>
  <si>
    <t>Z ENERGY - MARKET VALUE</t>
  </si>
  <si>
    <t>NA</t>
  </si>
  <si>
    <t>24,495_x000D_</t>
  </si>
  <si>
    <t>2,061_x000D_</t>
  </si>
  <si>
    <t>16,065_x000D_</t>
  </si>
  <si>
    <t>396_x000D_</t>
  </si>
  <si>
    <t>5,973_x000D_</t>
  </si>
  <si>
    <t>630_x000D_</t>
  </si>
  <si>
    <t>5,343_x000D_</t>
  </si>
  <si>
    <t>1,651_x000D_</t>
  </si>
  <si>
    <t>3,692_x000D_</t>
  </si>
  <si>
    <t>number_companys</t>
  </si>
  <si>
    <t>number_months</t>
  </si>
  <si>
    <t>Total Return</t>
  </si>
  <si>
    <t>Average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</si>
</sst>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;[Red]\-&quot;$&quot;#,##0"/>
    <numFmt numFmtId="165" formatCode="&quot;$&quot;#,##0.00;[Red]\-&quot;$&quot;#,##0.00"/>
    <numFmt numFmtId="166" formatCode="&quot;$&quot;#,##0.00;[Red]&quot;$&quot;#,##0.00"/>
    <numFmt numFmtId="167" formatCode="0.0000%"/>
    <numFmt numFmtId="168" formatCode="0.0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539B"/>
      <name val="Arial"/>
      <family val="2"/>
    </font>
    <font>
      <sz val="11"/>
      <color rgb="FF424242"/>
      <name val="Arial"/>
      <family val="2"/>
    </font>
    <font>
      <b/>
      <sz val="11"/>
      <color rgb="FF424242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424242"/>
      <name val="Calibri"/>
      <family val="2"/>
      <scheme val="minor"/>
    </font>
    <font>
      <b/>
      <sz val="11"/>
      <color rgb="FF424242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indexed="39"/>
      <name val="Calibri"/>
      <family val="2"/>
    </font>
    <font>
      <sz val="18"/>
      <color indexed="39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Border="1"/>
    <xf numFmtId="164" fontId="0" fillId="0" borderId="0" xfId="0" applyNumberFormat="1"/>
    <xf numFmtId="0" fontId="6" fillId="0" borderId="0" xfId="0" applyFont="1" applyFill="1" applyBorder="1" applyAlignment="1">
      <alignment vertical="top" wrapText="1"/>
    </xf>
    <xf numFmtId="164" fontId="7" fillId="0" borderId="0" xfId="0" applyNumberFormat="1" applyFont="1" applyFill="1" applyBorder="1" applyAlignment="1">
      <alignment vertical="top" wrapText="1"/>
    </xf>
    <xf numFmtId="0" fontId="0" fillId="0" borderId="0" xfId="0" applyFill="1" applyBorder="1"/>
    <xf numFmtId="164" fontId="8" fillId="0" borderId="0" xfId="0" applyNumberFormat="1" applyFont="1" applyFill="1" applyBorder="1" applyAlignment="1">
      <alignment vertical="top" wrapText="1"/>
    </xf>
    <xf numFmtId="0" fontId="0" fillId="0" borderId="0" xfId="0" applyFont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3" fontId="0" fillId="0" borderId="0" xfId="0" applyNumberFormat="1" applyFont="1" applyFill="1" applyBorder="1" applyAlignment="1">
      <alignment horizontal="center" vertical="center"/>
    </xf>
    <xf numFmtId="3" fontId="11" fillId="0" borderId="0" xfId="0" applyNumberFormat="1" applyFont="1" applyFill="1" applyBorder="1" applyAlignment="1">
      <alignment horizontal="center" vertical="center" wrapText="1"/>
    </xf>
    <xf numFmtId="166" fontId="0" fillId="0" borderId="0" xfId="0" applyNumberFormat="1" applyFont="1" applyAlignment="1">
      <alignment horizontal="center" vertical="center"/>
    </xf>
    <xf numFmtId="166" fontId="0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Font="1" applyFill="1" applyBorder="1" applyAlignment="1">
      <alignment horizontal="center" vertical="center" wrapText="1"/>
    </xf>
    <xf numFmtId="166" fontId="0" fillId="0" borderId="0" xfId="0" applyNumberFormat="1" applyFont="1" applyBorder="1" applyAlignment="1">
      <alignment horizontal="center" vertical="center"/>
    </xf>
    <xf numFmtId="0" fontId="0" fillId="0" borderId="3" xfId="0" applyFont="1" applyBorder="1" applyAlignment="1">
      <alignment horizontal="left" vertical="center"/>
    </xf>
    <xf numFmtId="166" fontId="0" fillId="0" borderId="4" xfId="2" applyNumberFormat="1" applyFont="1" applyFill="1" applyBorder="1" applyAlignment="1">
      <alignment horizontal="center" vertical="center"/>
    </xf>
    <xf numFmtId="0" fontId="5" fillId="0" borderId="0" xfId="0" applyFont="1"/>
    <xf numFmtId="0" fontId="11" fillId="0" borderId="0" xfId="0" applyFont="1" applyFill="1" applyBorder="1" applyAlignment="1">
      <alignment horizontal="center" vertical="center" wrapText="1"/>
    </xf>
    <xf numFmtId="0" fontId="1" fillId="2" borderId="0" xfId="0" applyFont="1" applyFill="1"/>
    <xf numFmtId="0" fontId="0" fillId="2" borderId="0" xfId="0" applyFill="1"/>
    <xf numFmtId="167" fontId="0" fillId="2" borderId="0" xfId="0" applyNumberFormat="1" applyFill="1"/>
    <xf numFmtId="0" fontId="1" fillId="2" borderId="1" xfId="0" applyFont="1" applyFill="1" applyBorder="1"/>
    <xf numFmtId="0" fontId="0" fillId="2" borderId="1" xfId="0" applyFill="1" applyBorder="1"/>
    <xf numFmtId="168" fontId="0" fillId="2" borderId="0" xfId="0" applyNumberFormat="1" applyFill="1"/>
    <xf numFmtId="0" fontId="1" fillId="2" borderId="2" xfId="0" applyFont="1" applyFill="1" applyBorder="1" applyAlignment="1">
      <alignment horizontal="center" vertical="center"/>
    </xf>
    <xf numFmtId="167" fontId="0" fillId="2" borderId="2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0" fontId="15" fillId="2" borderId="0" xfId="0" applyFont="1" applyFill="1"/>
    <xf numFmtId="0" fontId="4" fillId="2" borderId="0" xfId="0" applyFont="1" applyFill="1"/>
    <xf numFmtId="0" fontId="0" fillId="2" borderId="0" xfId="0" applyFill="1" applyBorder="1"/>
    <xf numFmtId="0" fontId="0" fillId="2" borderId="0" xfId="0" applyFill="1" applyBorder="1" applyAlignment="1">
      <alignment horizontal="center" vertical="center"/>
    </xf>
    <xf numFmtId="0" fontId="0" fillId="3" borderId="7" xfId="0" applyFont="1" applyFill="1" applyBorder="1" applyAlignment="1">
      <alignment horizontal="left" vertical="center"/>
    </xf>
    <xf numFmtId="0" fontId="0" fillId="3" borderId="7" xfId="0" applyFont="1" applyFill="1" applyBorder="1" applyAlignment="1">
      <alignment horizontal="center" vertical="center"/>
    </xf>
    <xf numFmtId="3" fontId="1" fillId="3" borderId="7" xfId="0" applyNumberFormat="1" applyFont="1" applyFill="1" applyBorder="1" applyAlignment="1">
      <alignment horizontal="center" vertical="center" wrapText="1"/>
    </xf>
    <xf numFmtId="166" fontId="0" fillId="3" borderId="7" xfId="0" applyNumberFormat="1" applyFont="1" applyFill="1" applyBorder="1" applyAlignment="1">
      <alignment horizontal="center" vertical="center" wrapText="1"/>
    </xf>
    <xf numFmtId="3" fontId="0" fillId="3" borderId="7" xfId="0" applyNumberFormat="1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left" vertical="center"/>
    </xf>
    <xf numFmtId="166" fontId="1" fillId="3" borderId="7" xfId="0" applyNumberFormat="1" applyFont="1" applyFill="1" applyBorder="1" applyAlignment="1">
      <alignment horizontal="center" vertical="center" wrapText="1"/>
    </xf>
    <xf numFmtId="3" fontId="1" fillId="3" borderId="7" xfId="0" applyNumberFormat="1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3" borderId="7" xfId="0" applyFont="1" applyFill="1" applyBorder="1" applyAlignment="1">
      <alignment horizontal="center" vertical="center" wrapText="1"/>
    </xf>
    <xf numFmtId="166" fontId="0" fillId="3" borderId="7" xfId="0" applyNumberFormat="1" applyFont="1" applyFill="1" applyBorder="1" applyAlignment="1">
      <alignment horizontal="center" vertical="center"/>
    </xf>
    <xf numFmtId="0" fontId="15" fillId="4" borderId="7" xfId="0" applyFont="1" applyFill="1" applyBorder="1" applyAlignment="1">
      <alignment vertical="center"/>
    </xf>
    <xf numFmtId="14" fontId="15" fillId="4" borderId="7" xfId="0" applyNumberFormat="1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left" vertical="center"/>
    </xf>
    <xf numFmtId="166" fontId="1" fillId="5" borderId="7" xfId="0" applyNumberFormat="1" applyFont="1" applyFill="1" applyBorder="1" applyAlignment="1">
      <alignment horizontal="center" vertical="center" wrapText="1"/>
    </xf>
    <xf numFmtId="0" fontId="0" fillId="6" borderId="7" xfId="0" applyFont="1" applyFill="1" applyBorder="1" applyAlignment="1">
      <alignment horizontal="left" vertical="center"/>
    </xf>
    <xf numFmtId="166" fontId="1" fillId="6" borderId="7" xfId="0" applyNumberFormat="1" applyFont="1" applyFill="1" applyBorder="1" applyAlignment="1">
      <alignment horizontal="center" vertical="center"/>
    </xf>
    <xf numFmtId="0" fontId="0" fillId="7" borderId="7" xfId="0" applyFont="1" applyFill="1" applyBorder="1"/>
    <xf numFmtId="166" fontId="1" fillId="7" borderId="7" xfId="0" applyNumberFormat="1" applyFont="1" applyFill="1" applyBorder="1" applyAlignment="1">
      <alignment horizontal="center" vertical="center" wrapText="1"/>
    </xf>
    <xf numFmtId="0" fontId="0" fillId="5" borderId="0" xfId="0" applyFill="1" applyBorder="1"/>
    <xf numFmtId="0" fontId="5" fillId="5" borderId="0" xfId="0" applyFont="1" applyFill="1" applyBorder="1"/>
    <xf numFmtId="0" fontId="0" fillId="5" borderId="5" xfId="0" applyFill="1" applyBorder="1"/>
    <xf numFmtId="0" fontId="0" fillId="5" borderId="1" xfId="0" applyFill="1" applyBorder="1"/>
    <xf numFmtId="0" fontId="0" fillId="5" borderId="6" xfId="0" applyFill="1" applyBorder="1"/>
    <xf numFmtId="0" fontId="0" fillId="5" borderId="0" xfId="0" applyFill="1"/>
    <xf numFmtId="0" fontId="0" fillId="5" borderId="0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0" fillId="9" borderId="0" xfId="0" applyFill="1"/>
    <xf numFmtId="0" fontId="3" fillId="9" borderId="0" xfId="0" applyFont="1" applyFill="1" applyAlignment="1">
      <alignment horizontal="center" vertical="center"/>
    </xf>
    <xf numFmtId="10" fontId="3" fillId="9" borderId="0" xfId="1" applyNumberFormat="1" applyFont="1" applyFill="1" applyAlignment="1">
      <alignment horizontal="center" vertical="center"/>
    </xf>
    <xf numFmtId="10" fontId="0" fillId="9" borderId="0" xfId="1" applyNumberFormat="1" applyFont="1" applyFill="1"/>
    <xf numFmtId="0" fontId="4" fillId="9" borderId="7" xfId="0" applyFont="1" applyFill="1" applyBorder="1" applyAlignment="1">
      <alignment horizontal="center"/>
    </xf>
    <xf numFmtId="10" fontId="0" fillId="9" borderId="7" xfId="1" applyNumberFormat="1" applyFont="1" applyFill="1" applyBorder="1" applyAlignment="1">
      <alignment horizontal="center" vertical="center"/>
    </xf>
    <xf numFmtId="10" fontId="3" fillId="9" borderId="7" xfId="1" applyNumberFormat="1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10" borderId="0" xfId="0" applyFill="1"/>
    <xf numFmtId="0" fontId="0" fillId="11" borderId="0" xfId="0" applyFill="1"/>
  </cellXfs>
  <cellStyles count="3">
    <cellStyle name="Hyperlink" xfId="2" builtinId="8"/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6699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013568025977635E-2"/>
          <c:y val="0.11659955257270695"/>
          <c:w val="0.80831211476497666"/>
          <c:h val="0.73699237259772055"/>
        </c:manualLayout>
      </c:layout>
      <c:lineChart>
        <c:grouping val="standard"/>
        <c:varyColors val="0"/>
        <c:ser>
          <c:idx val="0"/>
          <c:order val="0"/>
          <c:tx>
            <c:v>Trading Strategy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'Trading Strategy'!$A$2:$A$41</c:f>
              <c:strCache>
                <c:ptCount val="40"/>
                <c:pt idx="0">
                  <c:v>2015/09</c:v>
                </c:pt>
                <c:pt idx="1">
                  <c:v>2015/10</c:v>
                </c:pt>
                <c:pt idx="2">
                  <c:v>2015/11</c:v>
                </c:pt>
                <c:pt idx="3">
                  <c:v>2015/12</c:v>
                </c:pt>
                <c:pt idx="4">
                  <c:v>2016/01</c:v>
                </c:pt>
                <c:pt idx="5">
                  <c:v>2016/02</c:v>
                </c:pt>
                <c:pt idx="6">
                  <c:v>2016/03</c:v>
                </c:pt>
                <c:pt idx="7">
                  <c:v>2016/04</c:v>
                </c:pt>
                <c:pt idx="8">
                  <c:v>2016/05</c:v>
                </c:pt>
                <c:pt idx="9">
                  <c:v>2016/06</c:v>
                </c:pt>
                <c:pt idx="10">
                  <c:v>2016/07</c:v>
                </c:pt>
                <c:pt idx="11">
                  <c:v>2016/08</c:v>
                </c:pt>
                <c:pt idx="12">
                  <c:v>2016/09</c:v>
                </c:pt>
                <c:pt idx="13">
                  <c:v>2016/10</c:v>
                </c:pt>
                <c:pt idx="14">
                  <c:v>2016/11</c:v>
                </c:pt>
                <c:pt idx="15">
                  <c:v>2016/12</c:v>
                </c:pt>
                <c:pt idx="16">
                  <c:v>2017/01</c:v>
                </c:pt>
                <c:pt idx="17">
                  <c:v>2017/02</c:v>
                </c:pt>
                <c:pt idx="18">
                  <c:v>2017/03</c:v>
                </c:pt>
                <c:pt idx="19">
                  <c:v>2017/04</c:v>
                </c:pt>
                <c:pt idx="20">
                  <c:v>2017/05</c:v>
                </c:pt>
                <c:pt idx="21">
                  <c:v>2017/06</c:v>
                </c:pt>
                <c:pt idx="22">
                  <c:v>2017/07</c:v>
                </c:pt>
                <c:pt idx="23">
                  <c:v>2017/08</c:v>
                </c:pt>
                <c:pt idx="24">
                  <c:v>2017/09</c:v>
                </c:pt>
                <c:pt idx="25">
                  <c:v>2017/10</c:v>
                </c:pt>
                <c:pt idx="26">
                  <c:v>2017/11</c:v>
                </c:pt>
                <c:pt idx="27">
                  <c:v>2017/12</c:v>
                </c:pt>
                <c:pt idx="28">
                  <c:v>2018/01</c:v>
                </c:pt>
                <c:pt idx="29">
                  <c:v>2018/02</c:v>
                </c:pt>
                <c:pt idx="30">
                  <c:v>2018/03</c:v>
                </c:pt>
                <c:pt idx="31">
                  <c:v>2018/04</c:v>
                </c:pt>
                <c:pt idx="32">
                  <c:v>2018/05</c:v>
                </c:pt>
                <c:pt idx="33">
                  <c:v>2018/06</c:v>
                </c:pt>
                <c:pt idx="34">
                  <c:v>2018/07</c:v>
                </c:pt>
                <c:pt idx="35">
                  <c:v>2018/08</c:v>
                </c:pt>
                <c:pt idx="36">
                  <c:v>2018/09</c:v>
                </c:pt>
                <c:pt idx="37">
                  <c:v>2018/10</c:v>
                </c:pt>
                <c:pt idx="38">
                  <c:v>2018/11</c:v>
                </c:pt>
                <c:pt idx="39">
                  <c:v>2018/12</c:v>
                </c:pt>
              </c:strCache>
            </c:strRef>
          </c:cat>
          <c:val>
            <c:numRef>
              <c:f>'Trading Strategy'!$B$2:$B$41</c:f>
              <c:numCache>
                <c:formatCode>0.00%</c:formatCode>
                <c:ptCount val="40"/>
                <c:pt idx="0">
                  <c:v>-3.4465458264015265E-2</c:v>
                </c:pt>
                <c:pt idx="1">
                  <c:v>4.6379476854315649E-2</c:v>
                </c:pt>
                <c:pt idx="2">
                  <c:v>-1.5927784319156021E-2</c:v>
                </c:pt>
                <c:pt idx="3">
                  <c:v>8.5855205992206357E-4</c:v>
                </c:pt>
                <c:pt idx="4">
                  <c:v>3.312882479089501E-2</c:v>
                </c:pt>
                <c:pt idx="5">
                  <c:v>2.0016332016083143E-2</c:v>
                </c:pt>
                <c:pt idx="6">
                  <c:v>-2.1173632646030741E-2</c:v>
                </c:pt>
                <c:pt idx="7">
                  <c:v>-4.2519264512980132E-2</c:v>
                </c:pt>
                <c:pt idx="8">
                  <c:v>-1.2662736854251186E-2</c:v>
                </c:pt>
                <c:pt idx="9">
                  <c:v>4.3829613599888274E-2</c:v>
                </c:pt>
                <c:pt idx="10">
                  <c:v>5.9244036745544223E-2</c:v>
                </c:pt>
                <c:pt idx="11">
                  <c:v>-4.3221898804595878E-3</c:v>
                </c:pt>
                <c:pt idx="12">
                  <c:v>3.8580201158702948E-2</c:v>
                </c:pt>
                <c:pt idx="13">
                  <c:v>-3.2891012217182256E-2</c:v>
                </c:pt>
                <c:pt idx="14">
                  <c:v>4.5294982166933485E-2</c:v>
                </c:pt>
                <c:pt idx="15">
                  <c:v>-9.9643963646286235E-2</c:v>
                </c:pt>
                <c:pt idx="16">
                  <c:v>1.6208920902020793E-2</c:v>
                </c:pt>
                <c:pt idx="17">
                  <c:v>-5.2399298867799565E-2</c:v>
                </c:pt>
                <c:pt idx="18">
                  <c:v>-1.0198562490124905E-2</c:v>
                </c:pt>
                <c:pt idx="19">
                  <c:v>3.6713846660112098E-2</c:v>
                </c:pt>
                <c:pt idx="20">
                  <c:v>-3.0652670746633817E-2</c:v>
                </c:pt>
                <c:pt idx="21">
                  <c:v>5.9367680276705874E-3</c:v>
                </c:pt>
                <c:pt idx="22">
                  <c:v>-4.203691045137968E-2</c:v>
                </c:pt>
                <c:pt idx="23">
                  <c:v>3.0935626855192674E-2</c:v>
                </c:pt>
                <c:pt idx="24">
                  <c:v>4.600993410351277E-2</c:v>
                </c:pt>
                <c:pt idx="25">
                  <c:v>6.0274927774198767E-2</c:v>
                </c:pt>
                <c:pt idx="26">
                  <c:v>6.739417437738043E-3</c:v>
                </c:pt>
                <c:pt idx="27">
                  <c:v>3.5155411958826349E-2</c:v>
                </c:pt>
                <c:pt idx="28">
                  <c:v>-2.3175630926366136E-2</c:v>
                </c:pt>
                <c:pt idx="29">
                  <c:v>4.5755656147581397E-2</c:v>
                </c:pt>
                <c:pt idx="30">
                  <c:v>-8.3590785829744385E-4</c:v>
                </c:pt>
                <c:pt idx="31">
                  <c:v>-1.7357572306989547E-2</c:v>
                </c:pt>
                <c:pt idx="32">
                  <c:v>-4.5491022834611107E-3</c:v>
                </c:pt>
                <c:pt idx="33">
                  <c:v>6.5034834650631833E-3</c:v>
                </c:pt>
                <c:pt idx="34">
                  <c:v>1.6441628586053695E-3</c:v>
                </c:pt>
                <c:pt idx="35">
                  <c:v>5.8623263262711139E-2</c:v>
                </c:pt>
                <c:pt idx="36">
                  <c:v>3.1313289450579006E-2</c:v>
                </c:pt>
                <c:pt idx="37">
                  <c:v>6.2349251143390856E-3</c:v>
                </c:pt>
                <c:pt idx="38">
                  <c:v>1.4255663024117836E-2</c:v>
                </c:pt>
                <c:pt idx="39">
                  <c:v>1.2E-2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B-4F66-BCE7-ED3BFF340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598608"/>
        <c:axId val="705597888"/>
      </c:lineChart>
      <c:catAx>
        <c:axId val="7055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597888"/>
        <c:crosses val="autoZero"/>
        <c:auto val="1"/>
        <c:lblAlgn val="ctr"/>
        <c:lblOffset val="100"/>
        <c:noMultiLvlLbl val="1"/>
      </c:catAx>
      <c:valAx>
        <c:axId val="70559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From the Trading Strategy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59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4">
          <a:lumMod val="20000"/>
          <a:lumOff val="80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500" dropStyle="combo" dx="16" fmlaLink="$C$14" fmlaRange="Ticker!$A$2:$A$3250" sel="548" val="533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161925</xdr:rowOff>
    </xdr:from>
    <xdr:to>
      <xdr:col>18</xdr:col>
      <xdr:colOff>10296</xdr:colOff>
      <xdr:row>23</xdr:row>
      <xdr:rowOff>123568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25</xdr:row>
          <xdr:rowOff>160020</xdr:rowOff>
        </xdr:from>
        <xdr:to>
          <xdr:col>8</xdr:col>
          <xdr:colOff>463379</xdr:colOff>
          <xdr:row>31</xdr:row>
          <xdr:rowOff>144162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Press Here for Returns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370703</xdr:colOff>
          <xdr:row>26</xdr:row>
          <xdr:rowOff>20595</xdr:rowOff>
        </xdr:from>
        <xdr:to>
          <xdr:col>12</xdr:col>
          <xdr:colOff>247135</xdr:colOff>
          <xdr:row>31</xdr:row>
          <xdr:rowOff>175053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Press Here for Previous Averages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113270</xdr:colOff>
          <xdr:row>26</xdr:row>
          <xdr:rowOff>30891</xdr:rowOff>
        </xdr:from>
        <xdr:to>
          <xdr:col>16</xdr:col>
          <xdr:colOff>82377</xdr:colOff>
          <xdr:row>32</xdr:row>
          <xdr:rowOff>-1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Press Here for Previous Performances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576648</xdr:colOff>
          <xdr:row>26</xdr:row>
          <xdr:rowOff>30892</xdr:rowOff>
        </xdr:from>
        <xdr:to>
          <xdr:col>19</xdr:col>
          <xdr:colOff>133864</xdr:colOff>
          <xdr:row>31</xdr:row>
          <xdr:rowOff>133865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Press Here For Trading Stratergy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463378</xdr:colOff>
          <xdr:row>25</xdr:row>
          <xdr:rowOff>175054</xdr:rowOff>
        </xdr:from>
        <xdr:to>
          <xdr:col>22</xdr:col>
          <xdr:colOff>257431</xdr:colOff>
          <xdr:row>31</xdr:row>
          <xdr:rowOff>144162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Press Here to Clear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15</xdr:row>
          <xdr:rowOff>144779</xdr:rowOff>
        </xdr:from>
        <xdr:to>
          <xdr:col>3</xdr:col>
          <xdr:colOff>601980</xdr:colOff>
          <xdr:row>21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Press here to shift to Returns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20594</xdr:rowOff>
        </xdr:from>
        <xdr:to>
          <xdr:col>3</xdr:col>
          <xdr:colOff>579120</xdr:colOff>
          <xdr:row>14</xdr:row>
          <xdr:rowOff>182880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Press here  to Shift to prices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23</xdr:row>
          <xdr:rowOff>133864</xdr:rowOff>
        </xdr:from>
        <xdr:to>
          <xdr:col>3</xdr:col>
          <xdr:colOff>601980</xdr:colOff>
          <xdr:row>29</xdr:row>
          <xdr:rowOff>30891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This will take you to average returns 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14</xdr:row>
          <xdr:rowOff>76200</xdr:rowOff>
        </xdr:from>
        <xdr:to>
          <xdr:col>4</xdr:col>
          <xdr:colOff>601980</xdr:colOff>
          <xdr:row>16</xdr:row>
          <xdr:rowOff>160020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9</xdr:row>
          <xdr:rowOff>60960</xdr:rowOff>
        </xdr:from>
        <xdr:to>
          <xdr:col>4</xdr:col>
          <xdr:colOff>579120</xdr:colOff>
          <xdr:row>10</xdr:row>
          <xdr:rowOff>45720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6</xdr:row>
          <xdr:rowOff>53340</xdr:rowOff>
        </xdr:from>
        <xdr:to>
          <xdr:col>5</xdr:col>
          <xdr:colOff>175260</xdr:colOff>
          <xdr:row>11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BD83192F-CAF7-4665-93F1-5C5D1A4F9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Mean-Stvd-ExcessReturn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12</xdr:row>
          <xdr:rowOff>15240</xdr:rowOff>
        </xdr:from>
        <xdr:to>
          <xdr:col>5</xdr:col>
          <xdr:colOff>205740</xdr:colOff>
          <xdr:row>16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8ED2426-897E-4C8B-AE5F-6D2C4086F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Monthly variance-Covariance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6</xdr:row>
          <xdr:rowOff>22860</xdr:rowOff>
        </xdr:from>
        <xdr:to>
          <xdr:col>10</xdr:col>
          <xdr:colOff>236220</xdr:colOff>
          <xdr:row>11</xdr:row>
          <xdr:rowOff>60960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AAC35924-6FFF-497D-B72D-EDB10E671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Shift to Sheet "Data_1"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12</xdr:row>
          <xdr:rowOff>0</xdr:rowOff>
        </xdr:from>
        <xdr:to>
          <xdr:col>10</xdr:col>
          <xdr:colOff>266700</xdr:colOff>
          <xdr:row>16</xdr:row>
          <xdr:rowOff>121920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73D7240F-7B38-4F94-90B4-CEE3FD241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Shift to Sheet "Data_2"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5443-F1F3-4A61-812D-4E82FD66F2BD}">
  <sheetPr codeName="Sheet10"/>
  <dimension ref="A1:DP63"/>
  <sheetViews>
    <sheetView workbookViewId="0">
      <selection activeCell="D6" sqref="D6"/>
    </sheetView>
  </sheetViews>
  <sheetFormatPr defaultRowHeight="14.4" x14ac:dyDescent="0.3"/>
  <sheetData>
    <row r="1" spans="1:120" x14ac:dyDescent="0.3">
      <c r="A1" s="63" t="s">
        <v>0</v>
      </c>
      <c r="B1" s="62" t="s">
        <v>8965</v>
      </c>
      <c r="C1" s="62" t="s">
        <v>8966</v>
      </c>
      <c r="D1" s="62" t="s">
        <v>8967</v>
      </c>
      <c r="E1" s="62" t="s">
        <v>8894</v>
      </c>
      <c r="F1" s="62" t="s">
        <v>8895</v>
      </c>
      <c r="G1" s="62" t="s">
        <v>8968</v>
      </c>
      <c r="H1" s="62" t="s">
        <v>8896</v>
      </c>
      <c r="I1" s="62" t="s">
        <v>8969</v>
      </c>
      <c r="J1" s="62" t="s">
        <v>8970</v>
      </c>
      <c r="K1" s="62" t="s">
        <v>8897</v>
      </c>
      <c r="L1" s="62" t="s">
        <v>8898</v>
      </c>
      <c r="M1" s="62" t="s">
        <v>8899</v>
      </c>
      <c r="N1" s="62" t="s">
        <v>8971</v>
      </c>
      <c r="O1" s="62" t="s">
        <v>8972</v>
      </c>
      <c r="P1" s="62" t="s">
        <v>8973</v>
      </c>
      <c r="Q1" s="62" t="s">
        <v>8974</v>
      </c>
      <c r="R1" s="62" t="s">
        <v>8975</v>
      </c>
      <c r="S1" s="62" t="s">
        <v>8900</v>
      </c>
      <c r="T1" s="62" t="s">
        <v>8901</v>
      </c>
      <c r="U1" s="62" t="s">
        <v>8902</v>
      </c>
      <c r="V1" s="62" t="s">
        <v>8903</v>
      </c>
      <c r="W1" s="62" t="s">
        <v>8904</v>
      </c>
      <c r="X1" s="62" t="s">
        <v>8905</v>
      </c>
      <c r="Y1" s="62" t="s">
        <v>8976</v>
      </c>
      <c r="Z1" s="62" t="s">
        <v>8977</v>
      </c>
      <c r="AA1" s="62" t="s">
        <v>8906</v>
      </c>
      <c r="AB1" s="62" t="s">
        <v>8907</v>
      </c>
      <c r="AC1" s="62" t="s">
        <v>8978</v>
      </c>
      <c r="AD1" s="62" t="s">
        <v>8979</v>
      </c>
      <c r="AE1" s="62" t="s">
        <v>8908</v>
      </c>
      <c r="AF1" s="62" t="s">
        <v>8909</v>
      </c>
      <c r="AG1" s="62" t="s">
        <v>8910</v>
      </c>
      <c r="AH1" s="62" t="s">
        <v>8980</v>
      </c>
      <c r="AI1" s="62" t="s">
        <v>8981</v>
      </c>
      <c r="AJ1" s="62" t="s">
        <v>8911</v>
      </c>
      <c r="AK1" s="62" t="s">
        <v>8912</v>
      </c>
      <c r="AL1" s="62" t="s">
        <v>8982</v>
      </c>
      <c r="AM1" s="62" t="s">
        <v>8983</v>
      </c>
      <c r="AN1" s="62" t="s">
        <v>8984</v>
      </c>
      <c r="AO1" s="62" t="s">
        <v>8985</v>
      </c>
      <c r="AP1" s="62" t="s">
        <v>8986</v>
      </c>
      <c r="AQ1" s="62" t="s">
        <v>8913</v>
      </c>
      <c r="AR1" s="62" t="s">
        <v>8914</v>
      </c>
      <c r="AS1" s="62" t="s">
        <v>8915</v>
      </c>
      <c r="AT1" s="62" t="s">
        <v>8987</v>
      </c>
      <c r="AU1" s="62" t="s">
        <v>8988</v>
      </c>
      <c r="AV1" s="62" t="s">
        <v>8916</v>
      </c>
      <c r="AW1" s="62" t="s">
        <v>8989</v>
      </c>
      <c r="AX1" s="62" t="s">
        <v>8990</v>
      </c>
      <c r="AY1" s="62" t="s">
        <v>8917</v>
      </c>
      <c r="AZ1" s="62" t="s">
        <v>8991</v>
      </c>
      <c r="BA1" s="62" t="s">
        <v>8918</v>
      </c>
      <c r="BB1" s="62" t="s">
        <v>8992</v>
      </c>
      <c r="BC1" s="62" t="s">
        <v>8993</v>
      </c>
      <c r="BD1" s="62" t="s">
        <v>8919</v>
      </c>
      <c r="BE1" s="62" t="s">
        <v>8920</v>
      </c>
      <c r="BF1" s="62" t="s">
        <v>8994</v>
      </c>
      <c r="BG1" s="62" t="s">
        <v>8995</v>
      </c>
      <c r="BH1" s="62" t="s">
        <v>8921</v>
      </c>
      <c r="BI1" s="62" t="s">
        <v>8996</v>
      </c>
      <c r="BJ1" s="62" t="s">
        <v>8922</v>
      </c>
      <c r="BK1" s="62" t="s">
        <v>8997</v>
      </c>
      <c r="BL1" s="62" t="s">
        <v>8998</v>
      </c>
      <c r="BM1" s="62" t="s">
        <v>8999</v>
      </c>
      <c r="BN1" s="62" t="s">
        <v>8923</v>
      </c>
      <c r="BO1" s="62" t="s">
        <v>8924</v>
      </c>
      <c r="BP1" s="62" t="s">
        <v>9000</v>
      </c>
      <c r="BQ1" s="62" t="s">
        <v>8925</v>
      </c>
      <c r="BR1" s="62" t="s">
        <v>9001</v>
      </c>
      <c r="BS1" s="62" t="s">
        <v>8926</v>
      </c>
      <c r="BT1" s="62" t="s">
        <v>9002</v>
      </c>
      <c r="BU1" s="62" t="s">
        <v>8927</v>
      </c>
      <c r="BV1" s="62" t="s">
        <v>8928</v>
      </c>
      <c r="BW1" s="62" t="s">
        <v>8929</v>
      </c>
      <c r="BX1" s="62" t="s">
        <v>8930</v>
      </c>
      <c r="BY1" s="62" t="s">
        <v>9003</v>
      </c>
      <c r="BZ1" s="62" t="s">
        <v>8931</v>
      </c>
      <c r="CA1" s="62" t="s">
        <v>9004</v>
      </c>
      <c r="CB1" s="62" t="s">
        <v>8932</v>
      </c>
      <c r="CC1" s="62" t="s">
        <v>8933</v>
      </c>
      <c r="CD1" s="62" t="s">
        <v>8934</v>
      </c>
      <c r="CE1" s="62" t="s">
        <v>8935</v>
      </c>
      <c r="CF1" s="62" t="s">
        <v>8936</v>
      </c>
      <c r="CG1" s="62" t="s">
        <v>9005</v>
      </c>
      <c r="CH1" s="62" t="s">
        <v>8937</v>
      </c>
      <c r="CI1" s="62" t="s">
        <v>9006</v>
      </c>
      <c r="CJ1" s="62" t="s">
        <v>8938</v>
      </c>
      <c r="CK1" s="62" t="s">
        <v>9007</v>
      </c>
      <c r="CL1" s="62" t="s">
        <v>8939</v>
      </c>
      <c r="CM1" s="62" t="s">
        <v>8940</v>
      </c>
      <c r="CN1" s="62" t="s">
        <v>8941</v>
      </c>
      <c r="CO1" s="62" t="s">
        <v>8942</v>
      </c>
      <c r="CP1" s="62" t="s">
        <v>8943</v>
      </c>
      <c r="CQ1" s="62" t="s">
        <v>9008</v>
      </c>
      <c r="CR1" s="62" t="s">
        <v>9009</v>
      </c>
      <c r="CS1" s="62" t="s">
        <v>8944</v>
      </c>
      <c r="CT1" s="62" t="s">
        <v>9010</v>
      </c>
      <c r="CU1" s="62" t="s">
        <v>8945</v>
      </c>
      <c r="CV1" s="62" t="s">
        <v>8946</v>
      </c>
      <c r="CW1" s="62" t="s">
        <v>9011</v>
      </c>
      <c r="CX1" s="62" t="s">
        <v>8947</v>
      </c>
      <c r="CY1" s="62" t="s">
        <v>9012</v>
      </c>
      <c r="CZ1" s="62" t="s">
        <v>8948</v>
      </c>
      <c r="DA1" s="62" t="s">
        <v>8949</v>
      </c>
      <c r="DB1" s="62" t="s">
        <v>9013</v>
      </c>
      <c r="DC1" s="62" t="s">
        <v>9014</v>
      </c>
      <c r="DD1" s="62" t="s">
        <v>9015</v>
      </c>
      <c r="DE1" s="62" t="s">
        <v>9016</v>
      </c>
      <c r="DF1" s="62" t="s">
        <v>8950</v>
      </c>
      <c r="DG1" s="62" t="s">
        <v>8951</v>
      </c>
      <c r="DH1" s="62" t="s">
        <v>9017</v>
      </c>
      <c r="DI1" s="62" t="s">
        <v>9018</v>
      </c>
      <c r="DJ1" s="62" t="s">
        <v>9019</v>
      </c>
      <c r="DK1" s="62" t="s">
        <v>8952</v>
      </c>
      <c r="DL1" s="62" t="s">
        <v>9020</v>
      </c>
      <c r="DM1" s="62" t="s">
        <v>8953</v>
      </c>
      <c r="DN1" s="62" t="s">
        <v>8954</v>
      </c>
      <c r="DO1" s="62" t="s">
        <v>8955</v>
      </c>
      <c r="DP1" s="62" t="s">
        <v>9021</v>
      </c>
    </row>
    <row r="2" spans="1:120" x14ac:dyDescent="0.3">
      <c r="A2" s="64" t="s">
        <v>9044</v>
      </c>
      <c r="B2" s="62">
        <v>6.59</v>
      </c>
      <c r="C2" s="62">
        <v>0</v>
      </c>
      <c r="D2" s="62"/>
      <c r="E2" s="62">
        <v>1.65</v>
      </c>
      <c r="F2" s="62">
        <v>0.05</v>
      </c>
      <c r="G2" s="62">
        <v>0.01</v>
      </c>
      <c r="H2" s="62">
        <v>0.93</v>
      </c>
      <c r="I2" s="62"/>
      <c r="J2" s="62">
        <v>0.6</v>
      </c>
      <c r="K2" s="62">
        <v>3.54</v>
      </c>
      <c r="L2" s="62">
        <v>0.76</v>
      </c>
      <c r="M2" s="62">
        <v>2.96</v>
      </c>
      <c r="N2" s="62">
        <v>0.72</v>
      </c>
      <c r="O2" s="62">
        <v>0.01</v>
      </c>
      <c r="P2" s="62">
        <v>0.02</v>
      </c>
      <c r="Q2" s="62">
        <v>2.38</v>
      </c>
      <c r="R2" s="62">
        <v>1.56</v>
      </c>
      <c r="S2" s="62">
        <v>1.83</v>
      </c>
      <c r="T2" s="62">
        <v>0.55000000000000004</v>
      </c>
      <c r="U2" s="62">
        <v>2.62</v>
      </c>
      <c r="V2" s="62">
        <v>4.9400000000000004</v>
      </c>
      <c r="W2" s="62">
        <v>3.59</v>
      </c>
      <c r="X2" s="62">
        <v>5.2</v>
      </c>
      <c r="Y2" s="62">
        <v>0.2</v>
      </c>
      <c r="Z2" s="62">
        <v>0.01</v>
      </c>
      <c r="AA2" s="62">
        <v>3.75</v>
      </c>
      <c r="AB2" s="62">
        <v>9.64</v>
      </c>
      <c r="AC2" s="62"/>
      <c r="AD2" s="62"/>
      <c r="AE2" s="62">
        <v>0.42</v>
      </c>
      <c r="AF2" s="62">
        <v>3.71</v>
      </c>
      <c r="AG2" s="62">
        <v>9.41</v>
      </c>
      <c r="AH2" s="62">
        <v>1.6</v>
      </c>
      <c r="AI2" s="62">
        <v>6.9</v>
      </c>
      <c r="AJ2" s="62">
        <v>4.4000000000000004</v>
      </c>
      <c r="AK2" s="62">
        <v>0.18</v>
      </c>
      <c r="AL2" s="62">
        <v>0.24</v>
      </c>
      <c r="AM2" s="62"/>
      <c r="AN2" s="62">
        <v>0.3</v>
      </c>
      <c r="AO2" s="62">
        <v>4.83</v>
      </c>
      <c r="AP2" s="62">
        <v>1.02</v>
      </c>
      <c r="AQ2" s="62">
        <v>1.26</v>
      </c>
      <c r="AR2" s="62">
        <v>4.92</v>
      </c>
      <c r="AS2" s="62">
        <v>0.84</v>
      </c>
      <c r="AT2" s="62"/>
      <c r="AU2" s="62">
        <v>2.5</v>
      </c>
      <c r="AV2" s="62"/>
      <c r="AW2" s="62">
        <v>0.12</v>
      </c>
      <c r="AX2" s="62">
        <v>1.08</v>
      </c>
      <c r="AY2" s="62">
        <v>6.2</v>
      </c>
      <c r="AZ2" s="62">
        <v>11.7</v>
      </c>
      <c r="BA2" s="62"/>
      <c r="BB2" s="62">
        <v>0.78</v>
      </c>
      <c r="BC2" s="62">
        <v>2.85</v>
      </c>
      <c r="BD2" s="62">
        <v>4.03</v>
      </c>
      <c r="BE2" s="62">
        <v>2.2400000000000002</v>
      </c>
      <c r="BF2" s="62">
        <v>1.59</v>
      </c>
      <c r="BG2" s="62">
        <v>4.08</v>
      </c>
      <c r="BH2" s="62"/>
      <c r="BI2" s="62">
        <v>0.75</v>
      </c>
      <c r="BJ2" s="62">
        <v>0.68</v>
      </c>
      <c r="BK2" s="62">
        <v>0.01</v>
      </c>
      <c r="BL2" s="62"/>
      <c r="BM2" s="62">
        <v>2.0699999999999998</v>
      </c>
      <c r="BN2" s="62">
        <v>7.0000000000000007E-2</v>
      </c>
      <c r="BO2" s="62"/>
      <c r="BP2" s="62">
        <v>1.28</v>
      </c>
      <c r="BQ2" s="62"/>
      <c r="BR2" s="62">
        <v>1.1499999999999999</v>
      </c>
      <c r="BS2" s="62">
        <v>0.28999999999999998</v>
      </c>
      <c r="BT2" s="62">
        <v>0.43</v>
      </c>
      <c r="BU2" s="62">
        <v>0.87</v>
      </c>
      <c r="BV2" s="62">
        <v>2.75</v>
      </c>
      <c r="BW2" s="62">
        <v>0.99</v>
      </c>
      <c r="BX2" s="62">
        <v>0.01</v>
      </c>
      <c r="BY2" s="62">
        <v>1.3</v>
      </c>
      <c r="BZ2" s="62"/>
      <c r="CA2" s="62">
        <v>0.22</v>
      </c>
      <c r="CB2" s="62">
        <v>2.9</v>
      </c>
      <c r="CC2" s="62">
        <v>0.35</v>
      </c>
      <c r="CD2" s="62">
        <v>7.57</v>
      </c>
      <c r="CE2" s="62">
        <v>4.57</v>
      </c>
      <c r="CF2" s="62"/>
      <c r="CG2" s="62">
        <v>2.1800000000000002</v>
      </c>
      <c r="CH2" s="62">
        <v>0.02</v>
      </c>
      <c r="CI2" s="62">
        <v>1.64</v>
      </c>
      <c r="CJ2" s="62"/>
      <c r="CK2" s="62">
        <v>1.71</v>
      </c>
      <c r="CL2" s="62">
        <v>3.85</v>
      </c>
      <c r="CM2" s="62">
        <v>6.16</v>
      </c>
      <c r="CN2" s="62">
        <v>0.35</v>
      </c>
      <c r="CO2" s="62">
        <v>0.64</v>
      </c>
      <c r="CP2" s="62">
        <v>2</v>
      </c>
      <c r="CQ2" s="62">
        <v>0.27</v>
      </c>
      <c r="CR2" s="62">
        <v>3.3</v>
      </c>
      <c r="CS2" s="62"/>
      <c r="CT2" s="62">
        <v>2.35</v>
      </c>
      <c r="CU2" s="62">
        <v>2.95</v>
      </c>
      <c r="CV2" s="62">
        <v>1.32</v>
      </c>
      <c r="CW2" s="62">
        <v>3.24</v>
      </c>
      <c r="CX2" s="62">
        <v>3.65</v>
      </c>
      <c r="CY2" s="62">
        <v>1.7</v>
      </c>
      <c r="CZ2" s="62">
        <v>2.2799999999999998</v>
      </c>
      <c r="DA2" s="62">
        <v>0.7</v>
      </c>
      <c r="DB2" s="62">
        <v>2.2999999999999998</v>
      </c>
      <c r="DC2" s="62">
        <v>16.88</v>
      </c>
      <c r="DD2" s="62"/>
      <c r="DE2" s="62">
        <v>0.8</v>
      </c>
      <c r="DF2" s="62">
        <v>1.46</v>
      </c>
      <c r="DG2" s="62">
        <v>0</v>
      </c>
      <c r="DH2" s="62"/>
      <c r="DI2" s="62">
        <v>2.4</v>
      </c>
      <c r="DJ2" s="62">
        <v>2.62</v>
      </c>
      <c r="DK2" s="62"/>
      <c r="DL2" s="62">
        <v>1.29</v>
      </c>
      <c r="DM2" s="62">
        <v>3.66</v>
      </c>
      <c r="DN2" s="62">
        <v>0.2</v>
      </c>
      <c r="DO2" s="62">
        <v>3.86</v>
      </c>
      <c r="DP2" s="62"/>
    </row>
    <row r="3" spans="1:120" x14ac:dyDescent="0.3">
      <c r="A3" s="64" t="s">
        <v>9045</v>
      </c>
    </row>
    <row r="4" spans="1:120" x14ac:dyDescent="0.3">
      <c r="A4" s="64" t="s">
        <v>9046</v>
      </c>
      <c r="B4">
        <v>5.5467511885895354E-2</v>
      </c>
      <c r="E4">
        <v>-4.3478260869565251E-2</v>
      </c>
      <c r="F4">
        <v>0</v>
      </c>
      <c r="G4">
        <v>0</v>
      </c>
      <c r="H4">
        <v>0</v>
      </c>
      <c r="J4">
        <v>0</v>
      </c>
      <c r="K4">
        <v>-2.7700831024930775E-2</v>
      </c>
      <c r="L4">
        <v>-1.2987012987012998E-2</v>
      </c>
      <c r="M4">
        <v>3.5460992907801296E-2</v>
      </c>
      <c r="N4">
        <v>0</v>
      </c>
      <c r="O4">
        <v>0</v>
      </c>
      <c r="P4">
        <v>0</v>
      </c>
      <c r="Q4">
        <v>1.2448132780082905E-2</v>
      </c>
      <c r="R4">
        <v>-0.58000000000000007</v>
      </c>
      <c r="S4">
        <v>-7.1428571428571494E-2</v>
      </c>
      <c r="T4">
        <v>0</v>
      </c>
      <c r="U4">
        <v>5.5555555555555455E-2</v>
      </c>
      <c r="V4">
        <v>-4.4444444444445468E-3</v>
      </c>
      <c r="W4">
        <v>4.8022598870056478E-2</v>
      </c>
      <c r="X4">
        <v>6.2370062370062894E-3</v>
      </c>
      <c r="Y4">
        <v>0.10526315789473693</v>
      </c>
      <c r="Z4">
        <v>0</v>
      </c>
      <c r="AA4">
        <v>6.3492063492063558E-2</v>
      </c>
      <c r="AB4">
        <v>0</v>
      </c>
      <c r="AE4">
        <v>0</v>
      </c>
      <c r="AF4">
        <v>-5.1813471502590608E-2</v>
      </c>
      <c r="AG4">
        <v>-4.9830124575311378E-2</v>
      </c>
      <c r="AH4">
        <v>-3.1250000000000028E-2</v>
      </c>
      <c r="AI4">
        <v>-7.0769230769230765E-2</v>
      </c>
      <c r="AJ4">
        <v>1.5384615384615252E-2</v>
      </c>
      <c r="AK4">
        <v>0</v>
      </c>
      <c r="AL4">
        <v>-4.7619047619047665E-2</v>
      </c>
      <c r="AN4">
        <v>3.2258064516129059E-2</v>
      </c>
      <c r="AO4">
        <v>-0.40310077519379844</v>
      </c>
      <c r="AP4">
        <v>9.8039215686274595E-3</v>
      </c>
      <c r="AQ4">
        <v>0</v>
      </c>
      <c r="AR4">
        <v>0.18225419664268591</v>
      </c>
      <c r="AS4">
        <v>-2.3255813953488393E-2</v>
      </c>
      <c r="AU4">
        <v>2.9166666666666601E-2</v>
      </c>
      <c r="AW4">
        <v>-8.3333333333333412E-2</v>
      </c>
      <c r="AX4">
        <v>-3.6697247706422048E-2</v>
      </c>
      <c r="AY4">
        <v>-7.6923076923076927E-2</v>
      </c>
      <c r="AZ4">
        <v>-8.6206896551724144E-2</v>
      </c>
      <c r="BB4">
        <v>0</v>
      </c>
      <c r="BC4">
        <v>-5.1194539249146721E-2</v>
      </c>
      <c r="BD4">
        <v>-0.42006269592476497</v>
      </c>
      <c r="BE4">
        <v>7.1428571428571383E-2</v>
      </c>
      <c r="BF4">
        <v>2.0408163265306142E-2</v>
      </c>
      <c r="BG4">
        <v>-2.8037383177570117E-2</v>
      </c>
      <c r="BI4">
        <v>8.0000000000000071E-2</v>
      </c>
      <c r="BJ4">
        <v>1.7543859649122823E-2</v>
      </c>
      <c r="BK4">
        <v>0</v>
      </c>
      <c r="BM4">
        <v>3.902439024390237E-2</v>
      </c>
      <c r="BN4">
        <v>0</v>
      </c>
      <c r="BP4">
        <v>-3.2786885245901669E-2</v>
      </c>
      <c r="BR4">
        <v>-0.25179856115107907</v>
      </c>
      <c r="BS4">
        <v>-0.82608695652173902</v>
      </c>
      <c r="BT4">
        <v>-2.4999999999999883E-2</v>
      </c>
      <c r="BU4">
        <v>-0.26666666666666661</v>
      </c>
      <c r="BV4">
        <v>-5.5762081784386588E-2</v>
      </c>
      <c r="BW4">
        <v>-1.0204081632653071E-2</v>
      </c>
      <c r="BX4">
        <v>0</v>
      </c>
      <c r="BY4">
        <v>1.5384615384615398E-2</v>
      </c>
      <c r="CA4">
        <v>-9.999999999999995E-2</v>
      </c>
      <c r="CB4">
        <v>2.5089605734766967E-2</v>
      </c>
      <c r="CC4">
        <v>-8.3333333333333259E-2</v>
      </c>
      <c r="CD4">
        <v>-5.1612903225806495E-3</v>
      </c>
      <c r="CE4">
        <v>2.2624434389140392E-2</v>
      </c>
      <c r="CG4">
        <v>2.4038461538461453E-2</v>
      </c>
      <c r="CH4">
        <v>-0.5</v>
      </c>
      <c r="CI4">
        <v>0.16981132075471697</v>
      </c>
      <c r="CK4">
        <v>0</v>
      </c>
      <c r="CL4">
        <v>-1.9498607242339788E-2</v>
      </c>
      <c r="CM4">
        <v>1.2216404886562003E-2</v>
      </c>
      <c r="CN4">
        <v>-0.13333333333333328</v>
      </c>
      <c r="CO4">
        <v>-2.9411764705882377E-2</v>
      </c>
      <c r="CP4">
        <v>0.17808219178082194</v>
      </c>
      <c r="CQ4">
        <v>0</v>
      </c>
      <c r="CR4">
        <v>-0.11309523809523807</v>
      </c>
      <c r="CT4">
        <v>-1.7391304347826105E-2</v>
      </c>
      <c r="CU4">
        <v>-2.5179856115108017E-2</v>
      </c>
      <c r="CV4">
        <v>0</v>
      </c>
      <c r="CW4">
        <v>-6.4615384615384602E-2</v>
      </c>
      <c r="CX4">
        <v>5.2219321148824993E-2</v>
      </c>
      <c r="CY4">
        <v>-5.7142857142857197E-2</v>
      </c>
      <c r="CZ4">
        <v>7.3529411764705843E-2</v>
      </c>
      <c r="DA4">
        <v>-0.14285714285714285</v>
      </c>
      <c r="DB4">
        <v>2.7272727272727296E-2</v>
      </c>
      <c r="DC4">
        <v>0</v>
      </c>
      <c r="DE4">
        <v>-1.0416666666666676E-2</v>
      </c>
      <c r="DF4">
        <v>0</v>
      </c>
      <c r="DI4">
        <v>-4.761904761904745E-2</v>
      </c>
      <c r="DJ4">
        <v>1.5267175572519097E-2</v>
      </c>
      <c r="DL4">
        <v>7.936507936507943E-3</v>
      </c>
      <c r="DM4">
        <v>4.5945945945946046E-2</v>
      </c>
      <c r="DN4">
        <v>0.2857142857142857</v>
      </c>
      <c r="DO4">
        <v>1.8918918918918996E-2</v>
      </c>
    </row>
    <row r="5" spans="1:120" x14ac:dyDescent="0.3">
      <c r="A5" s="64" t="s">
        <v>9047</v>
      </c>
      <c r="B5">
        <v>-6.1990212071778121E-2</v>
      </c>
      <c r="E5">
        <v>-5.4878048780487854E-2</v>
      </c>
      <c r="F5">
        <v>0.20000000000000004</v>
      </c>
      <c r="G5">
        <v>0</v>
      </c>
      <c r="H5">
        <v>-1.0989010989010999E-2</v>
      </c>
      <c r="J5">
        <v>0</v>
      </c>
      <c r="K5">
        <v>-3.6414565826330507E-2</v>
      </c>
      <c r="L5">
        <v>2.6315789473684233E-2</v>
      </c>
      <c r="M5">
        <v>0.10283687943262414</v>
      </c>
      <c r="N5">
        <v>2.898550724637668E-2</v>
      </c>
      <c r="O5">
        <v>0</v>
      </c>
      <c r="P5">
        <v>0</v>
      </c>
      <c r="Q5">
        <v>-7.9166666666666649E-2</v>
      </c>
      <c r="R5">
        <v>-0.17499999999999988</v>
      </c>
      <c r="S5">
        <v>8.1395348837209378E-2</v>
      </c>
      <c r="T5">
        <v>3.571428571428574E-2</v>
      </c>
      <c r="U5">
        <v>-0.11111111111111106</v>
      </c>
      <c r="V5">
        <v>-8.6956521739130321E-2</v>
      </c>
      <c r="W5">
        <v>-1.1204481792717097E-2</v>
      </c>
      <c r="X5">
        <v>-4.483430799220281E-2</v>
      </c>
      <c r="Y5">
        <v>-5.8823529411764754E-2</v>
      </c>
      <c r="Z5">
        <v>0</v>
      </c>
      <c r="AA5">
        <v>-7.7333333333333337E-2</v>
      </c>
      <c r="AB5">
        <v>-2.5773195876288662E-2</v>
      </c>
      <c r="AE5">
        <v>0.2857142857142857</v>
      </c>
      <c r="AF5">
        <v>1.2987012987012941E-2</v>
      </c>
      <c r="AG5">
        <v>-5.6511056511056396E-2</v>
      </c>
      <c r="AH5">
        <v>0</v>
      </c>
      <c r="AI5">
        <v>2.2452504317789272E-2</v>
      </c>
      <c r="AJ5">
        <v>-4.0254237288135493E-2</v>
      </c>
      <c r="AK5">
        <v>0</v>
      </c>
      <c r="AL5">
        <v>-0.21052631578947359</v>
      </c>
      <c r="AN5">
        <v>0</v>
      </c>
      <c r="AO5">
        <v>0.32222222222222224</v>
      </c>
      <c r="AP5">
        <v>0</v>
      </c>
      <c r="AQ5">
        <v>1.6000000000000014E-2</v>
      </c>
      <c r="AR5">
        <v>-2.5839793281654342E-3</v>
      </c>
      <c r="AS5">
        <v>-4.7619047619047665E-2</v>
      </c>
      <c r="AU5">
        <v>-1.7621145374449355E-2</v>
      </c>
      <c r="AW5">
        <v>0</v>
      </c>
      <c r="AX5">
        <v>0</v>
      </c>
      <c r="AY5">
        <v>-1.4285714285714235E-2</v>
      </c>
      <c r="AZ5">
        <v>6.6833751044277417E-3</v>
      </c>
      <c r="BB5">
        <v>-3.7037037037036931E-2</v>
      </c>
      <c r="BC5">
        <v>-4.9822064056939543E-2</v>
      </c>
      <c r="BD5">
        <v>0.24907063197026036</v>
      </c>
      <c r="BE5">
        <v>-2.8169014084507067E-2</v>
      </c>
      <c r="BF5">
        <v>-3.8961038961038995E-2</v>
      </c>
      <c r="BG5">
        <v>-1.2626262626262581E-2</v>
      </c>
      <c r="BI5">
        <v>2.5000000000000022E-2</v>
      </c>
      <c r="BJ5">
        <v>-3.703703703703707E-2</v>
      </c>
      <c r="BK5">
        <v>0</v>
      </c>
      <c r="BM5">
        <v>-2.4875621890547289E-2</v>
      </c>
      <c r="BN5">
        <v>0</v>
      </c>
      <c r="BP5">
        <v>8.0645161290322648E-3</v>
      </c>
      <c r="BR5">
        <v>6.1068702290076216E-2</v>
      </c>
      <c r="BS5">
        <v>0.17391304347826078</v>
      </c>
      <c r="BT5">
        <v>-0.10000000000000009</v>
      </c>
      <c r="BU5">
        <v>0.3125</v>
      </c>
      <c r="BV5">
        <v>2.1897810218978121E-2</v>
      </c>
      <c r="BW5">
        <v>-2.0408163265306142E-2</v>
      </c>
      <c r="BX5">
        <v>0</v>
      </c>
      <c r="BY5">
        <v>-7.8125000000000069E-3</v>
      </c>
      <c r="CA5">
        <v>5.2631578947368321E-2</v>
      </c>
      <c r="CB5">
        <v>-6.5454545454545349E-2</v>
      </c>
      <c r="CC5">
        <v>-2.6315789473684233E-2</v>
      </c>
      <c r="CD5">
        <v>-2.0382165605095672E-2</v>
      </c>
      <c r="CE5">
        <v>1.0752688172042972E-2</v>
      </c>
      <c r="CG5">
        <v>0.13829787234042554</v>
      </c>
      <c r="CH5">
        <v>0</v>
      </c>
      <c r="CI5">
        <v>-0.22513089005235601</v>
      </c>
      <c r="CK5">
        <v>-6.9364161849711045E-2</v>
      </c>
      <c r="CL5">
        <v>-3.523035230352313E-2</v>
      </c>
      <c r="CM5">
        <v>-7.1917808219178217E-2</v>
      </c>
      <c r="CN5">
        <v>0.15624999999999997</v>
      </c>
      <c r="CO5">
        <v>3.3333333333333368E-2</v>
      </c>
      <c r="CP5">
        <v>-6.2500000000000056E-2</v>
      </c>
      <c r="CQ5">
        <v>-4.9999999999999906E-2</v>
      </c>
      <c r="CR5">
        <v>2.5477707006369449E-2</v>
      </c>
      <c r="CT5">
        <v>-7.3913043478260845E-2</v>
      </c>
      <c r="CU5">
        <v>-7.0921985815602905E-3</v>
      </c>
      <c r="CV5">
        <v>7.8740157480315029E-3</v>
      </c>
      <c r="CW5">
        <v>2.7692307692307648E-2</v>
      </c>
      <c r="CX5">
        <v>2.5380710659898501E-2</v>
      </c>
      <c r="CY5">
        <v>-8.571428571428566E-2</v>
      </c>
      <c r="CZ5">
        <v>0</v>
      </c>
      <c r="DA5">
        <v>-2.5000000000000022E-2</v>
      </c>
      <c r="DB5">
        <v>0.12135922330097088</v>
      </c>
      <c r="DC5">
        <v>0</v>
      </c>
      <c r="DE5">
        <v>-0.2234042553191489</v>
      </c>
      <c r="DF5">
        <v>9.9999999999999936E-2</v>
      </c>
      <c r="DI5">
        <v>0</v>
      </c>
      <c r="DJ5">
        <v>3.8910505836575737E-2</v>
      </c>
      <c r="DL5">
        <v>-2.3622047244094509E-2</v>
      </c>
      <c r="DM5">
        <v>1.6042780748663114E-2</v>
      </c>
      <c r="DN5">
        <v>0</v>
      </c>
      <c r="DO5">
        <v>-4.5945945945945928E-2</v>
      </c>
    </row>
    <row r="6" spans="1:120" x14ac:dyDescent="0.3">
      <c r="A6" s="64" t="s">
        <v>9048</v>
      </c>
      <c r="B6">
        <v>-6.7474048442906512E-2</v>
      </c>
      <c r="E6">
        <v>-0.13450292397660804</v>
      </c>
      <c r="F6">
        <v>-0.20000000000000004</v>
      </c>
      <c r="G6">
        <v>0</v>
      </c>
      <c r="H6">
        <v>2.1978021978021997E-2</v>
      </c>
      <c r="J6">
        <v>0</v>
      </c>
      <c r="K6">
        <v>-2.452316076294286E-2</v>
      </c>
      <c r="L6">
        <v>-0.10389610389610385</v>
      </c>
      <c r="M6">
        <v>-5.1470588235293997E-2</v>
      </c>
      <c r="N6">
        <v>8.6956521739130516E-2</v>
      </c>
      <c r="O6">
        <v>0</v>
      </c>
      <c r="P6">
        <v>0</v>
      </c>
      <c r="Q6">
        <v>4.2194092827004252E-2</v>
      </c>
      <c r="R6">
        <v>0.18218623481781382</v>
      </c>
      <c r="S6">
        <v>8.6956521739130391E-2</v>
      </c>
      <c r="T6">
        <v>0</v>
      </c>
      <c r="U6">
        <v>-0.1544117647058823</v>
      </c>
      <c r="V6">
        <v>-3.8961038961039092E-2</v>
      </c>
      <c r="W6">
        <v>5.8823529411764629E-2</v>
      </c>
      <c r="X6">
        <v>-3.9215686274508971E-3</v>
      </c>
      <c r="Y6">
        <v>0.13333333333333328</v>
      </c>
      <c r="Z6">
        <v>0</v>
      </c>
      <c r="AA6">
        <v>3.1339031339031306E-2</v>
      </c>
      <c r="AB6">
        <v>-2.9896907216494944E-2</v>
      </c>
      <c r="AE6">
        <v>-0.57142857142857151</v>
      </c>
      <c r="AF6">
        <v>-4.691358024691368E-2</v>
      </c>
      <c r="AG6">
        <v>-3.4965034965036288E-3</v>
      </c>
      <c r="AH6">
        <v>0</v>
      </c>
      <c r="AI6">
        <v>1.1200000000000045E-2</v>
      </c>
      <c r="AJ6">
        <v>-2.1505376344085562E-3</v>
      </c>
      <c r="AK6">
        <v>0.13333333333333328</v>
      </c>
      <c r="AL6">
        <v>0.1999999999999999</v>
      </c>
      <c r="AN6">
        <v>0</v>
      </c>
      <c r="AO6">
        <v>6.395348837209304E-2</v>
      </c>
      <c r="AP6">
        <v>1.0309278350515474E-2</v>
      </c>
      <c r="AQ6">
        <v>0</v>
      </c>
      <c r="AR6">
        <v>-2.2508038585208952E-2</v>
      </c>
      <c r="AS6">
        <v>4.6511627906976785E-2</v>
      </c>
      <c r="AU6">
        <v>-4.5454545454544481E-3</v>
      </c>
      <c r="AW6">
        <v>0</v>
      </c>
      <c r="AX6">
        <v>9.0090090090090159E-3</v>
      </c>
      <c r="AY6">
        <v>-4.0000000000000098E-2</v>
      </c>
      <c r="AZ6">
        <v>-2.3901310717039222E-2</v>
      </c>
      <c r="BB6">
        <v>4.9382716049382616E-2</v>
      </c>
      <c r="BC6">
        <v>1.6891891891891983E-2</v>
      </c>
      <c r="BD6">
        <v>8.4367245657568202E-2</v>
      </c>
      <c r="BE6">
        <v>-7.5757575757575718E-2</v>
      </c>
      <c r="BF6">
        <v>-5.2980132450331029E-2</v>
      </c>
      <c r="BG6">
        <v>1.9607843137254919E-2</v>
      </c>
      <c r="BI6">
        <v>1.3513513513513526E-2</v>
      </c>
      <c r="BJ6">
        <v>0.18867924528301891</v>
      </c>
      <c r="BK6">
        <v>0</v>
      </c>
      <c r="BM6">
        <v>2.5906735751295359E-2</v>
      </c>
      <c r="BN6">
        <v>0.28571428571428575</v>
      </c>
      <c r="BP6">
        <v>0</v>
      </c>
      <c r="BR6">
        <v>0.19277108433734944</v>
      </c>
      <c r="BS6">
        <v>4.7619047619047665E-2</v>
      </c>
      <c r="BT6">
        <v>0.12195121951219511</v>
      </c>
      <c r="BU6">
        <v>9.9999999999999978E-2</v>
      </c>
      <c r="BV6">
        <v>6.9204152249135011E-3</v>
      </c>
      <c r="BW6">
        <v>3.0303030303030332E-2</v>
      </c>
      <c r="BX6">
        <v>0</v>
      </c>
      <c r="BY6">
        <v>7.936507936507943E-3</v>
      </c>
      <c r="CA6">
        <v>0</v>
      </c>
      <c r="CB6">
        <v>1.492537313432837E-2</v>
      </c>
      <c r="CC6">
        <v>0.12195121951219511</v>
      </c>
      <c r="CD6">
        <v>-7.6045627376425812E-2</v>
      </c>
      <c r="CE6">
        <v>1.098901098901095E-2</v>
      </c>
      <c r="CG6">
        <v>4.3715846994535554E-2</v>
      </c>
      <c r="CH6">
        <v>0</v>
      </c>
      <c r="CI6">
        <v>-0.1524390243902439</v>
      </c>
      <c r="CK6">
        <v>5.202312138728328E-2</v>
      </c>
      <c r="CL6">
        <v>0</v>
      </c>
      <c r="CM6">
        <v>-1.0398613518197507E-2</v>
      </c>
      <c r="CN6">
        <v>-2.7777777777777804E-2</v>
      </c>
      <c r="CO6">
        <v>4.8387096774193589E-2</v>
      </c>
      <c r="CP6">
        <v>0.13725490196078444</v>
      </c>
      <c r="CQ6">
        <v>-7.5000000000000067E-2</v>
      </c>
      <c r="CR6">
        <v>-1.7045454545454562E-2</v>
      </c>
      <c r="CT6">
        <v>3.4188034188034032E-2</v>
      </c>
      <c r="CU6">
        <v>3.1141868512110829E-2</v>
      </c>
      <c r="CV6">
        <v>0</v>
      </c>
      <c r="CW6">
        <v>-5.2023121387283155E-2</v>
      </c>
      <c r="CX6">
        <v>-1.8716577540106909E-2</v>
      </c>
      <c r="CY6">
        <v>8.108108108108103E-2</v>
      </c>
      <c r="CZ6">
        <v>3.0927835051546421E-2</v>
      </c>
      <c r="DA6">
        <v>4.3956043956043994E-2</v>
      </c>
      <c r="DB6">
        <v>5.0000000000000044E-3</v>
      </c>
      <c r="DC6">
        <v>4.7954866008462604E-2</v>
      </c>
      <c r="DE6">
        <v>2.1052631578947389E-2</v>
      </c>
      <c r="DF6">
        <v>1.4285714285714299E-2</v>
      </c>
      <c r="DI6">
        <v>0</v>
      </c>
      <c r="DJ6">
        <v>-1.5810276679841914E-2</v>
      </c>
      <c r="DL6">
        <v>3.1746031746031772E-2</v>
      </c>
      <c r="DM6">
        <v>8.1232492997198771E-2</v>
      </c>
      <c r="DN6">
        <v>0</v>
      </c>
      <c r="DO6">
        <v>-2.754820936639121E-2</v>
      </c>
    </row>
    <row r="7" spans="1:120" x14ac:dyDescent="0.3">
      <c r="A7" s="64" t="s">
        <v>9049</v>
      </c>
      <c r="B7">
        <v>1.6233766233766177E-2</v>
      </c>
      <c r="E7">
        <v>-3.3333333333333361E-2</v>
      </c>
      <c r="F7">
        <v>0</v>
      </c>
      <c r="G7">
        <v>0</v>
      </c>
      <c r="H7">
        <v>-2.1739130434782625E-2</v>
      </c>
      <c r="J7">
        <v>-5.0000000000000044E-2</v>
      </c>
      <c r="K7">
        <v>-3.421052631578933E-2</v>
      </c>
      <c r="L7">
        <v>0</v>
      </c>
      <c r="M7">
        <v>1.646090534979425E-2</v>
      </c>
      <c r="N7">
        <v>-5.970149253731348E-2</v>
      </c>
      <c r="O7">
        <v>0</v>
      </c>
      <c r="P7">
        <v>0</v>
      </c>
      <c r="Q7">
        <v>3.1250000000000028E-2</v>
      </c>
      <c r="R7">
        <v>-3.6363636363637205E-3</v>
      </c>
      <c r="S7">
        <v>-3.5294117647058858E-2</v>
      </c>
      <c r="T7">
        <v>0</v>
      </c>
      <c r="U7">
        <v>-6.5789473684210583E-3</v>
      </c>
      <c r="V7">
        <v>-3.9840637450199244E-2</v>
      </c>
      <c r="W7">
        <v>2.3255813953488393E-2</v>
      </c>
      <c r="X7">
        <v>-6.5666041275797477E-2</v>
      </c>
      <c r="Y7">
        <v>-0.1875</v>
      </c>
      <c r="Z7">
        <v>0</v>
      </c>
      <c r="AA7">
        <v>-7.8947368421053293E-3</v>
      </c>
      <c r="AB7">
        <v>8.9447236180904582E-2</v>
      </c>
      <c r="AE7">
        <v>0</v>
      </c>
      <c r="AF7">
        <v>3.5000000000000142E-2</v>
      </c>
      <c r="AG7">
        <v>-2.8761061946902634E-2</v>
      </c>
      <c r="AH7">
        <v>8.8235294117647009E-2</v>
      </c>
      <c r="AI7">
        <v>-9.8039215686275324E-3</v>
      </c>
      <c r="AJ7">
        <v>-2.06611570247935E-2</v>
      </c>
      <c r="AK7">
        <v>-6.6666666666666735E-2</v>
      </c>
      <c r="AL7">
        <v>0.2083333333333334</v>
      </c>
      <c r="AN7">
        <v>0.33333333333333343</v>
      </c>
      <c r="AO7">
        <v>7.2500000000000009E-2</v>
      </c>
      <c r="AP7">
        <v>-3.0927835051546421E-2</v>
      </c>
      <c r="AQ7">
        <v>4.0650406504065074E-2</v>
      </c>
      <c r="AR7">
        <v>-8.3333333333333398E-2</v>
      </c>
      <c r="AS7">
        <v>-2.222222222222224E-2</v>
      </c>
      <c r="AU7">
        <v>-1.3392857142857054E-2</v>
      </c>
      <c r="AW7">
        <v>0</v>
      </c>
      <c r="AX7">
        <v>-3.6036036036035862E-2</v>
      </c>
      <c r="AY7">
        <v>0</v>
      </c>
      <c r="AZ7">
        <v>0</v>
      </c>
      <c r="BB7">
        <v>-1.1904761904761916E-2</v>
      </c>
      <c r="BC7">
        <v>1.6129032258064457E-2</v>
      </c>
      <c r="BD7">
        <v>-0.10119047619047615</v>
      </c>
      <c r="BE7">
        <v>-6.8627450980392218E-2</v>
      </c>
      <c r="BF7">
        <v>-4.4585987261146535E-2</v>
      </c>
      <c r="BG7">
        <v>-1.4527845036319733E-2</v>
      </c>
      <c r="BI7">
        <v>-4.1666666666666706E-2</v>
      </c>
      <c r="BJ7">
        <v>-1.8181818181818195E-2</v>
      </c>
      <c r="BK7">
        <v>0</v>
      </c>
      <c r="BM7">
        <v>0</v>
      </c>
      <c r="BN7">
        <v>-0.28571428571428575</v>
      </c>
      <c r="BP7">
        <v>1.5748031496063006E-2</v>
      </c>
      <c r="BR7">
        <v>0.12025316455696199</v>
      </c>
      <c r="BS7">
        <v>-5.2631578947368467E-2</v>
      </c>
      <c r="BT7">
        <v>0</v>
      </c>
      <c r="BU7">
        <v>0.20000000000000004</v>
      </c>
      <c r="BV7">
        <v>-1.413427561837457E-2</v>
      </c>
      <c r="BW7">
        <v>-3.9603960396039639E-2</v>
      </c>
      <c r="BX7">
        <v>0</v>
      </c>
      <c r="BY7">
        <v>-1.5748031496063006E-2</v>
      </c>
      <c r="CA7">
        <v>0</v>
      </c>
      <c r="CB7">
        <v>-9.0909090909090995E-2</v>
      </c>
      <c r="CC7">
        <v>2.3809523809523832E-2</v>
      </c>
      <c r="CD7">
        <v>-1.2422360248447159E-2</v>
      </c>
      <c r="CE7">
        <v>4.4444444444444481E-2</v>
      </c>
      <c r="CG7">
        <v>-5.0955414012738898E-2</v>
      </c>
      <c r="CH7">
        <v>0</v>
      </c>
      <c r="CI7">
        <v>-3.381642512077309E-2</v>
      </c>
      <c r="CK7">
        <v>-5.40540540540541E-3</v>
      </c>
      <c r="CL7">
        <v>-3.3419023136246645E-2</v>
      </c>
      <c r="CM7">
        <v>-6.3004846526655847E-2</v>
      </c>
      <c r="CN7">
        <v>-3.2258064516129059E-2</v>
      </c>
      <c r="CO7">
        <v>1.6666666666666496E-2</v>
      </c>
      <c r="CP7">
        <v>5.4545454545454487E-2</v>
      </c>
      <c r="CQ7">
        <v>9.523809523809533E-2</v>
      </c>
      <c r="CR7">
        <v>0</v>
      </c>
      <c r="CT7">
        <v>-0.11952191235059755</v>
      </c>
      <c r="CU7">
        <v>-6.8728522336769819E-3</v>
      </c>
      <c r="CV7">
        <v>-3.9682539682539715E-2</v>
      </c>
      <c r="CW7">
        <v>2.3738872403560721E-2</v>
      </c>
      <c r="CX7">
        <v>-5.4945054945054993E-3</v>
      </c>
      <c r="CY7">
        <v>-7.4999999999999956E-2</v>
      </c>
      <c r="CZ7">
        <v>8.2474226804123668E-2</v>
      </c>
      <c r="DA7">
        <v>9.6774193548387052E-2</v>
      </c>
      <c r="DB7">
        <v>-4.5714285714285756E-2</v>
      </c>
      <c r="DC7">
        <v>0</v>
      </c>
      <c r="DE7">
        <v>0</v>
      </c>
      <c r="DF7">
        <v>-5.5555555555555601E-2</v>
      </c>
      <c r="DI7">
        <v>-6.5217391304347991E-2</v>
      </c>
      <c r="DJ7">
        <v>-4.1152263374485451E-2</v>
      </c>
      <c r="DL7">
        <v>-6.9767441860465171E-2</v>
      </c>
      <c r="DM7">
        <v>-4.5584045584045503E-2</v>
      </c>
      <c r="DN7">
        <v>0</v>
      </c>
      <c r="DO7">
        <v>-2.6315789473684821E-3</v>
      </c>
    </row>
    <row r="8" spans="1:120" x14ac:dyDescent="0.3">
      <c r="A8" s="64" t="s">
        <v>9050</v>
      </c>
      <c r="B8">
        <v>1.5267175572519165E-2</v>
      </c>
      <c r="E8">
        <v>-4.9261083743842415E-2</v>
      </c>
      <c r="F8">
        <v>0</v>
      </c>
      <c r="G8">
        <v>0</v>
      </c>
      <c r="H8">
        <v>-5.5555555555555483E-2</v>
      </c>
      <c r="J8">
        <v>5.0000000000000044E-2</v>
      </c>
      <c r="K8">
        <v>4.1131105398457504E-2</v>
      </c>
      <c r="L8">
        <v>0</v>
      </c>
      <c r="M8">
        <v>-2.7237354085603224E-2</v>
      </c>
      <c r="N8">
        <v>0</v>
      </c>
      <c r="O8">
        <v>0</v>
      </c>
      <c r="P8">
        <v>0</v>
      </c>
      <c r="Q8">
        <v>-4.8780487804878092E-2</v>
      </c>
      <c r="R8">
        <v>-6.0869565217391362E-2</v>
      </c>
      <c r="S8">
        <v>6.4935064935064984E-2</v>
      </c>
      <c r="T8">
        <v>1.8518518518518535E-2</v>
      </c>
      <c r="U8">
        <v>2.3121387283237014E-2</v>
      </c>
      <c r="V8">
        <v>1.9230769230769332E-2</v>
      </c>
      <c r="W8">
        <v>-0.10185185185185187</v>
      </c>
      <c r="X8">
        <v>4.6728971962616828E-2</v>
      </c>
      <c r="Y8">
        <v>0.21428571428571425</v>
      </c>
      <c r="Z8">
        <v>0</v>
      </c>
      <c r="AA8">
        <v>-7.5880758807588031E-2</v>
      </c>
      <c r="AB8">
        <v>-2.2460937500000042E-2</v>
      </c>
      <c r="AE8">
        <v>0</v>
      </c>
      <c r="AF8">
        <v>-0.13126491646778038</v>
      </c>
      <c r="AG8">
        <v>8.3792723263506036E-2</v>
      </c>
      <c r="AH8">
        <v>2.3529411764705903E-2</v>
      </c>
      <c r="AI8">
        <v>-1.6528925619834359E-3</v>
      </c>
      <c r="AJ8">
        <v>-3.0927835051546285E-2</v>
      </c>
      <c r="AK8">
        <v>7.6923076923076983E-2</v>
      </c>
      <c r="AL8">
        <v>-5.0000000000000044E-2</v>
      </c>
      <c r="AN8">
        <v>-0.1111111111111111</v>
      </c>
      <c r="AO8">
        <v>0.13079019073569481</v>
      </c>
      <c r="AP8">
        <v>-8.3333333333333412E-2</v>
      </c>
      <c r="AQ8">
        <v>-0.26016260162601629</v>
      </c>
      <c r="AR8">
        <v>9.4043887147335511E-2</v>
      </c>
      <c r="AS8">
        <v>0</v>
      </c>
      <c r="AU8">
        <v>-7.111111111111118E-2</v>
      </c>
      <c r="AW8">
        <v>0</v>
      </c>
      <c r="AX8">
        <v>-4.5454545454545491E-2</v>
      </c>
      <c r="AY8">
        <v>-1.2658227848101221E-2</v>
      </c>
      <c r="AZ8">
        <v>-4.166666666666672E-2</v>
      </c>
      <c r="BB8">
        <v>-4.9999999999999906E-2</v>
      </c>
      <c r="BC8">
        <v>-9.8360655737704285E-3</v>
      </c>
      <c r="BD8">
        <v>0.11258278145695359</v>
      </c>
      <c r="BE8">
        <v>1.8264840182648418E-2</v>
      </c>
      <c r="BF8">
        <v>-1.2121212121212133E-2</v>
      </c>
      <c r="BG8">
        <v>-7.1604938271604954E-2</v>
      </c>
      <c r="BI8">
        <v>-7.0422535211267678E-2</v>
      </c>
      <c r="BJ8">
        <v>0.13333333333333333</v>
      </c>
      <c r="BK8">
        <v>0</v>
      </c>
      <c r="BM8">
        <v>-5.1813471502590719E-3</v>
      </c>
      <c r="BN8">
        <v>0.20000000000000018</v>
      </c>
      <c r="BP8">
        <v>-7.0866141732283533E-2</v>
      </c>
      <c r="BR8">
        <v>0.18253968253968261</v>
      </c>
      <c r="BS8">
        <v>0.36111111111111116</v>
      </c>
      <c r="BT8">
        <v>-4.9999999999999906E-2</v>
      </c>
      <c r="BU8">
        <v>4.6153846153846191E-2</v>
      </c>
      <c r="BV8">
        <v>-3.5587188612098883E-3</v>
      </c>
      <c r="BW8">
        <v>-7.1428571428571494E-2</v>
      </c>
      <c r="BX8">
        <v>0</v>
      </c>
      <c r="BY8">
        <v>-2.3809523809523829E-2</v>
      </c>
      <c r="CA8">
        <v>-0.15</v>
      </c>
      <c r="CB8">
        <v>-4.2553191489361743E-2</v>
      </c>
      <c r="CC8">
        <v>-2.7027027027027053E-2</v>
      </c>
      <c r="CD8">
        <v>4.9710982658959506E-2</v>
      </c>
      <c r="CE8">
        <v>4.4943820224719142E-2</v>
      </c>
      <c r="CG8">
        <v>-0.11409395973154357</v>
      </c>
      <c r="CH8">
        <v>0</v>
      </c>
      <c r="CI8">
        <v>-8.6206896551724223E-3</v>
      </c>
      <c r="CK8">
        <v>5.6818181818181872E-3</v>
      </c>
      <c r="CL8">
        <v>1.5424164524421493E-2</v>
      </c>
      <c r="CM8">
        <v>6.4000000000000055E-3</v>
      </c>
      <c r="CN8">
        <v>-6.2499999999999882E-2</v>
      </c>
      <c r="CO8">
        <v>7.0175438596491294E-2</v>
      </c>
      <c r="CP8">
        <v>-0.10416666666666664</v>
      </c>
      <c r="CQ8">
        <v>-0.46666666666666667</v>
      </c>
      <c r="CR8">
        <v>0</v>
      </c>
      <c r="CT8">
        <v>1.646090534979425E-2</v>
      </c>
      <c r="CU8">
        <v>-3.5460992907802237E-3</v>
      </c>
      <c r="CV8">
        <v>-3.9682539682539715E-2</v>
      </c>
      <c r="CW8">
        <v>-8.450704225352058E-3</v>
      </c>
      <c r="CX8">
        <v>0.16981132075471694</v>
      </c>
      <c r="CY8">
        <v>0</v>
      </c>
      <c r="CZ8">
        <v>6.3829787234042493E-2</v>
      </c>
      <c r="DA8">
        <v>2.2471910112359571E-2</v>
      </c>
      <c r="DB8">
        <v>3.4482758620689689E-2</v>
      </c>
      <c r="DC8">
        <v>-0.2503703703703703</v>
      </c>
      <c r="DE8">
        <v>0</v>
      </c>
      <c r="DF8">
        <v>-0.10483870967741928</v>
      </c>
      <c r="DI8">
        <v>4.3478260869565258E-2</v>
      </c>
      <c r="DJ8">
        <v>8.097165991902841E-3</v>
      </c>
      <c r="DL8">
        <v>-2.4000000000000021E-2</v>
      </c>
      <c r="DM8">
        <v>-2.1739130434782695E-2</v>
      </c>
      <c r="DN8">
        <v>0.28571428571428575</v>
      </c>
      <c r="DO8">
        <v>5.1282051282051325E-3</v>
      </c>
    </row>
    <row r="9" spans="1:120" x14ac:dyDescent="0.3">
      <c r="A9" s="64" t="s">
        <v>9051</v>
      </c>
      <c r="B9">
        <v>1.3953488372093001E-2</v>
      </c>
      <c r="E9">
        <v>3.8277511961722521E-2</v>
      </c>
      <c r="F9">
        <v>0</v>
      </c>
      <c r="G9">
        <v>0</v>
      </c>
      <c r="H9">
        <v>-1.0869565217391313E-2</v>
      </c>
      <c r="J9">
        <v>1.5873015873015886E-2</v>
      </c>
      <c r="K9">
        <v>-9.9502487562189157E-3</v>
      </c>
      <c r="L9">
        <v>-6.0240963855421742E-2</v>
      </c>
      <c r="M9">
        <v>4.7430830039525737E-2</v>
      </c>
      <c r="N9">
        <v>1.5384615384615398E-2</v>
      </c>
      <c r="O9">
        <v>0</v>
      </c>
      <c r="P9">
        <v>0</v>
      </c>
      <c r="Q9">
        <v>-4.621848739495793E-2</v>
      </c>
      <c r="R9">
        <v>-6.4935064935064901E-2</v>
      </c>
      <c r="S9">
        <v>9.999999999999995E-2</v>
      </c>
      <c r="T9">
        <v>1.8518518518518535E-2</v>
      </c>
      <c r="U9">
        <v>-1.1494252873563229E-2</v>
      </c>
      <c r="V9">
        <v>2.0370370370370264E-2</v>
      </c>
      <c r="W9">
        <v>-8.2278481012658153E-2</v>
      </c>
      <c r="X9">
        <v>1.2280701754386015E-2</v>
      </c>
      <c r="Y9">
        <v>-5.8823529411764594E-2</v>
      </c>
      <c r="Z9">
        <v>0</v>
      </c>
      <c r="AA9">
        <v>-4.8387096774193471E-2</v>
      </c>
      <c r="AB9">
        <v>-5.4545454545454522E-2</v>
      </c>
      <c r="AE9">
        <v>-0.3333333333333332</v>
      </c>
      <c r="AF9">
        <v>-3.2098765432098962E-2</v>
      </c>
      <c r="AG9">
        <v>2.1436227224008689E-2</v>
      </c>
      <c r="AH9">
        <v>6.4516129032258117E-3</v>
      </c>
      <c r="AI9">
        <v>6.546644844517191E-2</v>
      </c>
      <c r="AJ9">
        <v>8.0808080808080877E-3</v>
      </c>
      <c r="AK9">
        <v>7.142857142857148E-2</v>
      </c>
      <c r="AL9">
        <v>0</v>
      </c>
      <c r="AM9">
        <v>1.5957446808510654E-2</v>
      </c>
      <c r="AN9">
        <v>0.33333333333333331</v>
      </c>
      <c r="AO9">
        <v>0.29289940828402367</v>
      </c>
      <c r="AP9">
        <v>2.0202020202020221E-2</v>
      </c>
      <c r="AQ9">
        <v>1.6949152542372899E-2</v>
      </c>
      <c r="AR9">
        <v>2.318840579710147E-2</v>
      </c>
      <c r="AS9">
        <v>-6.8181818181818121E-2</v>
      </c>
      <c r="AU9">
        <v>0</v>
      </c>
      <c r="AW9">
        <v>0.10000000000000009</v>
      </c>
      <c r="AX9">
        <v>2.6315789473684237E-2</v>
      </c>
      <c r="AY9">
        <v>3.7974683544303771E-2</v>
      </c>
      <c r="AZ9">
        <v>-3.409090909090904E-2</v>
      </c>
      <c r="BB9">
        <v>1.2345679012345689E-2</v>
      </c>
      <c r="BC9">
        <v>3.3333333333332624E-3</v>
      </c>
      <c r="BD9">
        <v>0</v>
      </c>
      <c r="BE9">
        <v>2.1459227467811082E-2</v>
      </c>
      <c r="BF9">
        <v>-5.8139534883720981E-3</v>
      </c>
      <c r="BG9">
        <v>-3.6496350364963369E-2</v>
      </c>
      <c r="BI9">
        <v>8.1081081081081155E-2</v>
      </c>
      <c r="BJ9">
        <v>6.521739130434788E-2</v>
      </c>
      <c r="BK9">
        <v>0</v>
      </c>
      <c r="BM9">
        <v>-4.1450777202072575E-2</v>
      </c>
      <c r="BN9">
        <v>0.14285714285714277</v>
      </c>
      <c r="BP9">
        <v>2.4000000000000021E-2</v>
      </c>
      <c r="BR9">
        <v>6.5420560747663503E-2</v>
      </c>
      <c r="BS9">
        <v>2.6315789473684233E-2</v>
      </c>
      <c r="BT9">
        <v>2.5000000000000022E-2</v>
      </c>
      <c r="BU9">
        <v>0.19999999999999996</v>
      </c>
      <c r="BV9">
        <v>-9.1228070175438672E-2</v>
      </c>
      <c r="BW9">
        <v>1.9607843137254919E-2</v>
      </c>
      <c r="BX9">
        <v>0</v>
      </c>
      <c r="BY9">
        <v>-7.8125000000000069E-3</v>
      </c>
      <c r="CA9">
        <v>-4.9999999999999906E-2</v>
      </c>
      <c r="CB9">
        <v>-6.4935064935064991E-3</v>
      </c>
      <c r="CC9">
        <v>-0.13888888888888887</v>
      </c>
      <c r="CD9">
        <v>-2.0571428571428539E-2</v>
      </c>
      <c r="CE9">
        <v>0</v>
      </c>
      <c r="CG9">
        <v>9.5541401273885287E-2</v>
      </c>
      <c r="CH9">
        <v>0</v>
      </c>
      <c r="CI9">
        <v>-0.15062761506276146</v>
      </c>
      <c r="CK9">
        <v>0</v>
      </c>
      <c r="CL9">
        <v>-2.487562189054784E-3</v>
      </c>
      <c r="CM9">
        <v>-4.5180722891566376E-2</v>
      </c>
      <c r="CN9">
        <v>0.21212121212121196</v>
      </c>
      <c r="CO9">
        <v>-3.571428571428574E-2</v>
      </c>
      <c r="CP9">
        <v>0.20000000000000004</v>
      </c>
      <c r="CQ9">
        <v>0.29268292682926828</v>
      </c>
      <c r="CR9">
        <v>1.1428571428571439E-2</v>
      </c>
      <c r="CT9">
        <v>0</v>
      </c>
      <c r="CU9">
        <v>0</v>
      </c>
      <c r="CV9">
        <v>7.6335877862595486E-3</v>
      </c>
      <c r="CW9">
        <v>1.4409221902017239E-2</v>
      </c>
      <c r="CX9">
        <v>-6.970509383378011E-2</v>
      </c>
      <c r="CY9">
        <v>0</v>
      </c>
      <c r="CZ9">
        <v>2.3255813953488393E-2</v>
      </c>
      <c r="DA9">
        <v>0.10000000000000009</v>
      </c>
      <c r="DB9">
        <v>3.8461538461538491E-2</v>
      </c>
      <c r="DC9">
        <v>0</v>
      </c>
      <c r="DE9">
        <v>1.7543859649122629E-2</v>
      </c>
      <c r="DF9">
        <v>-1.5267175572519097E-2</v>
      </c>
      <c r="DG9">
        <v>-1</v>
      </c>
      <c r="DI9">
        <v>0.1020408163265306</v>
      </c>
      <c r="DJ9">
        <v>-7.7821011673151821E-3</v>
      </c>
      <c r="DL9">
        <v>1.492537313432837E-2</v>
      </c>
      <c r="DM9">
        <v>9.7633136094674583E-2</v>
      </c>
      <c r="DN9">
        <v>7.142857142857148E-2</v>
      </c>
      <c r="DO9">
        <v>-1.2787723785166195E-2</v>
      </c>
    </row>
    <row r="10" spans="1:120" x14ac:dyDescent="0.3">
      <c r="A10" s="64" t="s">
        <v>9052</v>
      </c>
      <c r="B10">
        <v>0</v>
      </c>
      <c r="E10">
        <v>9.589041095890409E-2</v>
      </c>
      <c r="F10">
        <v>0.20000000000000004</v>
      </c>
      <c r="G10">
        <v>0</v>
      </c>
      <c r="H10">
        <v>-2.0618556701030948E-2</v>
      </c>
      <c r="J10">
        <v>1.6666666666666684E-2</v>
      </c>
      <c r="K10">
        <v>3.1088082901554431E-2</v>
      </c>
      <c r="L10">
        <v>0</v>
      </c>
      <c r="M10">
        <v>3.8461538461538491E-2</v>
      </c>
      <c r="N10">
        <v>1.5384615384615398E-2</v>
      </c>
      <c r="O10">
        <v>0</v>
      </c>
      <c r="P10">
        <v>0</v>
      </c>
      <c r="Q10">
        <v>-3.6000000000000122E-2</v>
      </c>
      <c r="R10">
        <v>-4.0816326530612276E-2</v>
      </c>
      <c r="S10">
        <v>0.12666666666666679</v>
      </c>
      <c r="T10">
        <v>0</v>
      </c>
      <c r="U10">
        <v>-2.3529411764705903E-2</v>
      </c>
      <c r="V10">
        <v>-2.830188679245273E-2</v>
      </c>
      <c r="W10">
        <v>4.5845272206303765E-2</v>
      </c>
      <c r="X10">
        <v>-2.201834862385323E-2</v>
      </c>
      <c r="Y10">
        <v>0.14285714285714277</v>
      </c>
      <c r="Z10">
        <v>0</v>
      </c>
      <c r="AA10">
        <v>1.0000000000000009E-2</v>
      </c>
      <c r="AB10">
        <v>-6.2630480167015137E-3</v>
      </c>
      <c r="AE10">
        <v>-1.4444444444444444</v>
      </c>
      <c r="AF10">
        <v>1.086956521739146E-2</v>
      </c>
      <c r="AG10">
        <v>-1.8669778296382746E-2</v>
      </c>
      <c r="AH10">
        <v>-7.9470198675496762E-2</v>
      </c>
      <c r="AI10">
        <v>-7.6797385620915135E-2</v>
      </c>
      <c r="AJ10">
        <v>3.1372549019607697E-2</v>
      </c>
      <c r="AK10">
        <v>0</v>
      </c>
      <c r="AL10">
        <v>0</v>
      </c>
      <c r="AM10">
        <v>-2.2099447513812175E-2</v>
      </c>
      <c r="AN10">
        <v>4.7619047619047533E-2</v>
      </c>
      <c r="AO10">
        <v>0.13103448275862065</v>
      </c>
      <c r="AP10">
        <v>-9.3457943925233725E-3</v>
      </c>
      <c r="AQ10">
        <v>-0.1333333333333333</v>
      </c>
      <c r="AR10">
        <v>-3.1746031746031772E-2</v>
      </c>
      <c r="AS10">
        <v>1.1363636363636248E-2</v>
      </c>
      <c r="AU10">
        <v>-1.6393442622950834E-2</v>
      </c>
      <c r="AW10">
        <v>0</v>
      </c>
      <c r="AX10">
        <v>0</v>
      </c>
      <c r="AY10">
        <v>9.9999999999999978E-2</v>
      </c>
      <c r="AZ10">
        <v>-5.0181818181818272E-2</v>
      </c>
      <c r="BB10">
        <v>3.5294117647058726E-2</v>
      </c>
      <c r="BC10">
        <v>1.3201320132013214E-2</v>
      </c>
      <c r="BD10">
        <v>8.2781456953642391E-2</v>
      </c>
      <c r="BE10">
        <v>-5.2401746724890681E-2</v>
      </c>
      <c r="BF10">
        <v>1.1494252873563229E-2</v>
      </c>
      <c r="BG10">
        <v>5.6818181818181816E-2</v>
      </c>
      <c r="BI10">
        <v>-0.59493670886075944</v>
      </c>
      <c r="BJ10">
        <v>-0.27499999999999997</v>
      </c>
      <c r="BK10">
        <v>0</v>
      </c>
      <c r="BM10">
        <v>1.0309278350515474E-2</v>
      </c>
      <c r="BN10">
        <v>-0.1666666666666666</v>
      </c>
      <c r="BP10">
        <v>1.492537313432837E-2</v>
      </c>
      <c r="BR10">
        <v>3.5714285714285747E-2</v>
      </c>
      <c r="BS10">
        <v>0.36</v>
      </c>
      <c r="BT10">
        <v>4.7619047619047533E-2</v>
      </c>
      <c r="BU10">
        <v>0.14893617021276598</v>
      </c>
      <c r="BV10">
        <v>1.0489510489510577E-2</v>
      </c>
      <c r="BW10">
        <v>-1.8348623853211024E-2</v>
      </c>
      <c r="BX10">
        <v>0</v>
      </c>
      <c r="BY10">
        <v>-7.6335877862595486E-3</v>
      </c>
      <c r="CA10">
        <v>0</v>
      </c>
      <c r="CB10">
        <v>1.2500000000000011E-2</v>
      </c>
      <c r="CC10">
        <v>0.10810810810810806</v>
      </c>
      <c r="CD10">
        <v>5.6490384615384692E-2</v>
      </c>
      <c r="CE10">
        <v>0</v>
      </c>
      <c r="CG10">
        <v>2.8735632183908073E-2</v>
      </c>
      <c r="CH10">
        <v>0</v>
      </c>
      <c r="CI10">
        <v>0</v>
      </c>
      <c r="CK10">
        <v>5.1136363636363681E-2</v>
      </c>
      <c r="CL10">
        <v>6.3131313131313135E-2</v>
      </c>
      <c r="CM10">
        <v>4.3939393939393945E-2</v>
      </c>
      <c r="CN10">
        <v>0.11428571428571439</v>
      </c>
      <c r="CO10">
        <v>3.8461538461538491E-2</v>
      </c>
      <c r="CP10">
        <v>1.9999999999999907E-2</v>
      </c>
      <c r="CQ10">
        <v>3.2258064516129059E-2</v>
      </c>
      <c r="CR10">
        <v>5.7142857142857195E-3</v>
      </c>
      <c r="CT10">
        <v>-5.2044609665427559E-2</v>
      </c>
      <c r="CU10">
        <v>5.9649122807017514E-2</v>
      </c>
      <c r="CV10">
        <v>-2.205882352941162E-2</v>
      </c>
      <c r="CW10">
        <v>9.7142857142857225E-2</v>
      </c>
      <c r="CX10">
        <v>-2.9032258064516224E-2</v>
      </c>
      <c r="CY10">
        <v>-2.4999999999999911E-2</v>
      </c>
      <c r="CZ10">
        <v>-3.1250000000000028E-2</v>
      </c>
      <c r="DA10">
        <v>8.9743589743589675E-2</v>
      </c>
      <c r="DB10">
        <v>1.1363636363636374E-2</v>
      </c>
      <c r="DC10">
        <v>0.15995260663507105</v>
      </c>
      <c r="DE10">
        <v>-0.10526315789473675</v>
      </c>
      <c r="DF10">
        <v>0</v>
      </c>
      <c r="DI10">
        <v>-0.12765957446808501</v>
      </c>
      <c r="DJ10">
        <v>3.9215686274508971E-3</v>
      </c>
      <c r="DL10">
        <v>-7.2992700729927066E-3</v>
      </c>
      <c r="DM10">
        <v>5.7971014492753676E-3</v>
      </c>
      <c r="DN10">
        <v>9.999999999999995E-2</v>
      </c>
      <c r="DO10">
        <v>3.5989717223650415E-2</v>
      </c>
    </row>
    <row r="11" spans="1:120" x14ac:dyDescent="0.3">
      <c r="A11" s="64" t="s">
        <v>9053</v>
      </c>
      <c r="B11">
        <v>-6.8690095846645469E-2</v>
      </c>
      <c r="E11">
        <v>-0.12796208530805689</v>
      </c>
      <c r="F11">
        <v>-0.79999999999999993</v>
      </c>
      <c r="G11">
        <v>0</v>
      </c>
      <c r="H11">
        <v>-3.0612244897959211E-2</v>
      </c>
      <c r="J11">
        <v>1.6949152542372899E-2</v>
      </c>
      <c r="K11">
        <v>2.0512820512820419E-2</v>
      </c>
      <c r="L11">
        <v>0</v>
      </c>
      <c r="M11">
        <v>8.0645161290322648E-3</v>
      </c>
      <c r="N11">
        <v>-1.5625000000000014E-2</v>
      </c>
      <c r="O11">
        <v>0</v>
      </c>
      <c r="P11">
        <v>0</v>
      </c>
      <c r="Q11">
        <v>-4.5977011494252748E-2</v>
      </c>
      <c r="R11">
        <v>7.6923076923076983E-2</v>
      </c>
      <c r="S11">
        <v>0.16417910447761183</v>
      </c>
      <c r="T11">
        <v>0</v>
      </c>
      <c r="U11">
        <v>0</v>
      </c>
      <c r="V11">
        <v>-7.8998073217726422E-2</v>
      </c>
      <c r="W11">
        <v>0</v>
      </c>
      <c r="X11">
        <v>1.8587360594795474E-2</v>
      </c>
      <c r="Y11">
        <v>-0.26666666666666672</v>
      </c>
      <c r="Z11">
        <v>0</v>
      </c>
      <c r="AA11">
        <v>-8.6124401913875687E-2</v>
      </c>
      <c r="AB11">
        <v>7.532210109018829E-2</v>
      </c>
      <c r="AE11">
        <v>0</v>
      </c>
      <c r="AF11">
        <v>-6.7653276955602595E-2</v>
      </c>
      <c r="AG11">
        <v>-2.3894862604540153E-2</v>
      </c>
      <c r="AH11">
        <v>6.6666666666666723E-3</v>
      </c>
      <c r="AI11">
        <v>6.9930069930069999E-3</v>
      </c>
      <c r="AJ11">
        <v>-4.3478260869565175E-2</v>
      </c>
      <c r="AK11">
        <v>0.1666666666666666</v>
      </c>
      <c r="AL11">
        <v>-0.25000000000000006</v>
      </c>
      <c r="AM11">
        <v>2.2471910112359571E-2</v>
      </c>
      <c r="AN11">
        <v>-0.13333333333333328</v>
      </c>
      <c r="AO11">
        <v>0.22513089005235601</v>
      </c>
      <c r="AP11">
        <v>-6.6666666666666513E-2</v>
      </c>
      <c r="AQ11">
        <v>-6.7567567567567627E-2</v>
      </c>
      <c r="AR11">
        <v>0.10097719869706842</v>
      </c>
      <c r="AS11">
        <v>-1.0638297872340318E-2</v>
      </c>
      <c r="AU11">
        <v>2.8688524590163869E-2</v>
      </c>
      <c r="AW11">
        <v>0</v>
      </c>
      <c r="AX11">
        <v>-3.4482758620689689E-2</v>
      </c>
      <c r="AY11">
        <v>0.11038961038961045</v>
      </c>
      <c r="AZ11">
        <v>-1.5492957746478794E-2</v>
      </c>
      <c r="BB11">
        <v>-1.1904761904761784E-2</v>
      </c>
      <c r="BC11">
        <v>5.9602649006622571E-2</v>
      </c>
      <c r="BD11">
        <v>-2.9801324503311213E-2</v>
      </c>
      <c r="BE11">
        <v>2.6785714285714309E-2</v>
      </c>
      <c r="BF11">
        <v>5.7142857142857195E-3</v>
      </c>
      <c r="BG11">
        <v>-7.6923076923077038E-2</v>
      </c>
      <c r="BI11">
        <v>0</v>
      </c>
      <c r="BJ11">
        <v>0.1891891891891892</v>
      </c>
      <c r="BK11">
        <v>0</v>
      </c>
      <c r="BM11">
        <v>9.9009900990099098E-3</v>
      </c>
      <c r="BN11">
        <v>0.1999999999999999</v>
      </c>
      <c r="BP11">
        <v>4.5801526717557293E-2</v>
      </c>
      <c r="BR11">
        <v>-6.4935064935064984E-2</v>
      </c>
      <c r="BS11">
        <v>0.125</v>
      </c>
      <c r="BT11">
        <v>-2.4390243902439046E-2</v>
      </c>
      <c r="BU11">
        <v>-0.32432432432432434</v>
      </c>
      <c r="BV11">
        <v>-2.2435897435897526E-2</v>
      </c>
      <c r="BW11">
        <v>-2.8037383177570117E-2</v>
      </c>
      <c r="BX11">
        <v>0</v>
      </c>
      <c r="BY11">
        <v>-3.0303030303030328E-2</v>
      </c>
      <c r="CA11">
        <v>-0.16666666666666682</v>
      </c>
      <c r="CB11">
        <v>-3.1055900621117901E-2</v>
      </c>
      <c r="CC11">
        <v>-2.3809523809523832E-2</v>
      </c>
      <c r="CD11">
        <v>5.8823529411763456E-3</v>
      </c>
      <c r="CE11">
        <v>-2.4691358024691492E-2</v>
      </c>
      <c r="CG11">
        <v>3.1446540880503172E-2</v>
      </c>
      <c r="CH11">
        <v>-1</v>
      </c>
      <c r="CI11">
        <v>-7.9422382671480218E-2</v>
      </c>
      <c r="CJ11">
        <v>3.8834951456310607E-2</v>
      </c>
      <c r="CK11">
        <v>6.2499999999999931E-2</v>
      </c>
      <c r="CL11">
        <v>-5.0377833753148657E-3</v>
      </c>
      <c r="CM11">
        <v>0</v>
      </c>
      <c r="CN11">
        <v>-0.17857142857142852</v>
      </c>
      <c r="CO11">
        <v>-1.8518518518518535E-2</v>
      </c>
      <c r="CP11">
        <v>-0.12195121951219511</v>
      </c>
      <c r="CQ11">
        <v>0</v>
      </c>
      <c r="CR11">
        <v>-1.7341040462427761E-2</v>
      </c>
      <c r="CT11">
        <v>-7.0631970260223026E-2</v>
      </c>
      <c r="CU11">
        <v>-3.5087719298245487E-2</v>
      </c>
      <c r="CV11">
        <v>-4.4444444444444481E-2</v>
      </c>
      <c r="CW11">
        <v>3.7681159420289823E-2</v>
      </c>
      <c r="CX11">
        <v>1.1904761904761916E-2</v>
      </c>
      <c r="CY11">
        <v>7.4999999999999956E-2</v>
      </c>
      <c r="CZ11">
        <v>3.8461538461538491E-2</v>
      </c>
      <c r="DA11">
        <v>1.4285714285714299E-2</v>
      </c>
      <c r="DB11">
        <v>2.9585798816567942E-2</v>
      </c>
      <c r="DC11">
        <v>-1.0071090047393361E-2</v>
      </c>
      <c r="DE11">
        <v>-0.16964285714285707</v>
      </c>
      <c r="DF11">
        <v>-8.2191780821917887E-2</v>
      </c>
      <c r="DG11">
        <v>0</v>
      </c>
      <c r="DI11">
        <v>-2.3809523809523937E-2</v>
      </c>
      <c r="DJ11">
        <v>-3.5019455252918233E-2</v>
      </c>
      <c r="DL11">
        <v>-6.6666666666666555E-2</v>
      </c>
      <c r="DM11">
        <v>0</v>
      </c>
      <c r="DN11">
        <v>0</v>
      </c>
      <c r="DO11">
        <v>-4.822335025380721E-2</v>
      </c>
    </row>
    <row r="12" spans="1:120" x14ac:dyDescent="0.3">
      <c r="A12" s="64" t="s">
        <v>9054</v>
      </c>
      <c r="B12">
        <v>-1.5974440894568634E-2</v>
      </c>
      <c r="E12">
        <v>0.10526315789473682</v>
      </c>
      <c r="F12">
        <v>0</v>
      </c>
      <c r="G12">
        <v>-1</v>
      </c>
      <c r="H12">
        <v>3.0000000000000027E-2</v>
      </c>
      <c r="J12">
        <v>1.7241379310344654E-2</v>
      </c>
      <c r="K12">
        <v>-2.6455026455026363E-2</v>
      </c>
      <c r="L12">
        <v>-3.4090909090909123E-2</v>
      </c>
      <c r="M12">
        <v>-0.10924369747899169</v>
      </c>
      <c r="N12">
        <v>1.5873015873015886E-2</v>
      </c>
      <c r="O12">
        <v>0</v>
      </c>
      <c r="P12">
        <v>0</v>
      </c>
      <c r="Q12">
        <v>-3.7037037037037888E-3</v>
      </c>
      <c r="R12">
        <v>-3.703703703703707E-2</v>
      </c>
      <c r="S12">
        <v>-0.13043478260869568</v>
      </c>
      <c r="T12">
        <v>-5.7692307692307744E-2</v>
      </c>
      <c r="U12">
        <v>-3.9772727272727307E-2</v>
      </c>
      <c r="V12">
        <v>-3.7453183520598453E-3</v>
      </c>
      <c r="W12">
        <v>-9.4707520891364985E-2</v>
      </c>
      <c r="X12">
        <v>-8.9090909090908971E-2</v>
      </c>
      <c r="Y12">
        <v>7.6923076923076983E-2</v>
      </c>
      <c r="Z12">
        <v>0</v>
      </c>
      <c r="AA12">
        <v>-0.12077294685990339</v>
      </c>
      <c r="AB12">
        <v>3.3497536945812791E-2</v>
      </c>
      <c r="AE12">
        <v>-0.42666666666666658</v>
      </c>
      <c r="AF12">
        <v>-4.700854700854696E-2</v>
      </c>
      <c r="AG12">
        <v>4.3376318874560497E-2</v>
      </c>
      <c r="AH12">
        <v>-2.4691358024691242E-2</v>
      </c>
      <c r="AI12">
        <v>-2.4232633279482951E-2</v>
      </c>
      <c r="AJ12">
        <v>4.0816326530613185E-3</v>
      </c>
      <c r="AK12">
        <v>0</v>
      </c>
      <c r="AL12">
        <v>0</v>
      </c>
      <c r="AM12">
        <v>-9.8901098901098869E-2</v>
      </c>
      <c r="AN12">
        <v>-0.42857142857142849</v>
      </c>
      <c r="AO12">
        <v>7.1895424836601371E-2</v>
      </c>
      <c r="AP12">
        <v>6.603773584905645E-2</v>
      </c>
      <c r="AQ12">
        <v>-4.1666666666666706E-2</v>
      </c>
      <c r="AR12">
        <v>-0.11356466876971619</v>
      </c>
      <c r="AS12">
        <v>-4.3010752688172081E-2</v>
      </c>
      <c r="AT12">
        <v>-5.0505050505050435E-2</v>
      </c>
      <c r="AU12">
        <v>-0.19354838709677419</v>
      </c>
      <c r="AW12">
        <v>-0.11111111111111122</v>
      </c>
      <c r="AX12">
        <v>3.4482758620689689E-2</v>
      </c>
      <c r="AY12">
        <v>-7.246376811594177E-3</v>
      </c>
      <c r="AZ12">
        <v>-6.7159167226327346E-3</v>
      </c>
      <c r="BB12">
        <v>0</v>
      </c>
      <c r="BC12">
        <v>0</v>
      </c>
      <c r="BD12">
        <v>0</v>
      </c>
      <c r="BE12">
        <v>-9.3220338983050932E-2</v>
      </c>
      <c r="BF12">
        <v>-0.12716763005780346</v>
      </c>
      <c r="BG12">
        <v>0</v>
      </c>
      <c r="BH12">
        <v>-6.2857142857142917E-2</v>
      </c>
      <c r="BI12">
        <v>-8.3333333333333412E-2</v>
      </c>
      <c r="BJ12">
        <v>0</v>
      </c>
      <c r="BK12">
        <v>0</v>
      </c>
      <c r="BM12">
        <v>2.5000000000000022E-2</v>
      </c>
      <c r="BN12">
        <v>0</v>
      </c>
      <c r="BP12">
        <v>-7.7519379844961309E-3</v>
      </c>
      <c r="BR12">
        <v>-0.16216216216216217</v>
      </c>
      <c r="BS12">
        <v>-0.7333333333333335</v>
      </c>
      <c r="BT12">
        <v>0</v>
      </c>
      <c r="BU12">
        <v>0.16666666666666663</v>
      </c>
      <c r="BV12">
        <v>-9.7087378640776066E-3</v>
      </c>
      <c r="BW12">
        <v>3.6697247706422048E-2</v>
      </c>
      <c r="BX12">
        <v>0</v>
      </c>
      <c r="BY12">
        <v>0</v>
      </c>
      <c r="CA12">
        <v>-0.25</v>
      </c>
      <c r="CB12">
        <v>-9.4339622641510211E-3</v>
      </c>
      <c r="CC12">
        <v>7.8947368421052697E-2</v>
      </c>
      <c r="CD12">
        <v>1.7434620174346275E-2</v>
      </c>
      <c r="CE12">
        <v>-0.13580246913580243</v>
      </c>
      <c r="CF12">
        <v>-1.8987341772151913E-2</v>
      </c>
      <c r="CG12">
        <v>-1.9480519480519497E-2</v>
      </c>
      <c r="CH12">
        <v>0</v>
      </c>
      <c r="CI12">
        <v>6.1371841155234794E-2</v>
      </c>
      <c r="CJ12">
        <v>-0.10638297872340424</v>
      </c>
      <c r="CK12">
        <v>1.7964071856287442E-2</v>
      </c>
      <c r="CL12">
        <v>4.0322580645161386E-2</v>
      </c>
      <c r="CM12">
        <v>5.4462934947049971E-2</v>
      </c>
      <c r="CN12">
        <v>0.1666666666666666</v>
      </c>
      <c r="CO12">
        <v>0</v>
      </c>
      <c r="CP12">
        <v>-0.11249999999999996</v>
      </c>
      <c r="CQ12">
        <v>0</v>
      </c>
      <c r="CR12">
        <v>-0.14534883720930233</v>
      </c>
      <c r="CT12">
        <v>-3.5335689045935641E-3</v>
      </c>
      <c r="CU12">
        <v>4.8507462686567124E-2</v>
      </c>
      <c r="CV12">
        <v>0</v>
      </c>
      <c r="CW12">
        <v>5.1446945337620627E-2</v>
      </c>
      <c r="CX12">
        <v>-2.318840579710147E-2</v>
      </c>
      <c r="CY12">
        <v>-2.439024390243905E-2</v>
      </c>
      <c r="CZ12">
        <v>0</v>
      </c>
      <c r="DA12">
        <v>4.7619047619047658E-2</v>
      </c>
      <c r="DB12">
        <v>-2.9940119760478938E-2</v>
      </c>
      <c r="DC12">
        <v>0</v>
      </c>
      <c r="DE12">
        <v>-1.612903225806453E-2</v>
      </c>
      <c r="DF12">
        <v>-1.3698630136986314E-2</v>
      </c>
      <c r="DI12">
        <v>-4.1666666666666519E-2</v>
      </c>
      <c r="DJ12">
        <v>-1.1718750000000097E-2</v>
      </c>
      <c r="DL12">
        <v>2.2058823529411783E-2</v>
      </c>
      <c r="DM12">
        <v>-6.4516129032258117E-3</v>
      </c>
      <c r="DN12">
        <v>-0.25000000000000006</v>
      </c>
      <c r="DO12">
        <v>5.2631578947368472E-3</v>
      </c>
    </row>
    <row r="13" spans="1:120" x14ac:dyDescent="0.3">
      <c r="A13" s="64" t="s">
        <v>9055</v>
      </c>
      <c r="B13">
        <v>1.1958146487294478E-2</v>
      </c>
      <c r="E13">
        <v>-1.8433179723502217E-2</v>
      </c>
      <c r="F13">
        <v>-0.12499999999999993</v>
      </c>
      <c r="H13">
        <v>-5.825242718446607E-2</v>
      </c>
      <c r="J13">
        <v>-5.2631578947368279E-2</v>
      </c>
      <c r="K13">
        <v>-2.4324324324324405E-2</v>
      </c>
      <c r="L13">
        <v>-6.8181818181818121E-2</v>
      </c>
      <c r="M13">
        <v>4.6610169491525563E-2</v>
      </c>
      <c r="N13">
        <v>-1.5625000000000014E-2</v>
      </c>
      <c r="O13">
        <v>0</v>
      </c>
      <c r="P13">
        <v>-0.49999999999999989</v>
      </c>
      <c r="Q13">
        <v>-7.0921985815602905E-3</v>
      </c>
      <c r="R13">
        <v>-0.47599999999999998</v>
      </c>
      <c r="S13">
        <v>0.18279569892473121</v>
      </c>
      <c r="T13">
        <v>3.8461538461538491E-2</v>
      </c>
      <c r="U13">
        <v>-0.15340909090909091</v>
      </c>
      <c r="V13">
        <v>-4.0000000000000077E-2</v>
      </c>
      <c r="W13">
        <v>-4.1782729805013907E-2</v>
      </c>
      <c r="X13">
        <v>-6.8518518518518534E-2</v>
      </c>
      <c r="Y13">
        <v>5.8823529411764754E-2</v>
      </c>
      <c r="Z13">
        <v>0</v>
      </c>
      <c r="AA13">
        <v>8.8888888888888962E-2</v>
      </c>
      <c r="AB13">
        <v>-6.8157614483492945E-2</v>
      </c>
      <c r="AC13">
        <v>-8.3333333333333287E-2</v>
      </c>
      <c r="AE13">
        <v>-0.9181818181818181</v>
      </c>
      <c r="AF13">
        <v>-6.6000000000000017E-2</v>
      </c>
      <c r="AG13">
        <v>1.6036655211912804E-2</v>
      </c>
      <c r="AH13">
        <v>1.8633540372670686E-2</v>
      </c>
      <c r="AI13">
        <v>6.5040650406504117E-3</v>
      </c>
      <c r="AJ13">
        <v>-9.765625E-2</v>
      </c>
      <c r="AK13">
        <v>-0.1999999999999999</v>
      </c>
      <c r="AL13">
        <v>0</v>
      </c>
      <c r="AM13">
        <v>-6.1797752808988693E-2</v>
      </c>
      <c r="AN13">
        <v>0.12499999999999993</v>
      </c>
      <c r="AO13">
        <v>1.8181818181818195E-2</v>
      </c>
      <c r="AP13">
        <v>-4.424778761061951E-2</v>
      </c>
      <c r="AQ13">
        <v>-5.0561797752808911E-2</v>
      </c>
      <c r="AR13">
        <v>-4.5454545454545421E-2</v>
      </c>
      <c r="AS13">
        <v>-4.2553191489361743E-2</v>
      </c>
      <c r="AT13">
        <v>0.10989010989010986</v>
      </c>
      <c r="AU13">
        <v>-1.6597510373443997E-2</v>
      </c>
      <c r="AW13">
        <v>-0.44444444444444453</v>
      </c>
      <c r="AX13">
        <v>-2.5000000000000022E-2</v>
      </c>
      <c r="AY13">
        <v>0</v>
      </c>
      <c r="AZ13">
        <v>-3.9046988749172729E-2</v>
      </c>
      <c r="BB13">
        <v>1.2195121951219388E-2</v>
      </c>
      <c r="BC13">
        <v>3.5714285714285587E-2</v>
      </c>
      <c r="BD13">
        <v>0.11888111888111884</v>
      </c>
      <c r="BE13">
        <v>-0.14782608695652169</v>
      </c>
      <c r="BF13">
        <v>-0.11627906976744197</v>
      </c>
      <c r="BG13">
        <v>6.8817204301075324E-2</v>
      </c>
      <c r="BH13">
        <v>-7.4285714285714219E-2</v>
      </c>
      <c r="BI13">
        <v>8.3333333333333419E-3</v>
      </c>
      <c r="BJ13">
        <v>-4.8780487804878092E-2</v>
      </c>
      <c r="BK13">
        <v>0</v>
      </c>
      <c r="BM13">
        <v>4.5454545454545386E-2</v>
      </c>
      <c r="BN13">
        <v>0</v>
      </c>
      <c r="BP13">
        <v>4.0650406504065074E-2</v>
      </c>
      <c r="BR13">
        <v>7.5949367088607653E-2</v>
      </c>
      <c r="BS13">
        <v>0.16666666666666682</v>
      </c>
      <c r="BT13">
        <v>-0.15</v>
      </c>
      <c r="BU13">
        <v>4.7619047619047665E-2</v>
      </c>
      <c r="BV13">
        <v>-1.5822784810126667E-2</v>
      </c>
      <c r="BW13">
        <v>-2.6785714285714309E-2</v>
      </c>
      <c r="BX13">
        <v>0</v>
      </c>
      <c r="BY13">
        <v>-5.1094890510948787E-2</v>
      </c>
      <c r="BZ13">
        <v>-0.11999999999999988</v>
      </c>
      <c r="CA13">
        <v>0</v>
      </c>
      <c r="CB13">
        <v>-9.4512195121951248E-2</v>
      </c>
      <c r="CC13">
        <v>5.1282051282051183E-2</v>
      </c>
      <c r="CD13">
        <v>5.0125313283208061E-3</v>
      </c>
      <c r="CE13">
        <v>-8.4337349397590272E-2</v>
      </c>
      <c r="CF13">
        <v>9.8684210526315874E-2</v>
      </c>
      <c r="CG13">
        <v>0</v>
      </c>
      <c r="CH13">
        <v>0</v>
      </c>
      <c r="CI13">
        <v>-9.0301003344481601E-2</v>
      </c>
      <c r="CJ13">
        <v>4.4444444444444481E-2</v>
      </c>
      <c r="CK13">
        <v>5.1282051282051329E-2</v>
      </c>
      <c r="CL13">
        <v>-6.9518716577540163E-2</v>
      </c>
      <c r="CM13">
        <v>-3.1770045385779114E-2</v>
      </c>
      <c r="CN13">
        <v>3.4482758620689689E-2</v>
      </c>
      <c r="CO13">
        <v>-3.7735849056603807E-2</v>
      </c>
      <c r="CP13">
        <v>0.13333333333333333</v>
      </c>
      <c r="CQ13">
        <v>-4.1666666666666706E-2</v>
      </c>
      <c r="CR13">
        <v>2.8571428571428598E-2</v>
      </c>
      <c r="CS13">
        <v>0</v>
      </c>
      <c r="CT13">
        <v>-5.2980132450331174E-2</v>
      </c>
      <c r="CU13">
        <v>-4.3165467625899324E-2</v>
      </c>
      <c r="CV13">
        <v>-1.3888888888888902E-2</v>
      </c>
      <c r="CW13">
        <v>3.691275167785231E-2</v>
      </c>
      <c r="CX13">
        <v>-2.9325513196480314E-3</v>
      </c>
      <c r="CY13">
        <v>2.6315789473684237E-2</v>
      </c>
      <c r="CZ13">
        <v>0</v>
      </c>
      <c r="DA13">
        <v>-1.612903225806453E-2</v>
      </c>
      <c r="DB13">
        <v>-1.2345679012345689E-2</v>
      </c>
      <c r="DC13">
        <v>0</v>
      </c>
      <c r="DE13">
        <v>-1.3986013986014E-2</v>
      </c>
      <c r="DF13">
        <v>1.2658227848101276E-2</v>
      </c>
      <c r="DI13">
        <v>-4.0816326530612276E-2</v>
      </c>
      <c r="DJ13">
        <v>-1.886792452830182E-2</v>
      </c>
      <c r="DK13">
        <v>-7.7519379844961309E-2</v>
      </c>
      <c r="DL13">
        <v>-6.8965517241379379E-2</v>
      </c>
      <c r="DM13">
        <v>-3.2258064516128343E-3</v>
      </c>
      <c r="DN13">
        <v>0.375</v>
      </c>
      <c r="DO13">
        <v>-4.2606516290726683E-2</v>
      </c>
    </row>
    <row r="14" spans="1:120" x14ac:dyDescent="0.3">
      <c r="A14" s="64" t="s">
        <v>9056</v>
      </c>
      <c r="B14">
        <v>-3.2400589101619991E-2</v>
      </c>
      <c r="E14">
        <v>-0.23350253807106619</v>
      </c>
      <c r="F14">
        <v>0.12499999999999993</v>
      </c>
      <c r="G14">
        <v>0</v>
      </c>
      <c r="H14">
        <v>-3.0000000000000027E-2</v>
      </c>
      <c r="J14">
        <v>-3.571428571428574E-2</v>
      </c>
      <c r="K14">
        <v>0</v>
      </c>
      <c r="L14">
        <v>1.0989010989010999E-2</v>
      </c>
      <c r="M14">
        <v>-3.8167938931298589E-3</v>
      </c>
      <c r="N14">
        <v>0</v>
      </c>
      <c r="O14">
        <v>0</v>
      </c>
      <c r="P14">
        <v>0.49999999999999989</v>
      </c>
      <c r="Q14">
        <v>-8.8339222614840993E-2</v>
      </c>
      <c r="R14">
        <v>0.1846153846153846</v>
      </c>
      <c r="S14">
        <v>0.3888888888888889</v>
      </c>
      <c r="T14">
        <v>0</v>
      </c>
      <c r="U14">
        <v>-2.1857923497267777E-2</v>
      </c>
      <c r="V14">
        <v>2.5996533795493999E-2</v>
      </c>
      <c r="W14">
        <v>9.1603053435114462E-2</v>
      </c>
      <c r="X14">
        <v>2.2071307300509321E-2</v>
      </c>
      <c r="Y14">
        <v>0.12499999999999993</v>
      </c>
      <c r="Z14">
        <v>0</v>
      </c>
      <c r="AA14">
        <v>-6.0000000000000496E-3</v>
      </c>
      <c r="AB14">
        <v>2.0994475138121492E-2</v>
      </c>
      <c r="AC14">
        <v>-6.9444444444444572E-2</v>
      </c>
      <c r="AE14">
        <v>-0.7068965517241379</v>
      </c>
      <c r="AF14">
        <v>0</v>
      </c>
      <c r="AG14">
        <v>4.4258373205741747E-2</v>
      </c>
      <c r="AH14">
        <v>6.6666666666666735E-2</v>
      </c>
      <c r="AI14">
        <v>3.3333333333333326E-2</v>
      </c>
      <c r="AJ14">
        <v>2.3529411764705729E-2</v>
      </c>
      <c r="AK14">
        <v>-0.10000000000000009</v>
      </c>
      <c r="AL14">
        <v>0</v>
      </c>
      <c r="AM14">
        <v>2.5510204081632563E-2</v>
      </c>
      <c r="AN14">
        <v>0</v>
      </c>
      <c r="AO14">
        <v>-4.0404040404040442E-2</v>
      </c>
      <c r="AP14">
        <v>0</v>
      </c>
      <c r="AQ14">
        <v>-8.6486486486486561E-2</v>
      </c>
      <c r="AR14">
        <v>5.9006211180124203E-2</v>
      </c>
      <c r="AS14">
        <v>-0.11224489795918355</v>
      </c>
      <c r="AT14">
        <v>-9.3749999999999972E-2</v>
      </c>
      <c r="AU14">
        <v>3.8062283737024333E-2</v>
      </c>
      <c r="AW14">
        <v>-0.3</v>
      </c>
      <c r="AX14">
        <v>-8.6206896551724223E-3</v>
      </c>
      <c r="AY14">
        <v>0</v>
      </c>
      <c r="AZ14">
        <v>1.4464168310322198E-2</v>
      </c>
      <c r="BB14">
        <v>-2.4390243902438911E-2</v>
      </c>
      <c r="BC14">
        <v>-1.7857142857142794E-2</v>
      </c>
      <c r="BD14">
        <v>-0.11888111888111884</v>
      </c>
      <c r="BE14">
        <v>-3.9682539682539715E-2</v>
      </c>
      <c r="BF14">
        <v>-4.6391752577319513E-2</v>
      </c>
      <c r="BG14">
        <v>6.4516129032258594E-3</v>
      </c>
      <c r="BH14">
        <v>5.9139784946236611E-2</v>
      </c>
      <c r="BI14">
        <v>0</v>
      </c>
      <c r="BJ14">
        <v>4.8780487804878092E-2</v>
      </c>
      <c r="BK14">
        <v>0</v>
      </c>
      <c r="BM14">
        <v>0.18652849740932648</v>
      </c>
      <c r="BN14">
        <v>0</v>
      </c>
      <c r="BP14">
        <v>-8.0645161290322648E-3</v>
      </c>
      <c r="BR14">
        <v>-5.4945054945054993E-2</v>
      </c>
      <c r="BS14">
        <v>0.2608695652173913</v>
      </c>
      <c r="BT14">
        <v>0</v>
      </c>
      <c r="BU14">
        <v>0.13513513513513511</v>
      </c>
      <c r="BV14">
        <v>-1.8808777429466961E-2</v>
      </c>
      <c r="BW14">
        <v>9.2592592592592674E-3</v>
      </c>
      <c r="BX14">
        <v>0</v>
      </c>
      <c r="BY14">
        <v>0</v>
      </c>
      <c r="BZ14">
        <v>-1.9230769230769246E-2</v>
      </c>
      <c r="CA14">
        <v>-2.9411764705882214E-2</v>
      </c>
      <c r="CB14">
        <v>-6.0422960725075581E-3</v>
      </c>
      <c r="CC14">
        <v>0</v>
      </c>
      <c r="CD14">
        <v>-2.1683673469387748E-2</v>
      </c>
      <c r="CE14">
        <v>1.0638297872340387E-2</v>
      </c>
      <c r="CF14">
        <v>-4.5161290322580684E-2</v>
      </c>
      <c r="CG14">
        <v>-6.5789473684210583E-3</v>
      </c>
      <c r="CH14">
        <v>0</v>
      </c>
      <c r="CI14">
        <v>6.3829787234042451E-2</v>
      </c>
      <c r="CJ14">
        <v>2.0000000000000018E-2</v>
      </c>
      <c r="CK14">
        <v>-2.6143790849673224E-2</v>
      </c>
      <c r="CL14">
        <v>-8.3565459610027322E-3</v>
      </c>
      <c r="CM14">
        <v>-9.5999999999999367E-3</v>
      </c>
      <c r="CN14">
        <v>0.15999999999999992</v>
      </c>
      <c r="CO14">
        <v>9.433962264150951E-2</v>
      </c>
      <c r="CP14">
        <v>6.0606060606060545E-2</v>
      </c>
      <c r="CQ14">
        <v>-0.10416666666666677</v>
      </c>
      <c r="CR14">
        <v>-2.5000000000000022E-2</v>
      </c>
      <c r="CS14">
        <v>0</v>
      </c>
      <c r="CT14">
        <v>2.3102310231023052E-2</v>
      </c>
      <c r="CU14">
        <v>2.2641509433962283E-2</v>
      </c>
      <c r="CV14">
        <v>-4.1666666666666706E-2</v>
      </c>
      <c r="CW14">
        <v>3.5460992907800663E-3</v>
      </c>
      <c r="CX14">
        <v>5.7306590257879706E-3</v>
      </c>
      <c r="CY14">
        <v>-2.5641025641025664E-2</v>
      </c>
      <c r="CZ14">
        <v>0</v>
      </c>
      <c r="DA14">
        <v>-3.3898305084745797E-2</v>
      </c>
      <c r="DB14">
        <v>-0.25748502994011985</v>
      </c>
      <c r="DC14">
        <v>0.29407665505226471</v>
      </c>
      <c r="DE14">
        <v>-0.1586206896551724</v>
      </c>
      <c r="DF14">
        <v>0</v>
      </c>
      <c r="DI14">
        <v>-9.8039215686274522E-2</v>
      </c>
      <c r="DJ14">
        <v>-3.358208955223875E-2</v>
      </c>
      <c r="DK14">
        <v>-0.15646258503401358</v>
      </c>
      <c r="DL14">
        <v>7.0422535211267668E-3</v>
      </c>
      <c r="DM14">
        <v>1.6025641025640969E-2</v>
      </c>
      <c r="DN14">
        <v>-9.999999999999995E-2</v>
      </c>
      <c r="DO14">
        <v>-2.0151133501259463E-2</v>
      </c>
    </row>
    <row r="15" spans="1:120" x14ac:dyDescent="0.3">
      <c r="A15" s="64" t="s">
        <v>9057</v>
      </c>
      <c r="B15">
        <v>-7.8986587183308532E-2</v>
      </c>
      <c r="E15">
        <v>0</v>
      </c>
      <c r="F15">
        <v>0.11111111111111106</v>
      </c>
      <c r="G15">
        <v>0</v>
      </c>
      <c r="H15">
        <v>9.4339622641509517E-3</v>
      </c>
      <c r="J15">
        <v>-1.6949152542372899E-2</v>
      </c>
      <c r="K15">
        <v>-8.7403598971722438E-2</v>
      </c>
      <c r="L15">
        <v>-1.0309278350515474E-2</v>
      </c>
      <c r="M15">
        <v>1.5936254980079698E-2</v>
      </c>
      <c r="N15">
        <v>0</v>
      </c>
      <c r="O15">
        <v>0</v>
      </c>
      <c r="P15">
        <v>0</v>
      </c>
      <c r="Q15">
        <v>4.561403508771926E-2</v>
      </c>
      <c r="R15">
        <v>-1.319261213720312E-2</v>
      </c>
      <c r="S15">
        <v>-0.13186813186813187</v>
      </c>
      <c r="T15">
        <v>-1.8867924528301903E-2</v>
      </c>
      <c r="U15">
        <v>-0.24761904761904763</v>
      </c>
      <c r="V15">
        <v>3.3333333333332624E-3</v>
      </c>
      <c r="W15">
        <v>4.9019607843137298E-3</v>
      </c>
      <c r="X15">
        <v>-3.9936102236421724E-2</v>
      </c>
      <c r="Y15">
        <v>0</v>
      </c>
      <c r="Z15">
        <v>0</v>
      </c>
      <c r="AA15">
        <v>6.5217391304348369E-3</v>
      </c>
      <c r="AB15">
        <v>-3.6119711042311625E-2</v>
      </c>
      <c r="AC15">
        <v>9.2307692307692396E-2</v>
      </c>
      <c r="AE15">
        <v>-3.6363636363637205E-3</v>
      </c>
      <c r="AF15">
        <v>-0.12612612612612617</v>
      </c>
      <c r="AG15">
        <v>-1.0948905109489142E-2</v>
      </c>
      <c r="AH15">
        <v>3.703703703703707E-2</v>
      </c>
      <c r="AI15">
        <v>3.1948881789136702E-3</v>
      </c>
      <c r="AJ15">
        <v>-5.7142857142857037E-2</v>
      </c>
      <c r="AK15">
        <v>0.25</v>
      </c>
      <c r="AL15">
        <v>0</v>
      </c>
      <c r="AM15">
        <v>-7.246376811594199E-2</v>
      </c>
      <c r="AN15">
        <v>-9.999999999999995E-2</v>
      </c>
      <c r="AO15">
        <v>0.2989690721649485</v>
      </c>
      <c r="AP15">
        <v>-2.7027027027026848E-2</v>
      </c>
      <c r="AQ15">
        <v>-1.0309278350515474E-2</v>
      </c>
      <c r="AR15">
        <v>5.9701492537313485E-3</v>
      </c>
      <c r="AS15">
        <v>9.8039215686272427E-3</v>
      </c>
      <c r="AT15">
        <v>0.11627906976744183</v>
      </c>
      <c r="AU15">
        <v>-6.1433447098976163E-2</v>
      </c>
      <c r="AW15">
        <v>7.142857142857148E-2</v>
      </c>
      <c r="AX15">
        <v>-2.521008403361347E-2</v>
      </c>
      <c r="AY15">
        <v>0</v>
      </c>
      <c r="AZ15">
        <v>-2.0253164556962043E-2</v>
      </c>
      <c r="BB15">
        <v>0</v>
      </c>
      <c r="BC15">
        <v>1.8518518518518452E-2</v>
      </c>
      <c r="BD15">
        <v>-0.1984126984126984</v>
      </c>
      <c r="BE15">
        <v>-6.9930069930069999E-3</v>
      </c>
      <c r="BF15">
        <v>-1.4018691588784955E-2</v>
      </c>
      <c r="BG15">
        <v>-9.2378752886836113E-2</v>
      </c>
      <c r="BH15">
        <v>-1.0050251256281416E-2</v>
      </c>
      <c r="BI15">
        <v>-7.7519379844961309E-3</v>
      </c>
      <c r="BJ15">
        <v>2.3255813953488264E-2</v>
      </c>
      <c r="BK15">
        <v>0</v>
      </c>
      <c r="BM15">
        <v>-4.8913043478260913E-2</v>
      </c>
      <c r="BN15">
        <v>0</v>
      </c>
      <c r="BP15">
        <v>2.521008403361347E-2</v>
      </c>
      <c r="BR15">
        <v>7.0588235294117715E-2</v>
      </c>
      <c r="BS15">
        <v>0.23809523809523805</v>
      </c>
      <c r="BT15">
        <v>0</v>
      </c>
      <c r="BU15">
        <v>-0.14285714285714282</v>
      </c>
      <c r="BV15">
        <v>-2.1604938271605024E-2</v>
      </c>
      <c r="BW15">
        <v>-7.2072072072071933E-2</v>
      </c>
      <c r="BX15">
        <v>0</v>
      </c>
      <c r="BY15">
        <v>-4.1666666666666706E-2</v>
      </c>
      <c r="BZ15">
        <v>-0.17241379310344826</v>
      </c>
      <c r="CA15">
        <v>2.9411764705882214E-2</v>
      </c>
      <c r="CB15">
        <v>1.3812154696132671E-2</v>
      </c>
      <c r="CC15">
        <v>-5.8823529411764594E-2</v>
      </c>
      <c r="CD15">
        <v>-7.0512820512820498E-2</v>
      </c>
      <c r="CE15">
        <v>3.9603960396039639E-2</v>
      </c>
      <c r="CF15">
        <v>2.8571428571428598E-2</v>
      </c>
      <c r="CG15">
        <v>1.3157894736842117E-2</v>
      </c>
      <c r="CH15">
        <v>0</v>
      </c>
      <c r="CI15">
        <v>-9.7087378640776066E-3</v>
      </c>
      <c r="CJ15">
        <v>-0.20833333333333329</v>
      </c>
      <c r="CK15">
        <v>4.8275862068965558E-2</v>
      </c>
      <c r="CL15">
        <v>1.0389610389610398E-2</v>
      </c>
      <c r="CM15">
        <v>7.4303405572755346E-2</v>
      </c>
      <c r="CN15">
        <v>0</v>
      </c>
      <c r="CO15">
        <v>-7.2727272727272779E-2</v>
      </c>
      <c r="CP15">
        <v>0.11494252873563229</v>
      </c>
      <c r="CQ15">
        <v>-0.29999999999999982</v>
      </c>
      <c r="CR15">
        <v>1.2820512820512775E-2</v>
      </c>
      <c r="CS15">
        <v>0</v>
      </c>
      <c r="CT15">
        <v>3.1347962382445864E-3</v>
      </c>
      <c r="CU15">
        <v>7.2202166064982013E-3</v>
      </c>
      <c r="CV15">
        <v>-4.1095890410958943E-2</v>
      </c>
      <c r="CW15">
        <v>-2.5830258302582967E-2</v>
      </c>
      <c r="CX15">
        <v>7.9999999999999946E-2</v>
      </c>
      <c r="CY15">
        <v>2.6315789473684237E-2</v>
      </c>
      <c r="CZ15">
        <v>-3.8709677419354875E-2</v>
      </c>
      <c r="DA15">
        <v>6.6666666666666735E-2</v>
      </c>
      <c r="DB15">
        <v>-5.3254437869822403E-2</v>
      </c>
      <c r="DC15">
        <v>9.407665505226491E-2</v>
      </c>
      <c r="DE15">
        <v>-6.8027210884353803E-2</v>
      </c>
      <c r="DF15">
        <v>-8.8607594936708792E-2</v>
      </c>
      <c r="DI15">
        <v>-0.11320754716981142</v>
      </c>
      <c r="DJ15">
        <v>1.0989010989010917E-2</v>
      </c>
      <c r="DK15">
        <v>-6.3694267515923483E-2</v>
      </c>
      <c r="DL15">
        <v>-3.2894736842105289E-2</v>
      </c>
      <c r="DM15">
        <v>-1.2779552715654964E-2</v>
      </c>
      <c r="DN15">
        <v>0.28571428571428575</v>
      </c>
      <c r="DO15">
        <v>-9.903381642512081E-2</v>
      </c>
    </row>
    <row r="16" spans="1:120" x14ac:dyDescent="0.3">
      <c r="A16" s="64" t="s">
        <v>9058</v>
      </c>
      <c r="B16">
        <v>-7.6479076479076522E-2</v>
      </c>
      <c r="E16">
        <v>-6.4777327935222548E-2</v>
      </c>
      <c r="F16">
        <v>0</v>
      </c>
      <c r="G16">
        <v>0</v>
      </c>
      <c r="H16">
        <v>-5.5045871559632871E-2</v>
      </c>
      <c r="J16">
        <v>-1.6393442622950834E-2</v>
      </c>
      <c r="K16">
        <v>-6.1696658097686201E-2</v>
      </c>
      <c r="L16">
        <v>-4.1666666666666706E-2</v>
      </c>
      <c r="M16">
        <v>3.9682539682539715E-2</v>
      </c>
      <c r="N16">
        <v>-1.5625000000000014E-2</v>
      </c>
      <c r="O16">
        <v>0</v>
      </c>
      <c r="P16">
        <v>0</v>
      </c>
      <c r="Q16">
        <v>-9.6774193548386459E-3</v>
      </c>
      <c r="R16">
        <v>-7.2507552870090697E-2</v>
      </c>
      <c r="S16">
        <v>0.12244897959183662</v>
      </c>
      <c r="T16">
        <v>-0.11320754716981121</v>
      </c>
      <c r="U16">
        <v>-9.3457943925233725E-3</v>
      </c>
      <c r="V16">
        <v>-0.11282051282051285</v>
      </c>
      <c r="W16">
        <v>-2.6881720430106952E-3</v>
      </c>
      <c r="X16">
        <v>-0.12071778140293642</v>
      </c>
      <c r="Y16">
        <v>0</v>
      </c>
      <c r="Z16">
        <v>0</v>
      </c>
      <c r="AA16">
        <v>-6.4794816414686984E-2</v>
      </c>
      <c r="AB16">
        <v>4.3157894736842117E-2</v>
      </c>
      <c r="AC16">
        <v>-2.4096385542168161E-3</v>
      </c>
      <c r="AE16">
        <v>0.12311557788944728</v>
      </c>
      <c r="AF16">
        <v>1.8018018018017955E-2</v>
      </c>
      <c r="AG16">
        <v>-1.9108280254777003E-2</v>
      </c>
      <c r="AH16">
        <v>-3.3112582781456984E-2</v>
      </c>
      <c r="AI16">
        <v>3.4710743801652885E-2</v>
      </c>
      <c r="AJ16">
        <v>-1.2773722627737277E-2</v>
      </c>
      <c r="AK16">
        <v>-7.6923076923076886E-2</v>
      </c>
      <c r="AL16">
        <v>0</v>
      </c>
      <c r="AM16">
        <v>-3.4653465346534795E-2</v>
      </c>
      <c r="AN16">
        <v>5.0000000000000044E-2</v>
      </c>
      <c r="AO16">
        <v>-0.39603960396039617</v>
      </c>
      <c r="AP16">
        <v>-4.5045045045045085E-2</v>
      </c>
      <c r="AQ16">
        <v>-1.4285714285714192E-2</v>
      </c>
      <c r="AR16">
        <v>-6.9620253164556875E-2</v>
      </c>
      <c r="AS16">
        <v>-0.16814159292035394</v>
      </c>
      <c r="AT16">
        <v>-1.0526315789473694E-2</v>
      </c>
      <c r="AU16">
        <v>-6.7375886524822681E-2</v>
      </c>
      <c r="AW16">
        <v>0</v>
      </c>
      <c r="AX16">
        <v>-6.6666666666666735E-2</v>
      </c>
      <c r="AY16">
        <v>1.6393442622950762E-2</v>
      </c>
      <c r="AZ16">
        <v>-5.1347881899871679E-3</v>
      </c>
      <c r="BB16">
        <v>-1.2048192771084348E-2</v>
      </c>
      <c r="BC16">
        <v>-2.1818181818181678E-2</v>
      </c>
      <c r="BD16">
        <v>0.11888111888111884</v>
      </c>
      <c r="BE16">
        <v>-0.16216216216216217</v>
      </c>
      <c r="BF16">
        <v>-8.0717488789237735E-2</v>
      </c>
      <c r="BG16">
        <v>-2.5581395348837077E-2</v>
      </c>
      <c r="BH16">
        <v>-2.1276595744680871E-2</v>
      </c>
      <c r="BI16">
        <v>-3.1007751937984523E-2</v>
      </c>
      <c r="BJ16">
        <v>2.4390243902439046E-2</v>
      </c>
      <c r="BK16">
        <v>0</v>
      </c>
      <c r="BM16">
        <v>-2.0270270270270289E-2</v>
      </c>
      <c r="BN16">
        <v>0</v>
      </c>
      <c r="BP16">
        <v>-3.3333333333333368E-2</v>
      </c>
      <c r="BR16">
        <v>6.6666666666666596E-2</v>
      </c>
      <c r="BS16">
        <v>0</v>
      </c>
      <c r="BT16">
        <v>-6.5217391304347755E-2</v>
      </c>
      <c r="BU16">
        <v>-0.50000000000000011</v>
      </c>
      <c r="BV16">
        <v>-6.0606060606060531E-2</v>
      </c>
      <c r="BW16">
        <v>-4.5454545454545491E-2</v>
      </c>
      <c r="BX16">
        <v>0</v>
      </c>
      <c r="BY16">
        <v>-4.1666666666666706E-2</v>
      </c>
      <c r="BZ16">
        <v>-0.10169491525423738</v>
      </c>
      <c r="CA16">
        <v>-5.7142857142857037E-2</v>
      </c>
      <c r="CB16">
        <v>-3.5714285714285803E-2</v>
      </c>
      <c r="CC16">
        <v>2.9411764705882377E-2</v>
      </c>
      <c r="CD16">
        <v>2.6348808030112809E-2</v>
      </c>
      <c r="CE16">
        <v>-3.0000000000000072E-2</v>
      </c>
      <c r="CF16">
        <v>-6.1224489795918421E-2</v>
      </c>
      <c r="CG16">
        <v>6.5359477124183061E-3</v>
      </c>
      <c r="CH16">
        <v>0</v>
      </c>
      <c r="CI16">
        <v>7.2164948453608227E-2</v>
      </c>
      <c r="CJ16">
        <v>9.574468085106369E-2</v>
      </c>
      <c r="CK16">
        <v>6.7114093959731461E-2</v>
      </c>
      <c r="CL16">
        <v>2.5773195876288113E-3</v>
      </c>
      <c r="CM16">
        <v>1.5337423312883382E-2</v>
      </c>
      <c r="CN16">
        <v>5.0000000000000044E-2</v>
      </c>
      <c r="CO16">
        <v>0</v>
      </c>
      <c r="CP16">
        <v>9.8765432098765371E-2</v>
      </c>
      <c r="CQ16">
        <v>0</v>
      </c>
      <c r="CR16">
        <v>0</v>
      </c>
      <c r="CS16">
        <v>0.14285714285714296</v>
      </c>
      <c r="CT16">
        <v>-7.3717948717948706E-2</v>
      </c>
      <c r="CU16">
        <v>7.3800738007380141E-3</v>
      </c>
      <c r="CV16">
        <v>-2.6315789473684233E-2</v>
      </c>
      <c r="CW16">
        <v>-0.12222222222222225</v>
      </c>
      <c r="CX16">
        <v>-3.7356321839080428E-2</v>
      </c>
      <c r="CY16">
        <v>-5.1282051282051329E-2</v>
      </c>
      <c r="CZ16">
        <v>0.46451612903225808</v>
      </c>
      <c r="DA16">
        <v>8.0645161290322467E-2</v>
      </c>
      <c r="DB16">
        <v>-0.16037735849056597</v>
      </c>
      <c r="DC16">
        <v>0.20039486673247772</v>
      </c>
      <c r="DE16">
        <v>1.1764705882352951E-2</v>
      </c>
      <c r="DF16">
        <v>-3.7974683544303826E-2</v>
      </c>
      <c r="DI16">
        <v>0</v>
      </c>
      <c r="DJ16">
        <v>-4.6099290780141806E-2</v>
      </c>
      <c r="DK16">
        <v>-6.6666666666666721E-2</v>
      </c>
      <c r="DL16">
        <v>-3.9735099337748381E-2</v>
      </c>
      <c r="DM16">
        <v>8.4415584415584485E-2</v>
      </c>
      <c r="DN16">
        <v>0.12499999999999993</v>
      </c>
      <c r="DO16">
        <v>-9.0047393364928896E-2</v>
      </c>
    </row>
    <row r="17" spans="1:119" x14ac:dyDescent="0.3">
      <c r="A17" s="64" t="s">
        <v>9059</v>
      </c>
      <c r="B17">
        <v>1.3404825737265487E-2</v>
      </c>
      <c r="E17">
        <v>-0.10931174089068826</v>
      </c>
      <c r="F17">
        <v>0.14285714285714296</v>
      </c>
      <c r="G17">
        <v>0</v>
      </c>
      <c r="H17">
        <v>0</v>
      </c>
      <c r="I17">
        <v>1.0989010989010999E-2</v>
      </c>
      <c r="J17">
        <v>-1.612903225806453E-2</v>
      </c>
      <c r="K17">
        <v>0</v>
      </c>
      <c r="L17">
        <v>-2.0618556701030948E-2</v>
      </c>
      <c r="M17">
        <v>-4.0322580645162226E-3</v>
      </c>
      <c r="N17">
        <v>-7.8124999999999889E-2</v>
      </c>
      <c r="O17">
        <v>0</v>
      </c>
      <c r="P17">
        <v>0</v>
      </c>
      <c r="Q17">
        <v>2.3569023569023514E-2</v>
      </c>
      <c r="R17">
        <v>2.9761904761904788E-2</v>
      </c>
      <c r="S17">
        <v>0.16393442622950827</v>
      </c>
      <c r="T17">
        <v>3.703703703703707E-2</v>
      </c>
      <c r="U17">
        <v>-8.2706766917293131E-2</v>
      </c>
      <c r="V17">
        <v>8.5763293310462813E-3</v>
      </c>
      <c r="W17">
        <v>-0.1081081081081082</v>
      </c>
      <c r="X17">
        <v>0.16144200626959251</v>
      </c>
      <c r="Y17">
        <v>-0.15384615384615377</v>
      </c>
      <c r="Z17">
        <v>0</v>
      </c>
      <c r="AA17">
        <v>4.3478260869565258E-2</v>
      </c>
      <c r="AB17">
        <v>-9.2385786802030481E-2</v>
      </c>
      <c r="AC17">
        <v>7.9155672823218483E-3</v>
      </c>
      <c r="AD17">
        <v>-6.1224489795918421E-2</v>
      </c>
      <c r="AE17">
        <v>-6.2656641604010022E-2</v>
      </c>
      <c r="AF17">
        <v>-0.10399999999999991</v>
      </c>
      <c r="AG17">
        <v>-2.1410579345088152E-2</v>
      </c>
      <c r="AH17">
        <v>3.4482758620689689E-2</v>
      </c>
      <c r="AI17">
        <v>-2.3217247097844059E-2</v>
      </c>
      <c r="AJ17">
        <v>-8.2758620689655102E-2</v>
      </c>
      <c r="AK17">
        <v>-9.999999999999995E-2</v>
      </c>
      <c r="AL17">
        <v>0</v>
      </c>
      <c r="AM17">
        <v>-4.608294930875478E-3</v>
      </c>
      <c r="AN17">
        <v>4.5454545454545366E-2</v>
      </c>
      <c r="AO17">
        <v>-2.7777777777777495E-2</v>
      </c>
      <c r="AP17">
        <v>0</v>
      </c>
      <c r="AQ17">
        <v>-2.3584905660377482E-2</v>
      </c>
      <c r="AR17">
        <v>5.0955414012738752E-2</v>
      </c>
      <c r="AS17">
        <v>-8.928571428571435E-3</v>
      </c>
      <c r="AT17">
        <v>0</v>
      </c>
      <c r="AU17">
        <v>1.3333333333333345E-2</v>
      </c>
      <c r="AW17">
        <v>0.1875</v>
      </c>
      <c r="AX17">
        <v>0</v>
      </c>
      <c r="AY17">
        <v>-1.6393442622950762E-2</v>
      </c>
      <c r="AZ17">
        <v>-8.1761006289307551E-3</v>
      </c>
      <c r="BB17">
        <v>-1.2048192771084348E-2</v>
      </c>
      <c r="BC17">
        <v>-2.9629629629629655E-2</v>
      </c>
      <c r="BD17">
        <v>4.7619047619047665E-2</v>
      </c>
      <c r="BE17">
        <v>3.3557046979865056E-3</v>
      </c>
      <c r="BF17">
        <v>-0.11061946902654868</v>
      </c>
      <c r="BG17">
        <v>0</v>
      </c>
      <c r="BH17">
        <v>7.8947368421052586E-2</v>
      </c>
      <c r="BI17">
        <v>-2.3076923076923096E-2</v>
      </c>
      <c r="BJ17">
        <v>0.10000000000000009</v>
      </c>
      <c r="BK17">
        <v>0</v>
      </c>
      <c r="BM17">
        <v>0.21656050955414016</v>
      </c>
      <c r="BN17">
        <v>0</v>
      </c>
      <c r="BP17">
        <v>5.9829059829059887E-2</v>
      </c>
      <c r="BR17">
        <v>8.3333333333333412E-2</v>
      </c>
      <c r="BS17">
        <v>0.3</v>
      </c>
      <c r="BT17">
        <v>-6.521739130434788E-2</v>
      </c>
      <c r="BU17">
        <v>5.7142857142857197E-2</v>
      </c>
      <c r="BV17">
        <v>5.9347181008901996E-2</v>
      </c>
      <c r="BW17">
        <v>2.5423728813559344E-2</v>
      </c>
      <c r="BX17">
        <v>0</v>
      </c>
      <c r="BY17">
        <v>-6.6666666666666723E-3</v>
      </c>
      <c r="BZ17">
        <v>-0.10144927536231878</v>
      </c>
      <c r="CA17">
        <v>0</v>
      </c>
      <c r="CB17">
        <v>-2.7855153203342024E-3</v>
      </c>
      <c r="CC17">
        <v>5.5555555555555455E-2</v>
      </c>
      <c r="CD17">
        <v>3.1690140845070582E-2</v>
      </c>
      <c r="CE17">
        <v>0</v>
      </c>
      <c r="CF17">
        <v>-2.0979020979020997E-2</v>
      </c>
      <c r="CG17">
        <v>5.9602649006622571E-2</v>
      </c>
      <c r="CH17">
        <v>0</v>
      </c>
      <c r="CI17">
        <v>-7.4829931972789185E-2</v>
      </c>
      <c r="CJ17">
        <v>-2.6315789473684237E-2</v>
      </c>
      <c r="CK17">
        <v>-2.8169014084507067E-2</v>
      </c>
      <c r="CL17">
        <v>-3.645833333333337E-2</v>
      </c>
      <c r="CM17">
        <v>5.2980132450331174E-2</v>
      </c>
      <c r="CN17">
        <v>0</v>
      </c>
      <c r="CO17">
        <v>0</v>
      </c>
      <c r="CP17">
        <v>0.19718309859154931</v>
      </c>
      <c r="CQ17">
        <v>-2.8571428571428598E-2</v>
      </c>
      <c r="CR17">
        <v>-1.2658227848101221E-2</v>
      </c>
      <c r="CS17">
        <v>0</v>
      </c>
      <c r="CT17">
        <v>1.6077170418006374E-2</v>
      </c>
      <c r="CU17">
        <v>-6.3197026022304814E-2</v>
      </c>
      <c r="CV17">
        <v>-6.3291139240504975E-3</v>
      </c>
      <c r="CW17">
        <v>-0.12996389891696747</v>
      </c>
      <c r="CX17">
        <v>5.3124999999999978E-2</v>
      </c>
      <c r="CY17">
        <v>3.1578947368421081E-2</v>
      </c>
      <c r="CZ17">
        <v>7.4534161490683218E-2</v>
      </c>
      <c r="DA17">
        <v>-6.8965517241379184E-2</v>
      </c>
      <c r="DB17">
        <v>0</v>
      </c>
      <c r="DC17">
        <v>0</v>
      </c>
      <c r="DE17">
        <v>-2.7777777777777801E-2</v>
      </c>
      <c r="DF17">
        <v>-6.3953488372092956E-2</v>
      </c>
      <c r="DI17">
        <v>-7.8125E-2</v>
      </c>
      <c r="DJ17">
        <v>-2.5089605734767127E-2</v>
      </c>
      <c r="DK17">
        <v>-0.12105263157894737</v>
      </c>
      <c r="DL17">
        <v>-1.9230769230769103E-2</v>
      </c>
      <c r="DM17">
        <v>4.4871794871794768E-2</v>
      </c>
      <c r="DN17">
        <v>0.16666666666666671</v>
      </c>
      <c r="DO17">
        <v>5.8315334773218049E-2</v>
      </c>
    </row>
    <row r="18" spans="1:119" x14ac:dyDescent="0.3">
      <c r="A18" s="64" t="s">
        <v>9060</v>
      </c>
      <c r="B18">
        <v>4.0050062578222703E-2</v>
      </c>
      <c r="E18">
        <v>6.8441064638783161E-2</v>
      </c>
      <c r="F18">
        <v>0.14285714285714277</v>
      </c>
      <c r="G18">
        <v>0</v>
      </c>
      <c r="H18">
        <v>0</v>
      </c>
      <c r="I18">
        <v>3.1578947368420963E-2</v>
      </c>
      <c r="J18">
        <v>-3.1746031746031772E-2</v>
      </c>
      <c r="K18">
        <v>-1.5659955257270756E-2</v>
      </c>
      <c r="L18">
        <v>1.980198019801982E-2</v>
      </c>
      <c r="M18">
        <v>1.2605042016806827E-2</v>
      </c>
      <c r="N18">
        <v>4.6153846153846025E-2</v>
      </c>
      <c r="O18">
        <v>0</v>
      </c>
      <c r="P18">
        <v>0</v>
      </c>
      <c r="Q18">
        <v>3.00000000000001E-2</v>
      </c>
      <c r="R18">
        <v>5.5555555555555601E-2</v>
      </c>
      <c r="S18">
        <v>-1.8181818181818195E-2</v>
      </c>
      <c r="T18">
        <v>-3.3333333333333368E-2</v>
      </c>
      <c r="U18">
        <v>1.865671641791038E-2</v>
      </c>
      <c r="V18">
        <v>2.3112480739599438E-2</v>
      </c>
      <c r="W18">
        <v>2.9649595687331623E-2</v>
      </c>
      <c r="X18">
        <v>2.6685393258426896E-2</v>
      </c>
      <c r="Y18">
        <v>-7.6923076923076983E-2</v>
      </c>
      <c r="Z18">
        <v>0</v>
      </c>
      <c r="AA18">
        <v>1.0204081632653024E-2</v>
      </c>
      <c r="AB18">
        <v>-2.1186440677966215E-2</v>
      </c>
      <c r="AC18">
        <v>-0.10000000000000009</v>
      </c>
      <c r="AD18">
        <v>6.1224489795918421E-2</v>
      </c>
      <c r="AE18">
        <v>0.15714285714285708</v>
      </c>
      <c r="AF18">
        <v>4.2276422764227606E-2</v>
      </c>
      <c r="AG18">
        <v>2.8430160692212662E-2</v>
      </c>
      <c r="AH18">
        <v>6.6666666666666582E-2</v>
      </c>
      <c r="AI18">
        <v>6.8728522336769821E-2</v>
      </c>
      <c r="AJ18">
        <v>3.918228279386704E-2</v>
      </c>
      <c r="AK18">
        <v>9.090909090909087E-2</v>
      </c>
      <c r="AL18">
        <v>0</v>
      </c>
      <c r="AM18">
        <v>8.928571428571435E-3</v>
      </c>
      <c r="AN18">
        <v>0</v>
      </c>
      <c r="AO18">
        <v>0.11607142857142846</v>
      </c>
      <c r="AP18">
        <v>0</v>
      </c>
      <c r="AQ18">
        <v>-9.3023255813953574E-3</v>
      </c>
      <c r="AR18">
        <v>-8.6309523809523822E-2</v>
      </c>
      <c r="AS18">
        <v>4.5801526717557293E-2</v>
      </c>
      <c r="AT18">
        <v>0.12790697674418602</v>
      </c>
      <c r="AU18">
        <v>-6.269592476489034E-3</v>
      </c>
      <c r="AW18">
        <v>0</v>
      </c>
      <c r="AX18">
        <v>3.0534351145038195E-2</v>
      </c>
      <c r="AY18">
        <v>0</v>
      </c>
      <c r="AZ18">
        <v>4.4430538172715833E-2</v>
      </c>
      <c r="BB18">
        <v>1.1904761904761916E-2</v>
      </c>
      <c r="BC18">
        <v>-3.9855072463768237E-2</v>
      </c>
      <c r="BD18">
        <v>-2.6490066225165587E-2</v>
      </c>
      <c r="BE18">
        <v>0.10693641618497113</v>
      </c>
      <c r="BF18">
        <v>6.967213114754095E-2</v>
      </c>
      <c r="BG18">
        <v>2.2869022869022752E-2</v>
      </c>
      <c r="BH18">
        <v>-3.6082474226804155E-2</v>
      </c>
      <c r="BI18">
        <v>-7.4626865671641687E-2</v>
      </c>
      <c r="BJ18">
        <v>0.10256410256410251</v>
      </c>
      <c r="BK18">
        <v>0</v>
      </c>
      <c r="BM18">
        <v>7.5000000000000067E-2</v>
      </c>
      <c r="BN18">
        <v>0</v>
      </c>
      <c r="BP18">
        <v>2.4793388429751904E-2</v>
      </c>
      <c r="BR18">
        <v>-6.4102564102564152E-2</v>
      </c>
      <c r="BS18">
        <v>0.10000000000000009</v>
      </c>
      <c r="BT18">
        <v>6.1224489795918421E-2</v>
      </c>
      <c r="BU18">
        <v>-4.0000000000000036E-2</v>
      </c>
      <c r="BV18">
        <v>-5.6022408963585487E-3</v>
      </c>
      <c r="BW18">
        <v>2.4390243902439046E-2</v>
      </c>
      <c r="BX18">
        <v>0</v>
      </c>
      <c r="BY18">
        <v>6.4102564102564161E-3</v>
      </c>
      <c r="BZ18">
        <v>-0.24000000000000007</v>
      </c>
      <c r="CA18">
        <v>0</v>
      </c>
      <c r="CB18">
        <v>-6.1827956989247305E-2</v>
      </c>
      <c r="CC18">
        <v>2.8571428571428598E-2</v>
      </c>
      <c r="CD18">
        <v>1.9253910950661764E-2</v>
      </c>
      <c r="CE18">
        <v>2.0202020202020308E-2</v>
      </c>
      <c r="CF18">
        <v>-1.3157894736842117E-2</v>
      </c>
      <c r="CG18">
        <v>-2.6666666666666689E-2</v>
      </c>
      <c r="CH18">
        <v>0</v>
      </c>
      <c r="CI18">
        <v>0</v>
      </c>
      <c r="CJ18">
        <v>8.5714285714285784E-2</v>
      </c>
      <c r="CK18">
        <v>-3.7878787878787741E-2</v>
      </c>
      <c r="CL18">
        <v>-2.3498694516971126E-2</v>
      </c>
      <c r="CM18">
        <v>-5.0505050505050469E-2</v>
      </c>
      <c r="CN18">
        <v>0</v>
      </c>
      <c r="CO18">
        <v>1.8518518518518535E-2</v>
      </c>
      <c r="CP18">
        <v>0</v>
      </c>
      <c r="CQ18">
        <v>-0.14285714285714282</v>
      </c>
      <c r="CR18">
        <v>-5.063291139240398E-3</v>
      </c>
      <c r="CS18">
        <v>0.125</v>
      </c>
      <c r="CT18">
        <v>6.5868263473053953E-2</v>
      </c>
      <c r="CU18">
        <v>8.2397003745318262E-2</v>
      </c>
      <c r="CV18">
        <v>1.8518518518518396E-2</v>
      </c>
      <c r="CW18">
        <v>4.1935483870967703E-2</v>
      </c>
      <c r="CX18">
        <v>5.1051051051051032E-2</v>
      </c>
      <c r="CY18">
        <v>5.0000000000000044E-3</v>
      </c>
      <c r="CZ18">
        <v>8.9887640449438283E-2</v>
      </c>
      <c r="DA18">
        <v>-1.8867924528301903E-2</v>
      </c>
      <c r="DB18">
        <v>-1.5686274509803935E-2</v>
      </c>
      <c r="DC18">
        <v>0</v>
      </c>
      <c r="DE18">
        <v>1.1235955056179785E-2</v>
      </c>
      <c r="DF18">
        <v>2.2471910112359446E-2</v>
      </c>
      <c r="DI18">
        <v>6.2500000000000056E-2</v>
      </c>
      <c r="DJ18">
        <v>-4.7945205479451948E-2</v>
      </c>
      <c r="DK18">
        <v>2.4752475247524663E-2</v>
      </c>
      <c r="DL18">
        <v>-2.4691358024691377E-2</v>
      </c>
      <c r="DM18">
        <v>6.9930069930069999E-3</v>
      </c>
      <c r="DN18">
        <v>-0.20000000000000004</v>
      </c>
      <c r="DO18">
        <v>-7.5848303393213551E-2</v>
      </c>
    </row>
    <row r="19" spans="1:119" x14ac:dyDescent="0.3">
      <c r="A19" s="64" t="s">
        <v>9061</v>
      </c>
      <c r="B19">
        <v>5.7034220532319414E-2</v>
      </c>
      <c r="C19">
        <v>0</v>
      </c>
      <c r="E19">
        <v>1.0344827586206983E-2</v>
      </c>
      <c r="F19">
        <v>0</v>
      </c>
      <c r="H19">
        <v>0</v>
      </c>
      <c r="I19">
        <v>3.1914893617021309E-2</v>
      </c>
      <c r="J19">
        <v>1.5625000000000014E-2</v>
      </c>
      <c r="K19">
        <v>-1.1185682326621885E-2</v>
      </c>
      <c r="L19">
        <v>0</v>
      </c>
      <c r="M19">
        <v>4.6025104602510407E-2</v>
      </c>
      <c r="N19">
        <v>0</v>
      </c>
      <c r="O19">
        <v>0</v>
      </c>
      <c r="P19">
        <v>0</v>
      </c>
      <c r="Q19">
        <v>-3.412969283276529E-3</v>
      </c>
      <c r="R19">
        <v>5.7142857142857065E-2</v>
      </c>
      <c r="S19">
        <v>0.17777777777777781</v>
      </c>
      <c r="T19">
        <v>-5.1724137931034531E-2</v>
      </c>
      <c r="U19">
        <v>-6.5517241379310323E-2</v>
      </c>
      <c r="V19">
        <v>4.503105590062112E-2</v>
      </c>
      <c r="W19">
        <v>-2.4330900243308914E-2</v>
      </c>
      <c r="X19">
        <v>3.6124794745484509E-2</v>
      </c>
      <c r="Y19">
        <v>0</v>
      </c>
      <c r="AA19">
        <v>-2.1276595744680774E-2</v>
      </c>
      <c r="AB19">
        <v>9.5652173913043509E-2</v>
      </c>
      <c r="AC19">
        <v>2.1220159151193654E-2</v>
      </c>
      <c r="AD19">
        <v>0</v>
      </c>
      <c r="AE19">
        <v>-0.10399999999999991</v>
      </c>
      <c r="AF19">
        <v>-1.6176470588235341E-2</v>
      </c>
      <c r="AG19">
        <v>1.0895883777239585E-2</v>
      </c>
      <c r="AH19">
        <v>-3.4482758620689537E-2</v>
      </c>
      <c r="AI19">
        <v>4.3624161073825468E-2</v>
      </c>
      <c r="AJ19">
        <v>-1.4173228346456672E-2</v>
      </c>
      <c r="AK19">
        <v>0</v>
      </c>
      <c r="AL19">
        <v>0</v>
      </c>
      <c r="AM19">
        <v>0.13333333333333336</v>
      </c>
      <c r="AN19">
        <v>0.10000000000000009</v>
      </c>
      <c r="AO19">
        <v>-4.3859649122807064E-2</v>
      </c>
      <c r="AP19">
        <v>8.4033613445378234E-3</v>
      </c>
      <c r="AQ19">
        <v>-2.7272727272727094E-2</v>
      </c>
      <c r="AR19">
        <v>3.1250000000000722E-3</v>
      </c>
      <c r="AS19">
        <v>-3.0303030303030328E-2</v>
      </c>
      <c r="AT19">
        <v>-0.12790697674418602</v>
      </c>
      <c r="AU19">
        <v>1.9047619047619067E-2</v>
      </c>
      <c r="AW19">
        <v>-0.15384615384615377</v>
      </c>
      <c r="AX19">
        <v>-1.5267175572519097E-2</v>
      </c>
      <c r="AY19">
        <v>4.918032786885243E-2</v>
      </c>
      <c r="AZ19">
        <v>-6.2073246430788109E-3</v>
      </c>
      <c r="BB19">
        <v>0</v>
      </c>
      <c r="BC19">
        <v>-3.1690140845070373E-2</v>
      </c>
      <c r="BD19">
        <v>0.32167832167832167</v>
      </c>
      <c r="BE19">
        <v>1.7391304347826101E-2</v>
      </c>
      <c r="BF19">
        <v>0</v>
      </c>
      <c r="BG19">
        <v>-3.3264033264033294E-2</v>
      </c>
      <c r="BH19">
        <v>2.7932960893854771E-2</v>
      </c>
      <c r="BI19">
        <v>-0.13138686131386856</v>
      </c>
      <c r="BJ19">
        <v>-5.7142857142857197E-2</v>
      </c>
      <c r="BK19">
        <v>0</v>
      </c>
      <c r="BM19">
        <v>-3.9682539682539715E-2</v>
      </c>
      <c r="BN19">
        <v>0</v>
      </c>
      <c r="BP19">
        <v>-4.3859649122806862E-2</v>
      </c>
      <c r="BR19">
        <v>2.8169014084507067E-2</v>
      </c>
      <c r="BS19">
        <v>0</v>
      </c>
      <c r="BT19">
        <v>0</v>
      </c>
      <c r="BU19">
        <v>0.14583333333333334</v>
      </c>
      <c r="BV19">
        <v>5.9347181008902131E-3</v>
      </c>
      <c r="BW19">
        <v>1.6666666666666684E-2</v>
      </c>
      <c r="BX19">
        <v>0</v>
      </c>
      <c r="BY19">
        <v>-1.2738853503184724E-2</v>
      </c>
      <c r="BZ19">
        <v>-0.13414634146341475</v>
      </c>
      <c r="CA19">
        <v>5.5555555555555455E-2</v>
      </c>
      <c r="CB19">
        <v>-3.4852546916890055E-2</v>
      </c>
      <c r="CC19">
        <v>0</v>
      </c>
      <c r="CD19">
        <v>-2.8606965174129299E-2</v>
      </c>
      <c r="CE19">
        <v>-2.0202020202021564E-3</v>
      </c>
      <c r="CF19">
        <v>-3.8709677419354729E-2</v>
      </c>
      <c r="CG19">
        <v>9.2198581560283613E-2</v>
      </c>
      <c r="CH19">
        <v>0</v>
      </c>
      <c r="CI19">
        <v>4.4067796610169602E-2</v>
      </c>
      <c r="CJ19">
        <v>9.259259259259256E-2</v>
      </c>
      <c r="CK19">
        <v>1.4705882352941188E-2</v>
      </c>
      <c r="CL19">
        <v>-1.7632241813602085E-2</v>
      </c>
      <c r="CM19">
        <v>-6.4056939501779417E-2</v>
      </c>
      <c r="CN19">
        <v>-5.2631578947368467E-2</v>
      </c>
      <c r="CO19">
        <v>-3.703703703703707E-2</v>
      </c>
      <c r="CP19">
        <v>0</v>
      </c>
      <c r="CQ19">
        <v>-0.11111111111111122</v>
      </c>
      <c r="CR19">
        <v>-2.5000000000000133E-2</v>
      </c>
      <c r="CS19">
        <v>-0.375</v>
      </c>
      <c r="CT19">
        <v>2.7355623100303907E-2</v>
      </c>
      <c r="CU19">
        <v>-2.1126760563380302E-2</v>
      </c>
      <c r="CV19">
        <v>-4.9079754601226905E-2</v>
      </c>
      <c r="CW19">
        <v>-4.0462427745664775E-2</v>
      </c>
      <c r="CX19">
        <v>1.5822784810126667E-2</v>
      </c>
      <c r="CY19">
        <v>5.1546391752577371E-3</v>
      </c>
      <c r="CZ19">
        <v>0.22077922077922069</v>
      </c>
      <c r="DA19">
        <v>0.10526315789473675</v>
      </c>
      <c r="DB19">
        <v>2.3529411764705906E-2</v>
      </c>
      <c r="DC19">
        <v>0</v>
      </c>
      <c r="DE19">
        <v>5.4644808743169442E-3</v>
      </c>
      <c r="DF19">
        <v>6.8783068783068849E-2</v>
      </c>
      <c r="DI19">
        <v>2.8985507246376836E-2</v>
      </c>
      <c r="DJ19">
        <v>-2.3411371237458286E-2</v>
      </c>
      <c r="DK19">
        <v>-0.1111111111111111</v>
      </c>
      <c r="DL19">
        <v>1.8181818181818198E-2</v>
      </c>
      <c r="DM19">
        <v>-3.3088235294117592E-2</v>
      </c>
      <c r="DN19">
        <v>0.25000000000000006</v>
      </c>
      <c r="DO19">
        <v>3.5864978902953572E-2</v>
      </c>
    </row>
    <row r="20" spans="1:119" x14ac:dyDescent="0.3">
      <c r="A20" s="64" t="s">
        <v>9062</v>
      </c>
      <c r="B20">
        <v>0</v>
      </c>
      <c r="E20">
        <v>-0.11029411764705892</v>
      </c>
      <c r="F20">
        <v>0</v>
      </c>
      <c r="H20">
        <v>2.6315789473684043E-2</v>
      </c>
      <c r="I20">
        <v>-2.1978021978021997E-2</v>
      </c>
      <c r="J20">
        <v>1.5151515151515164E-2</v>
      </c>
      <c r="K20">
        <v>-5.7268722466960305E-2</v>
      </c>
      <c r="L20">
        <v>1.980198019801982E-2</v>
      </c>
      <c r="M20">
        <v>-5.5084745762711822E-2</v>
      </c>
      <c r="N20">
        <v>-5.9701492537313314E-2</v>
      </c>
      <c r="O20">
        <v>0</v>
      </c>
      <c r="P20">
        <v>0</v>
      </c>
      <c r="Q20">
        <v>-3.5211267605633053E-3</v>
      </c>
      <c r="R20">
        <v>6.6666666666666735E-2</v>
      </c>
      <c r="S20">
        <v>4.3478260869565251E-2</v>
      </c>
      <c r="T20">
        <v>0</v>
      </c>
      <c r="U20">
        <v>-4.561403508771926E-2</v>
      </c>
      <c r="V20">
        <v>-1.9077901430842623E-2</v>
      </c>
      <c r="W20">
        <v>-4.7500000000000098E-2</v>
      </c>
      <c r="X20">
        <v>-7.9661016949152647E-2</v>
      </c>
      <c r="Y20">
        <v>0.25000000000000006</v>
      </c>
      <c r="AA20">
        <v>-1.0752688172042972E-2</v>
      </c>
      <c r="AB20">
        <v>-4.834123222748813E-2</v>
      </c>
      <c r="AC20">
        <v>-1.2048192771084293E-2</v>
      </c>
      <c r="AD20">
        <v>-2.0408163265306142E-2</v>
      </c>
      <c r="AE20">
        <v>0</v>
      </c>
      <c r="AF20">
        <v>7.6452599388380288E-3</v>
      </c>
      <c r="AG20">
        <v>-5.4794520547945258E-2</v>
      </c>
      <c r="AH20">
        <v>0</v>
      </c>
      <c r="AI20">
        <v>8.4532374100719385E-2</v>
      </c>
      <c r="AJ20">
        <v>1.3071895424836612E-2</v>
      </c>
      <c r="AK20">
        <v>0.18181818181818185</v>
      </c>
      <c r="AL20">
        <v>0</v>
      </c>
      <c r="AM20">
        <v>2.242152466367715E-2</v>
      </c>
      <c r="AN20">
        <v>-5.0000000000000044E-2</v>
      </c>
      <c r="AO20">
        <v>8.9108910891089188E-2</v>
      </c>
      <c r="AP20">
        <v>-8.4033613445378234E-3</v>
      </c>
      <c r="AQ20">
        <v>-4.5045045045045085E-2</v>
      </c>
      <c r="AR20">
        <v>-4.8710601719197687E-2</v>
      </c>
      <c r="AS20">
        <v>2.3809523809523829E-2</v>
      </c>
      <c r="AT20">
        <v>0.10666666666666662</v>
      </c>
      <c r="AU20">
        <v>-5.9936908517350139E-2</v>
      </c>
      <c r="AW20">
        <v>7.6923076923076775E-2</v>
      </c>
      <c r="AX20">
        <v>3.1496062992126012E-2</v>
      </c>
      <c r="AY20">
        <v>0.13114754098360654</v>
      </c>
      <c r="AZ20">
        <v>-2.9220779220779175E-2</v>
      </c>
      <c r="BB20">
        <v>-5.9523809523809576E-2</v>
      </c>
      <c r="BC20">
        <v>4.7457627118644104E-2</v>
      </c>
      <c r="BD20">
        <v>0.11564625850340139</v>
      </c>
      <c r="BE20">
        <v>5.1948051948051993E-2</v>
      </c>
      <c r="BF20">
        <v>8.3333333333333315E-2</v>
      </c>
      <c r="BG20">
        <v>-1.0638297872340387E-2</v>
      </c>
      <c r="BH20">
        <v>3.2258064516129059E-2</v>
      </c>
      <c r="BI20">
        <v>9.5238095238095177E-2</v>
      </c>
      <c r="BJ20">
        <v>0.16129032258064513</v>
      </c>
      <c r="BK20">
        <v>0</v>
      </c>
      <c r="BM20">
        <v>8.7719298245614117E-3</v>
      </c>
      <c r="BN20">
        <v>-0.1999999999999999</v>
      </c>
      <c r="BP20">
        <v>1.8018018018018032E-2</v>
      </c>
      <c r="BR20">
        <v>0.1184210526315789</v>
      </c>
      <c r="BS20">
        <v>-0.16666666666666682</v>
      </c>
      <c r="BT20">
        <v>-2.0408163265306142E-2</v>
      </c>
      <c r="BU20">
        <v>2.0000000000000018E-2</v>
      </c>
      <c r="BV20">
        <v>-1.1799410029498535E-2</v>
      </c>
      <c r="BW20">
        <v>2.5641025641025477E-2</v>
      </c>
      <c r="BX20">
        <v>0</v>
      </c>
      <c r="BY20">
        <v>1.9230769230769246E-2</v>
      </c>
      <c r="BZ20">
        <v>0.10000000000000009</v>
      </c>
      <c r="CA20">
        <v>-5.5555555555555455E-2</v>
      </c>
      <c r="CB20">
        <v>-3.2828282828282804E-2</v>
      </c>
      <c r="CC20">
        <v>3.1250000000000028E-2</v>
      </c>
      <c r="CD20">
        <v>1.5228426395938988E-2</v>
      </c>
      <c r="CE20">
        <v>-4.9484536082474093E-2</v>
      </c>
      <c r="CF20">
        <v>-6.3694267515923622E-2</v>
      </c>
      <c r="CG20">
        <v>6.896551724137937E-3</v>
      </c>
      <c r="CH20">
        <v>0</v>
      </c>
      <c r="CI20">
        <v>-6.1016949152542424E-2</v>
      </c>
      <c r="CJ20">
        <v>-0.1111111111111111</v>
      </c>
      <c r="CK20">
        <v>2.8368794326241006E-2</v>
      </c>
      <c r="CL20">
        <v>-6.1576354679802964E-2</v>
      </c>
      <c r="CM20">
        <v>-1.1824324324324223E-2</v>
      </c>
      <c r="CN20">
        <v>0</v>
      </c>
      <c r="CO20">
        <v>3.7735849056603807E-2</v>
      </c>
      <c r="CP20">
        <v>-0.28571428571428575</v>
      </c>
      <c r="CQ20">
        <v>-6.0975609756097483E-2</v>
      </c>
      <c r="CR20">
        <v>-0.12935323383084568</v>
      </c>
      <c r="CS20">
        <v>0.23809523809523805</v>
      </c>
      <c r="CT20">
        <v>6.8403908794788262E-2</v>
      </c>
      <c r="CU20">
        <v>-3.8167938931296893E-3</v>
      </c>
      <c r="CV20">
        <v>-2.5000000000000022E-2</v>
      </c>
      <c r="CW20">
        <v>1.8018018018018035E-2</v>
      </c>
      <c r="CX20">
        <v>0.13712374581939804</v>
      </c>
      <c r="CY20">
        <v>6.2176165803108752E-2</v>
      </c>
      <c r="CZ20">
        <v>-0.26086956521739124</v>
      </c>
      <c r="DA20">
        <v>5.1724137931034531E-2</v>
      </c>
      <c r="DB20">
        <v>2.3166023166023016E-2</v>
      </c>
      <c r="DC20">
        <v>0</v>
      </c>
      <c r="DE20">
        <v>4.4198895027624349E-2</v>
      </c>
      <c r="DF20">
        <v>-7.5675675675675735E-2</v>
      </c>
      <c r="DI20">
        <v>1.538461538461533E-2</v>
      </c>
      <c r="DJ20">
        <v>3.1948881789137407E-2</v>
      </c>
      <c r="DK20">
        <v>0</v>
      </c>
      <c r="DL20">
        <v>5.9171597633136145E-3</v>
      </c>
      <c r="DM20">
        <v>-3.3333333333333277E-2</v>
      </c>
      <c r="DN20">
        <v>0.20000000000000004</v>
      </c>
      <c r="DO20">
        <v>-2.9296874999999896E-2</v>
      </c>
    </row>
    <row r="21" spans="1:119" x14ac:dyDescent="0.3">
      <c r="A21" s="64" t="s">
        <v>9063</v>
      </c>
      <c r="B21">
        <v>2.6685393258427021E-2</v>
      </c>
      <c r="E21">
        <v>0.14869888475836446</v>
      </c>
      <c r="F21">
        <v>0</v>
      </c>
      <c r="H21">
        <v>8.7719298245614117E-3</v>
      </c>
      <c r="I21">
        <v>5.6818181818181872E-2</v>
      </c>
      <c r="J21">
        <v>1.5384615384615398E-2</v>
      </c>
      <c r="K21">
        <v>-6.5359477124183163E-2</v>
      </c>
      <c r="L21">
        <v>0</v>
      </c>
      <c r="M21">
        <v>3.555555555555559E-2</v>
      </c>
      <c r="N21">
        <v>4.4776119402984947E-2</v>
      </c>
      <c r="O21">
        <v>0</v>
      </c>
      <c r="P21">
        <v>0</v>
      </c>
      <c r="Q21">
        <v>2.1052631578947385E-2</v>
      </c>
      <c r="R21">
        <v>-3.8709677419354875E-2</v>
      </c>
      <c r="S21">
        <v>0</v>
      </c>
      <c r="T21">
        <v>0</v>
      </c>
      <c r="U21">
        <v>5.592105263157892E-2</v>
      </c>
      <c r="V21">
        <v>4.5000000000000075E-2</v>
      </c>
      <c r="W21">
        <v>-2.6829268292683006E-2</v>
      </c>
      <c r="X21">
        <v>0.19014084507042256</v>
      </c>
      <c r="Y21">
        <v>-0.12500000000000011</v>
      </c>
      <c r="AA21">
        <v>-2.1052631578946921E-3</v>
      </c>
      <c r="AB21">
        <v>-8.3682008368200899E-3</v>
      </c>
      <c r="AC21">
        <v>9.0909090909090925E-2</v>
      </c>
      <c r="AD21">
        <v>6.1224489795918421E-2</v>
      </c>
      <c r="AE21">
        <v>5.292479108635096E-2</v>
      </c>
      <c r="AF21">
        <v>-5.7142857142857259E-2</v>
      </c>
      <c r="AG21">
        <v>7.682619647355178E-2</v>
      </c>
      <c r="AH21">
        <v>3.5714285714285587E-2</v>
      </c>
      <c r="AI21">
        <v>-1.8867924528301486E-3</v>
      </c>
      <c r="AJ21">
        <v>5.4750402576489512E-2</v>
      </c>
      <c r="AK21">
        <v>9.090909090909087E-2</v>
      </c>
      <c r="AL21">
        <v>0</v>
      </c>
      <c r="AM21">
        <v>5.699481865284968E-2</v>
      </c>
      <c r="AN21">
        <v>-0.16666666666666666</v>
      </c>
      <c r="AO21">
        <v>9.4339622641509413E-2</v>
      </c>
      <c r="AP21">
        <v>8.4745762711864493E-3</v>
      </c>
      <c r="AQ21">
        <v>7.8947368421052516E-2</v>
      </c>
      <c r="AR21">
        <v>5.7471264367816015E-2</v>
      </c>
      <c r="AS21">
        <v>8.4615384615384689E-2</v>
      </c>
      <c r="AT21">
        <v>0.186046511627907</v>
      </c>
      <c r="AU21">
        <v>4.1800643086816684E-2</v>
      </c>
      <c r="AW21">
        <v>0</v>
      </c>
      <c r="AX21">
        <v>-3.1007751937984523E-2</v>
      </c>
      <c r="AY21">
        <v>8.6206896551724144E-2</v>
      </c>
      <c r="AZ21">
        <v>1.1612903225806433E-2</v>
      </c>
      <c r="BB21">
        <v>2.3809523809523832E-2</v>
      </c>
      <c r="BC21">
        <v>1.6447368421052572E-2</v>
      </c>
      <c r="BD21">
        <v>0</v>
      </c>
      <c r="BE21">
        <v>-3.3112582781457717E-3</v>
      </c>
      <c r="BF21">
        <v>3.1746031746031772E-2</v>
      </c>
      <c r="BG21">
        <v>6.1728395061728357E-2</v>
      </c>
      <c r="BH21">
        <v>7.1823204419889444E-2</v>
      </c>
      <c r="BI21">
        <v>5.4545454545454598E-2</v>
      </c>
      <c r="BJ21">
        <v>-3.0303030303030162E-2</v>
      </c>
      <c r="BK21">
        <v>0</v>
      </c>
      <c r="BM21">
        <v>7.563025210084022E-2</v>
      </c>
      <c r="BN21">
        <v>0</v>
      </c>
      <c r="BP21">
        <v>5.1724137931034343E-2</v>
      </c>
      <c r="BR21">
        <v>6.7567567567567627E-2</v>
      </c>
      <c r="BS21">
        <v>0.33333333333333343</v>
      </c>
      <c r="BT21">
        <v>8.1632653061224456E-2</v>
      </c>
      <c r="BU21">
        <v>0.20930232558139528</v>
      </c>
      <c r="BV21">
        <v>-2.9673590504450932E-2</v>
      </c>
      <c r="BW21">
        <v>-2.6086956521738962E-2</v>
      </c>
      <c r="BX21">
        <v>0</v>
      </c>
      <c r="BY21">
        <v>1.2658227848101276E-2</v>
      </c>
      <c r="BZ21">
        <v>-9.0090090090090159E-3</v>
      </c>
      <c r="CA21">
        <v>2.9411764705882377E-2</v>
      </c>
      <c r="CB21">
        <v>7.3349633251832179E-3</v>
      </c>
      <c r="CC21">
        <v>6.2500000000000056E-2</v>
      </c>
      <c r="CD21">
        <v>3.6991368680641492E-3</v>
      </c>
      <c r="CE21">
        <v>-2.0576131687242906E-2</v>
      </c>
      <c r="CF21">
        <v>1.8404907975460141E-2</v>
      </c>
      <c r="CG21">
        <v>0</v>
      </c>
      <c r="CH21">
        <v>0</v>
      </c>
      <c r="CI21">
        <v>6.3829787234042618E-2</v>
      </c>
      <c r="CJ21">
        <v>4.4943820224719142E-2</v>
      </c>
      <c r="CK21">
        <v>5.0359712230215875E-2</v>
      </c>
      <c r="CL21">
        <v>3.8740920096852337E-2</v>
      </c>
      <c r="CM21">
        <v>2.3885350318471252E-2</v>
      </c>
      <c r="CN21">
        <v>0.20000000000000004</v>
      </c>
      <c r="CO21">
        <v>0</v>
      </c>
      <c r="CP21">
        <v>6.1224489795918421E-2</v>
      </c>
      <c r="CQ21">
        <v>0</v>
      </c>
      <c r="CR21">
        <v>1.456310679611641E-2</v>
      </c>
      <c r="CS21">
        <v>0</v>
      </c>
      <c r="CT21">
        <v>-3.3557046979865056E-3</v>
      </c>
      <c r="CU21">
        <v>5.5970149253731304E-2</v>
      </c>
      <c r="CV21">
        <v>1.1904761904761916E-2</v>
      </c>
      <c r="CW21">
        <v>-3.4582132564841397E-2</v>
      </c>
      <c r="CX21">
        <v>3.7414965986394516E-2</v>
      </c>
      <c r="CY21">
        <v>-2.6041666666666692E-2</v>
      </c>
      <c r="CZ21">
        <v>-1.9230769230769246E-2</v>
      </c>
      <c r="DA21">
        <v>-0.5</v>
      </c>
      <c r="DB21">
        <v>-0.15019762845849799</v>
      </c>
      <c r="DC21">
        <v>0</v>
      </c>
      <c r="DE21">
        <v>-3.8888888888888924E-2</v>
      </c>
      <c r="DF21">
        <v>6.3953488372093081E-2</v>
      </c>
      <c r="DI21">
        <v>9.523809523809533E-2</v>
      </c>
      <c r="DJ21">
        <v>-6.5624999999999989E-2</v>
      </c>
      <c r="DK21">
        <v>-0.11020408163265306</v>
      </c>
      <c r="DL21">
        <v>1.2048192771084348E-2</v>
      </c>
      <c r="DM21">
        <v>6.8100358422939045E-2</v>
      </c>
      <c r="DN21">
        <v>-0.25000000000000006</v>
      </c>
      <c r="DO21">
        <v>-0.15757575757575762</v>
      </c>
    </row>
    <row r="22" spans="1:119" x14ac:dyDescent="0.3">
      <c r="A22" s="64" t="s">
        <v>9064</v>
      </c>
      <c r="B22">
        <v>-6.7415730337078705E-2</v>
      </c>
      <c r="E22">
        <v>-3.3444816053511732E-2</v>
      </c>
      <c r="F22">
        <v>-0.1999999999999999</v>
      </c>
      <c r="H22">
        <v>-3.6036036036035862E-2</v>
      </c>
      <c r="I22">
        <v>-1.111111111111112E-2</v>
      </c>
      <c r="J22">
        <v>-1.5625000000000014E-2</v>
      </c>
      <c r="K22">
        <v>-7.0103092783505128E-2</v>
      </c>
      <c r="L22">
        <v>0</v>
      </c>
      <c r="M22">
        <v>0</v>
      </c>
      <c r="N22">
        <v>4.2253521126760604E-2</v>
      </c>
      <c r="O22">
        <v>0</v>
      </c>
      <c r="P22">
        <v>0</v>
      </c>
      <c r="Q22">
        <v>-3.4965034965034995E-2</v>
      </c>
      <c r="R22">
        <v>-6.9444444444444503E-2</v>
      </c>
      <c r="S22">
        <v>-0.44444444444444453</v>
      </c>
      <c r="T22">
        <v>-1.5873015873015886E-2</v>
      </c>
      <c r="U22">
        <v>3.7854889589905398E-2</v>
      </c>
      <c r="V22">
        <v>-3.9215686274509838E-2</v>
      </c>
      <c r="W22">
        <v>-0.19813519813519806</v>
      </c>
      <c r="X22">
        <v>8.1300813008131235E-3</v>
      </c>
      <c r="Y22">
        <v>0.16666666666666682</v>
      </c>
      <c r="AA22">
        <v>-0.10208333333333339</v>
      </c>
      <c r="AB22">
        <v>-6.3555114200595703E-2</v>
      </c>
      <c r="AC22">
        <v>3.8834951456310711E-2</v>
      </c>
      <c r="AD22">
        <v>5.9999999999999942E-2</v>
      </c>
      <c r="AE22">
        <v>0</v>
      </c>
      <c r="AF22">
        <v>-7.4242424242424138E-2</v>
      </c>
      <c r="AG22">
        <v>1.6706443914081107E-2</v>
      </c>
      <c r="AH22">
        <v>-3.5714285714285587E-2</v>
      </c>
      <c r="AI22">
        <v>8.2815734989648108E-3</v>
      </c>
      <c r="AJ22">
        <v>-9.7879282218596431E-3</v>
      </c>
      <c r="AK22">
        <v>0.11111111111111106</v>
      </c>
      <c r="AL22">
        <v>0</v>
      </c>
      <c r="AM22">
        <v>0</v>
      </c>
      <c r="AN22">
        <v>0</v>
      </c>
      <c r="AO22">
        <v>-0.10309278350515462</v>
      </c>
      <c r="AP22">
        <v>-6.7226890756302587E-2</v>
      </c>
      <c r="AQ22">
        <v>-0.11344537815126052</v>
      </c>
      <c r="AR22">
        <v>2.7397260273972629E-2</v>
      </c>
      <c r="AS22">
        <v>-1.5748031496063006E-2</v>
      </c>
      <c r="AT22">
        <v>-5.1282051282051329E-2</v>
      </c>
      <c r="AU22">
        <v>-2.12121212121213E-2</v>
      </c>
      <c r="AW22">
        <v>0</v>
      </c>
      <c r="AX22">
        <v>-7.1999999999999884E-2</v>
      </c>
      <c r="AY22">
        <v>9.0000000000000038E-2</v>
      </c>
      <c r="AZ22">
        <v>3.0094043887147363E-2</v>
      </c>
      <c r="BB22">
        <v>-2.2471910112359571E-2</v>
      </c>
      <c r="BC22">
        <v>-5.1724137931034454E-2</v>
      </c>
      <c r="BD22">
        <v>0</v>
      </c>
      <c r="BE22">
        <v>-3.4965034965034219E-3</v>
      </c>
      <c r="BF22">
        <v>-3.8961038961038898E-2</v>
      </c>
      <c r="BG22">
        <v>-4.4806517311608909E-2</v>
      </c>
      <c r="BH22">
        <v>1.1428571428571439E-2</v>
      </c>
      <c r="BI22">
        <v>6.6225165562913968E-3</v>
      </c>
      <c r="BJ22">
        <v>3.5714285714285546E-2</v>
      </c>
      <c r="BK22">
        <v>0</v>
      </c>
      <c r="BM22">
        <v>7.627118644067804E-2</v>
      </c>
      <c r="BN22">
        <v>0.1666666666666666</v>
      </c>
      <c r="BP22">
        <v>2.6315789473684237E-2</v>
      </c>
      <c r="BR22">
        <v>-4.6153846153846191E-2</v>
      </c>
      <c r="BS22">
        <v>0</v>
      </c>
      <c r="BT22">
        <v>0</v>
      </c>
      <c r="BU22">
        <v>-4.7619047619047533E-2</v>
      </c>
      <c r="BV22">
        <v>-8.7976539589443535E-3</v>
      </c>
      <c r="BW22">
        <v>8.928571428571435E-3</v>
      </c>
      <c r="BX22">
        <v>0</v>
      </c>
      <c r="BY22">
        <v>-6.4516129032258117E-3</v>
      </c>
      <c r="BZ22">
        <v>-0.16831683168316824</v>
      </c>
      <c r="CA22">
        <v>-5.5555555555555608E-2</v>
      </c>
      <c r="CB22">
        <v>2.8436018957345998E-2</v>
      </c>
      <c r="CC22">
        <v>-9.6774193548387177E-2</v>
      </c>
      <c r="CD22">
        <v>-6.007509386733411E-2</v>
      </c>
      <c r="CE22">
        <v>2.5490196078431355E-2</v>
      </c>
      <c r="CF22">
        <v>-0.17341040462427748</v>
      </c>
      <c r="CG22">
        <v>-6.1068702290076216E-2</v>
      </c>
      <c r="CH22">
        <v>0</v>
      </c>
      <c r="CI22">
        <v>0</v>
      </c>
      <c r="CJ22">
        <v>9.9999999999999978E-2</v>
      </c>
      <c r="CK22">
        <v>3.703703703703707E-2</v>
      </c>
      <c r="CL22">
        <v>-2.9680365296803631E-2</v>
      </c>
      <c r="CM22">
        <v>1.7322834645669343E-2</v>
      </c>
      <c r="CN22">
        <v>-5.0000000000000044E-2</v>
      </c>
      <c r="CO22">
        <v>3.7735849056603807E-2</v>
      </c>
      <c r="CP22">
        <v>0</v>
      </c>
      <c r="CQ22">
        <v>-0.1789473684210528</v>
      </c>
      <c r="CR22">
        <v>-2.1551724137930574E-3</v>
      </c>
      <c r="CS22">
        <v>0.19999999999999996</v>
      </c>
      <c r="CT22">
        <v>-7.5812274368231194E-2</v>
      </c>
      <c r="CU22">
        <v>-4.0892193308550137E-2</v>
      </c>
      <c r="CV22">
        <v>-5.2325581395348882E-2</v>
      </c>
      <c r="CW22">
        <v>-0.20821114369501478</v>
      </c>
      <c r="CX22">
        <v>2.7667984189723258E-2</v>
      </c>
      <c r="CY22">
        <v>-8.3333333333333287E-2</v>
      </c>
      <c r="CZ22">
        <v>-0.1285714285714287</v>
      </c>
      <c r="DA22">
        <v>-0.10204081632653071</v>
      </c>
      <c r="DB22">
        <v>-8.097165991902823E-2</v>
      </c>
      <c r="DC22">
        <v>0</v>
      </c>
      <c r="DE22">
        <v>-8.1395348837209253E-2</v>
      </c>
      <c r="DF22">
        <v>1.612903225806453E-2</v>
      </c>
      <c r="DI22">
        <v>-3.2258064516129059E-2</v>
      </c>
      <c r="DJ22">
        <v>-3.2258064516128343E-3</v>
      </c>
      <c r="DK22">
        <v>-0.11836734693877533</v>
      </c>
      <c r="DL22">
        <v>-1.8181818181818198E-2</v>
      </c>
      <c r="DM22">
        <v>4.1666666666666706E-2</v>
      </c>
      <c r="DN22">
        <v>-0.33333333333333343</v>
      </c>
      <c r="DO22">
        <v>1.9607843137254832E-2</v>
      </c>
    </row>
    <row r="23" spans="1:119" x14ac:dyDescent="0.3">
      <c r="A23" s="64" t="s">
        <v>9065</v>
      </c>
      <c r="B23">
        <v>-7.2150072150071898E-3</v>
      </c>
      <c r="E23">
        <v>8.1081081081081072E-2</v>
      </c>
      <c r="F23">
        <v>0</v>
      </c>
      <c r="H23">
        <v>2.7272727272727094E-2</v>
      </c>
      <c r="I23">
        <v>3.5294117647058858E-2</v>
      </c>
      <c r="J23">
        <v>0</v>
      </c>
      <c r="K23">
        <v>0.10485436893203884</v>
      </c>
      <c r="L23">
        <v>2.0202020202020221E-2</v>
      </c>
      <c r="M23">
        <v>7.3913043478260845E-2</v>
      </c>
      <c r="N23">
        <v>2.9411764705882377E-2</v>
      </c>
      <c r="O23">
        <v>0</v>
      </c>
      <c r="P23">
        <v>0</v>
      </c>
      <c r="Q23">
        <v>1.7857142857142794E-2</v>
      </c>
      <c r="R23">
        <v>3.6666666666666771E-2</v>
      </c>
      <c r="S23">
        <v>0.22222222222222227</v>
      </c>
      <c r="T23">
        <v>0</v>
      </c>
      <c r="U23">
        <v>0.11999999999999995</v>
      </c>
      <c r="V23">
        <v>7.3504273504273465E-2</v>
      </c>
      <c r="W23">
        <v>-0.11363636363636363</v>
      </c>
      <c r="X23">
        <v>-1.1834319526627316E-2</v>
      </c>
      <c r="Y23">
        <v>-7.142857142857148E-2</v>
      </c>
      <c r="AA23">
        <v>4.1580041580040698E-3</v>
      </c>
      <c r="AB23">
        <v>-2.0689655172413876E-2</v>
      </c>
      <c r="AC23">
        <v>-8.0000000000000661E-3</v>
      </c>
      <c r="AD23">
        <v>0</v>
      </c>
      <c r="AE23">
        <v>5.8823529411764629E-2</v>
      </c>
      <c r="AF23">
        <v>3.5816618911174783E-2</v>
      </c>
      <c r="AG23">
        <v>8.4942084942084967E-2</v>
      </c>
      <c r="AH23">
        <v>-7.4074074074074139E-2</v>
      </c>
      <c r="AI23">
        <v>-1.8595041322314022E-2</v>
      </c>
      <c r="AJ23">
        <v>7.9447322970639028E-2</v>
      </c>
      <c r="AK23">
        <v>0.12500000000000011</v>
      </c>
      <c r="AL23">
        <v>0</v>
      </c>
      <c r="AM23">
        <v>-1.1299435028248598E-2</v>
      </c>
      <c r="AN23">
        <v>-0.36363636363636359</v>
      </c>
      <c r="AO23">
        <v>4.597701149425279E-2</v>
      </c>
      <c r="AP23">
        <v>5.9322033898305142E-2</v>
      </c>
      <c r="AQ23">
        <v>7.7272727272727437E-2</v>
      </c>
      <c r="AR23">
        <v>1.4492753623188482E-2</v>
      </c>
      <c r="AS23">
        <v>4.3103448275862113E-2</v>
      </c>
      <c r="AT23">
        <v>0.25806451612903231</v>
      </c>
      <c r="AU23">
        <v>3.4700315457413353E-2</v>
      </c>
      <c r="AW23">
        <v>0</v>
      </c>
      <c r="AX23">
        <v>6.2015503875968873E-2</v>
      </c>
      <c r="AY23">
        <v>4.4444444444444384E-2</v>
      </c>
      <c r="AZ23">
        <v>6.4679771718452739E-2</v>
      </c>
      <c r="BB23">
        <v>4.5977011494252915E-2</v>
      </c>
      <c r="BC23">
        <v>2.8070175438596516E-2</v>
      </c>
      <c r="BD23">
        <v>0.2023809523809523</v>
      </c>
      <c r="BE23">
        <v>4.5296167247386721E-2</v>
      </c>
      <c r="BF23">
        <v>3.1390134529147913E-2</v>
      </c>
      <c r="BG23">
        <v>0.10845986984815617</v>
      </c>
      <c r="BH23">
        <v>0.16666666666666666</v>
      </c>
      <c r="BI23">
        <v>-1.4084507042253534E-2</v>
      </c>
      <c r="BJ23">
        <v>0</v>
      </c>
      <c r="BK23">
        <v>0</v>
      </c>
      <c r="BM23">
        <v>7.3394495412843999E-2</v>
      </c>
      <c r="BN23">
        <v>0</v>
      </c>
      <c r="BP23">
        <v>6.4814814814814867E-2</v>
      </c>
      <c r="BR23">
        <v>0.18333333333333332</v>
      </c>
      <c r="BS23">
        <v>-0.1999999999999999</v>
      </c>
      <c r="BT23">
        <v>8.6956521739130502E-2</v>
      </c>
      <c r="BU23">
        <v>0</v>
      </c>
      <c r="BV23">
        <v>1.9943019943019898E-2</v>
      </c>
      <c r="BW23">
        <v>-8.6956521739130523E-3</v>
      </c>
      <c r="BX23">
        <v>0</v>
      </c>
      <c r="BY23">
        <v>4.5751633986928143E-2</v>
      </c>
      <c r="BZ23">
        <v>-0.27450980392156865</v>
      </c>
      <c r="CA23">
        <v>0.11428571428571424</v>
      </c>
      <c r="CB23">
        <v>5.7279236276849686E-2</v>
      </c>
      <c r="CC23">
        <v>-3.4482758620689689E-2</v>
      </c>
      <c r="CD23">
        <v>9.9246231155778783E-2</v>
      </c>
      <c r="CE23">
        <v>1.1538461538461635E-2</v>
      </c>
      <c r="CF23">
        <v>0</v>
      </c>
      <c r="CG23">
        <v>7.6335877862595486E-3</v>
      </c>
      <c r="CH23">
        <v>0</v>
      </c>
      <c r="CI23">
        <v>-8.1560283687943255E-2</v>
      </c>
      <c r="CJ23">
        <v>6.2499999999999944E-2</v>
      </c>
      <c r="CK23">
        <v>-2.3437500000000021E-2</v>
      </c>
      <c r="CL23">
        <v>0.11374407582938378</v>
      </c>
      <c r="CM23">
        <v>0.16290322580645158</v>
      </c>
      <c r="CN23">
        <v>6.2500000000000056E-2</v>
      </c>
      <c r="CO23">
        <v>-9.433962264150951E-2</v>
      </c>
      <c r="CP23">
        <v>0.16666666666666663</v>
      </c>
      <c r="CQ23">
        <v>2.1052631578947389E-2</v>
      </c>
      <c r="CR23">
        <v>1.9650655021834031E-2</v>
      </c>
      <c r="CS23">
        <v>0.20000000000000007</v>
      </c>
      <c r="CT23">
        <v>-0.1151079136690647</v>
      </c>
      <c r="CU23">
        <v>7.4803149606299191E-2</v>
      </c>
      <c r="CV23">
        <v>2.3529411764705903E-2</v>
      </c>
      <c r="CW23">
        <v>0.13881019830028335</v>
      </c>
      <c r="CX23">
        <v>5.371900826446277E-2</v>
      </c>
      <c r="CY23">
        <v>2.7027027027027049E-2</v>
      </c>
      <c r="CZ23">
        <v>0.19718309859154931</v>
      </c>
      <c r="DA23">
        <v>0.13333333333333344</v>
      </c>
      <c r="DB23">
        <v>-5.2631578947368543E-2</v>
      </c>
      <c r="DC23">
        <v>0</v>
      </c>
      <c r="DE23">
        <v>-1.1173184357541908E-2</v>
      </c>
      <c r="DF23">
        <v>4.0000000000000036E-2</v>
      </c>
      <c r="DI23">
        <v>7.1428571428571341E-2</v>
      </c>
      <c r="DJ23">
        <v>2.7190332326283945E-2</v>
      </c>
      <c r="DK23">
        <v>0.13970588235294112</v>
      </c>
      <c r="DL23">
        <v>-2.4539877300613522E-2</v>
      </c>
      <c r="DM23">
        <v>-7.4349442379182222E-3</v>
      </c>
      <c r="DN23">
        <v>0</v>
      </c>
      <c r="DO23">
        <v>-3.4013605442176145E-3</v>
      </c>
    </row>
    <row r="24" spans="1:119" x14ac:dyDescent="0.3">
      <c r="A24" s="64" t="s">
        <v>9066</v>
      </c>
      <c r="B24">
        <v>-3.9136302294197033E-2</v>
      </c>
      <c r="E24">
        <v>1.8587360594795474E-2</v>
      </c>
      <c r="F24">
        <v>0.1666666666666666</v>
      </c>
      <c r="H24">
        <v>4.3859649122807064E-2</v>
      </c>
      <c r="I24">
        <v>3.4883720930232461E-2</v>
      </c>
      <c r="J24">
        <v>6.2500000000000056E-2</v>
      </c>
      <c r="K24">
        <v>1.2750455373406244E-2</v>
      </c>
      <c r="L24">
        <v>-2.0202020202020221E-2</v>
      </c>
      <c r="M24">
        <v>-1.7391304347826105E-2</v>
      </c>
      <c r="N24">
        <v>1.5384615384615398E-2</v>
      </c>
      <c r="O24">
        <v>0</v>
      </c>
      <c r="P24">
        <v>0</v>
      </c>
      <c r="Q24">
        <v>3.4482758620690453E-3</v>
      </c>
      <c r="R24">
        <v>5.9374999999999983E-2</v>
      </c>
      <c r="S24">
        <v>7.6923076923076886E-2</v>
      </c>
      <c r="T24">
        <v>1.5625000000000014E-2</v>
      </c>
      <c r="U24">
        <v>-4.1666666666666706E-2</v>
      </c>
      <c r="V24">
        <v>-6.5681444991789878E-3</v>
      </c>
      <c r="W24">
        <v>-0.2190476190476191</v>
      </c>
      <c r="X24">
        <v>2.5896414342629463E-2</v>
      </c>
      <c r="Y24">
        <v>0</v>
      </c>
      <c r="AA24">
        <v>5.471698113207548E-2</v>
      </c>
      <c r="AB24">
        <v>-0.13438368860055602</v>
      </c>
      <c r="AC24">
        <v>0.35933147632311979</v>
      </c>
      <c r="AD24">
        <v>6.8181818181818246E-2</v>
      </c>
      <c r="AE24">
        <v>0.20588235294117652</v>
      </c>
      <c r="AF24">
        <v>1.3386880856760328E-2</v>
      </c>
      <c r="AG24">
        <v>3.6697247706421937E-2</v>
      </c>
      <c r="AH24">
        <v>0</v>
      </c>
      <c r="AI24">
        <v>-8.5416666666666696E-2</v>
      </c>
      <c r="AJ24">
        <v>-2.393162393162403E-2</v>
      </c>
      <c r="AK24">
        <v>-0.42857142857142849</v>
      </c>
      <c r="AL24">
        <v>0</v>
      </c>
      <c r="AM24">
        <v>-2.8248587570621493E-2</v>
      </c>
      <c r="AN24">
        <v>-9.0909090909090995E-2</v>
      </c>
      <c r="AO24">
        <v>0.12371134020618557</v>
      </c>
      <c r="AP24">
        <v>2.3809523809523829E-2</v>
      </c>
      <c r="AQ24">
        <v>4.0485829959514025E-2</v>
      </c>
      <c r="AR24">
        <v>-4.4776119402985176E-2</v>
      </c>
      <c r="AS24">
        <v>8.4745762711862602E-3</v>
      </c>
      <c r="AT24">
        <v>-0.33333333333333326</v>
      </c>
      <c r="AU24">
        <v>3.703703703703707E-2</v>
      </c>
      <c r="AW24">
        <v>0</v>
      </c>
      <c r="AX24">
        <v>2.898550724637684E-2</v>
      </c>
      <c r="AY24">
        <v>3.7037037037037014E-2</v>
      </c>
      <c r="AZ24">
        <v>-6.082406801831261E-2</v>
      </c>
      <c r="BB24">
        <v>2.2471910112359571E-2</v>
      </c>
      <c r="BC24">
        <v>4.0000000000000036E-2</v>
      </c>
      <c r="BD24">
        <v>9.523809523809533E-2</v>
      </c>
      <c r="BE24">
        <v>7.9861111111111105E-2</v>
      </c>
      <c r="BF24">
        <v>6.4655172413793066E-2</v>
      </c>
      <c r="BG24">
        <v>1.8633540372670777E-2</v>
      </c>
      <c r="BH24">
        <v>0</v>
      </c>
      <c r="BI24">
        <v>0</v>
      </c>
      <c r="BJ24">
        <v>-0.32142857142857129</v>
      </c>
      <c r="BK24">
        <v>0</v>
      </c>
      <c r="BM24">
        <v>8.0000000000000071E-2</v>
      </c>
      <c r="BN24">
        <v>-0.1999999999999999</v>
      </c>
      <c r="BP24">
        <v>0</v>
      </c>
      <c r="BR24">
        <v>3.1746031746031772E-2</v>
      </c>
      <c r="BS24">
        <v>0.1999999999999999</v>
      </c>
      <c r="BT24">
        <v>4.3478260869565133E-2</v>
      </c>
      <c r="BU24">
        <v>2.8571428571428439E-2</v>
      </c>
      <c r="BV24">
        <v>2.2598870056497196E-2</v>
      </c>
      <c r="BW24">
        <v>0</v>
      </c>
      <c r="BX24">
        <v>0</v>
      </c>
      <c r="BY24">
        <v>-6.4935064935064991E-3</v>
      </c>
      <c r="BZ24">
        <v>-0.20168067226890757</v>
      </c>
      <c r="CA24">
        <v>0.27027027027027029</v>
      </c>
      <c r="CB24">
        <v>-7.3710073710073227E-3</v>
      </c>
      <c r="CC24">
        <v>0.15624999999999997</v>
      </c>
      <c r="CD24">
        <v>4.1469194312796276E-2</v>
      </c>
      <c r="CE24">
        <v>2.169625246548312E-2</v>
      </c>
      <c r="CF24">
        <v>-1.0000000000000009E-2</v>
      </c>
      <c r="CG24">
        <v>2.1582733812949503E-2</v>
      </c>
      <c r="CH24">
        <v>0</v>
      </c>
      <c r="CI24">
        <v>0</v>
      </c>
      <c r="CJ24">
        <v>0</v>
      </c>
      <c r="CK24">
        <v>-3.2520325203252064E-2</v>
      </c>
      <c r="CL24">
        <v>4.1379310344827627E-2</v>
      </c>
      <c r="CM24">
        <v>6.2397372742200315E-2</v>
      </c>
      <c r="CN24">
        <v>-0.1764705882352941</v>
      </c>
      <c r="CO24">
        <v>9.8039215686274592E-2</v>
      </c>
      <c r="CP24">
        <v>3.3333333333333368E-2</v>
      </c>
      <c r="CQ24">
        <v>-8.9285714285714163E-2</v>
      </c>
      <c r="CR24">
        <v>-5.4466230936819175E-2</v>
      </c>
      <c r="CS24">
        <v>0</v>
      </c>
      <c r="CT24">
        <v>0.1070234113712374</v>
      </c>
      <c r="CU24">
        <v>3.7735849056602972E-3</v>
      </c>
      <c r="CV24">
        <v>6.14525139664805E-2</v>
      </c>
      <c r="CW24">
        <v>5.1886792452830233E-2</v>
      </c>
      <c r="CX24">
        <v>-0.1148936170212766</v>
      </c>
      <c r="CY24">
        <v>-1.0000000000000009E-2</v>
      </c>
      <c r="CZ24">
        <v>-2.5000000000000022E-2</v>
      </c>
      <c r="DA24">
        <v>0</v>
      </c>
      <c r="DB24">
        <v>-4.5901639344262196E-2</v>
      </c>
      <c r="DC24">
        <v>0</v>
      </c>
      <c r="DE24">
        <v>-0.10362694300518133</v>
      </c>
      <c r="DF24">
        <v>2.9069767441860361E-2</v>
      </c>
      <c r="DI24">
        <v>1.7241379310344921E-2</v>
      </c>
      <c r="DJ24">
        <v>2.7108433734939718E-2</v>
      </c>
      <c r="DK24">
        <v>5.9800664451827155E-2</v>
      </c>
      <c r="DL24">
        <v>0</v>
      </c>
      <c r="DM24">
        <v>2.3346303501945546E-2</v>
      </c>
      <c r="DN24">
        <v>-0.1999999999999999</v>
      </c>
      <c r="DO24">
        <v>-1.7301038062283367E-3</v>
      </c>
    </row>
    <row r="25" spans="1:119" x14ac:dyDescent="0.3">
      <c r="A25" s="64" t="s">
        <v>9067</v>
      </c>
      <c r="B25">
        <v>-2.5469168900804341E-2</v>
      </c>
      <c r="C25">
        <v>0</v>
      </c>
      <c r="E25">
        <v>-0.16532258064516117</v>
      </c>
      <c r="F25">
        <v>0</v>
      </c>
      <c r="H25">
        <v>-6.3063063063062919E-2</v>
      </c>
      <c r="I25">
        <v>-1.2048192771084348E-2</v>
      </c>
      <c r="J25">
        <v>-3.1250000000000028E-2</v>
      </c>
      <c r="K25">
        <v>-0.10505050505050514</v>
      </c>
      <c r="L25">
        <v>4.1237113402061897E-2</v>
      </c>
      <c r="M25">
        <v>-8.4507042253521208E-2</v>
      </c>
      <c r="N25">
        <v>-1.5873015873015886E-2</v>
      </c>
      <c r="O25">
        <v>0</v>
      </c>
      <c r="P25">
        <v>-0.49999999999999989</v>
      </c>
      <c r="Q25">
        <v>-1.4035087719298258E-2</v>
      </c>
      <c r="R25">
        <v>-8.0906148867313926E-2</v>
      </c>
      <c r="S25">
        <v>0</v>
      </c>
      <c r="T25">
        <v>0</v>
      </c>
      <c r="U25">
        <v>-7.9365079365079264E-2</v>
      </c>
      <c r="V25">
        <v>3.5335689045936425E-2</v>
      </c>
      <c r="W25">
        <v>8.3478260869565293E-2</v>
      </c>
      <c r="X25">
        <v>-4.5275590551181008E-2</v>
      </c>
      <c r="Y25">
        <v>7.6923076923076983E-2</v>
      </c>
      <c r="AA25">
        <v>-9.6590909090909047E-2</v>
      </c>
      <c r="AB25">
        <v>-0.1018181818181819</v>
      </c>
      <c r="AC25">
        <v>-6.0773480662983353E-2</v>
      </c>
      <c r="AD25">
        <v>0</v>
      </c>
      <c r="AE25">
        <v>-0.234375</v>
      </c>
      <c r="AF25">
        <v>-0.11495844875346262</v>
      </c>
      <c r="AG25">
        <v>-4.7345767575322696E-2</v>
      </c>
      <c r="AH25">
        <v>3.3333333333333361E-2</v>
      </c>
      <c r="AI25">
        <v>-1.8404907975460096E-2</v>
      </c>
      <c r="AJ25">
        <v>-6.3079777365491627E-2</v>
      </c>
      <c r="AK25">
        <v>-0.16666666666666682</v>
      </c>
      <c r="AL25">
        <v>0</v>
      </c>
      <c r="AM25">
        <v>-2.2346368715083696E-2</v>
      </c>
      <c r="AN25">
        <v>-0.16666666666666663</v>
      </c>
      <c r="AO25">
        <v>-2.1505376344085919E-2</v>
      </c>
      <c r="AP25">
        <v>-2.521008403361347E-2</v>
      </c>
      <c r="AQ25">
        <v>-0.19565217391304338</v>
      </c>
      <c r="AR25">
        <v>-8.787878787878789E-2</v>
      </c>
      <c r="AS25">
        <v>-0.10619469026548663</v>
      </c>
      <c r="AT25">
        <v>-0.16000000000000014</v>
      </c>
      <c r="AU25">
        <v>-2.8753993610223738E-2</v>
      </c>
      <c r="AW25">
        <v>0</v>
      </c>
      <c r="AX25">
        <v>-6.923076923076929E-2</v>
      </c>
      <c r="AY25">
        <v>-7.7922077922077879E-2</v>
      </c>
      <c r="AZ25">
        <v>-2.452697967764551E-2</v>
      </c>
      <c r="BB25">
        <v>-3.5294117647058858E-2</v>
      </c>
      <c r="BC25">
        <v>0</v>
      </c>
      <c r="BD25">
        <v>0.12686567164179099</v>
      </c>
      <c r="BE25">
        <v>-0.10181818181818175</v>
      </c>
      <c r="BF25">
        <v>-3.9999999999999938E-2</v>
      </c>
      <c r="BG25">
        <v>-5.7736720554272515E-2</v>
      </c>
      <c r="BH25">
        <v>-0.11278195488721797</v>
      </c>
      <c r="BI25">
        <v>2.0979020979020997E-2</v>
      </c>
      <c r="BJ25">
        <v>-7.142857142857148E-2</v>
      </c>
      <c r="BK25">
        <v>0</v>
      </c>
      <c r="BM25">
        <v>-1.0869565217391313E-2</v>
      </c>
      <c r="BN25">
        <v>-0.40000000000000008</v>
      </c>
      <c r="BP25">
        <v>2.0408163265306142E-2</v>
      </c>
      <c r="BR25">
        <v>0.11538461538461538</v>
      </c>
      <c r="BS25">
        <v>0.16666666666666671</v>
      </c>
      <c r="BT25">
        <v>-7.1428571428571369E-2</v>
      </c>
      <c r="BU25">
        <v>2.8571428571428598E-2</v>
      </c>
      <c r="BV25">
        <v>-6.6282420749279536E-2</v>
      </c>
      <c r="BW25">
        <v>-6.0869565217391362E-2</v>
      </c>
      <c r="BX25">
        <v>0</v>
      </c>
      <c r="BY25">
        <v>-2.721088435374152E-2</v>
      </c>
      <c r="BZ25">
        <v>-0.16326530612244897</v>
      </c>
      <c r="CA25">
        <v>-0.12121212121212123</v>
      </c>
      <c r="CB25">
        <v>-0.10704960835509131</v>
      </c>
      <c r="CC25">
        <v>-0.15151515151515146</v>
      </c>
      <c r="CD25">
        <v>-6.535947712418301E-2</v>
      </c>
      <c r="CE25">
        <v>-9.980039920159646E-3</v>
      </c>
      <c r="CF25">
        <v>-4.4999999999999929E-2</v>
      </c>
      <c r="CG25">
        <v>-5.0724637681159306E-2</v>
      </c>
      <c r="CH25">
        <v>0</v>
      </c>
      <c r="CI25">
        <v>6.5573770491803339E-3</v>
      </c>
      <c r="CJ25">
        <v>-1.2500000000000011E-2</v>
      </c>
      <c r="CK25">
        <v>-0.19047619047619047</v>
      </c>
      <c r="CL25">
        <v>-6.2015503875969047E-2</v>
      </c>
      <c r="CM25">
        <v>3.9370078740157514E-2</v>
      </c>
      <c r="CN25">
        <v>0.12499999999999993</v>
      </c>
      <c r="CO25">
        <v>0</v>
      </c>
      <c r="CP25">
        <v>-4.0000000000000036E-2</v>
      </c>
      <c r="CQ25">
        <v>-9.0909090909090981E-2</v>
      </c>
      <c r="CR25">
        <v>8.66666666666666E-2</v>
      </c>
      <c r="CS25">
        <v>0</v>
      </c>
      <c r="CT25">
        <v>-0.12084592145015102</v>
      </c>
      <c r="CU25">
        <v>-4.8780487804877912E-2</v>
      </c>
      <c r="CV25">
        <v>-4.5714285714285756E-2</v>
      </c>
      <c r="CW25">
        <v>-0.10400000000000004</v>
      </c>
      <c r="CX25">
        <v>4.5045045045045085E-2</v>
      </c>
      <c r="CY25">
        <v>-1.5384615384615399E-2</v>
      </c>
      <c r="CZ25">
        <v>3.0303030303030328E-2</v>
      </c>
      <c r="DA25">
        <v>-0.10000000000000009</v>
      </c>
      <c r="DB25">
        <v>-3.7500000000000033E-2</v>
      </c>
      <c r="DC25">
        <v>0</v>
      </c>
      <c r="DE25">
        <v>-4.102564102564106E-2</v>
      </c>
      <c r="DF25">
        <v>-3.0303030303030196E-2</v>
      </c>
      <c r="DI25">
        <v>-1.8518518518518615E-2</v>
      </c>
      <c r="DJ25">
        <v>-6.8111455108359059E-2</v>
      </c>
      <c r="DK25">
        <v>-8.3650190114068351E-2</v>
      </c>
      <c r="DL25">
        <v>-7.0588235294117715E-2</v>
      </c>
      <c r="DM25">
        <v>-6.5637065637065783E-2</v>
      </c>
      <c r="DN25">
        <v>0</v>
      </c>
      <c r="DO25">
        <v>-0.14655172413793113</v>
      </c>
    </row>
    <row r="26" spans="1:119" x14ac:dyDescent="0.3">
      <c r="A26" s="64" t="s">
        <v>9068</v>
      </c>
      <c r="B26">
        <v>5.5483870967742016E-2</v>
      </c>
      <c r="C26">
        <v>-1</v>
      </c>
      <c r="E26">
        <v>1.646090534979425E-2</v>
      </c>
      <c r="F26">
        <v>0</v>
      </c>
      <c r="H26">
        <v>-1.8867924528301903E-2</v>
      </c>
      <c r="I26">
        <v>-0.12499999999999997</v>
      </c>
      <c r="J26">
        <v>-1.6666666666666684E-2</v>
      </c>
      <c r="K26">
        <v>2.0491803278688634E-2</v>
      </c>
      <c r="L26">
        <v>-3.0303030303030332E-2</v>
      </c>
      <c r="M26">
        <v>4.6082949308756827E-3</v>
      </c>
      <c r="N26">
        <v>-1.612903225806453E-2</v>
      </c>
      <c r="O26">
        <v>0</v>
      </c>
      <c r="P26">
        <v>0</v>
      </c>
      <c r="Q26">
        <v>1.4084507042253534E-2</v>
      </c>
      <c r="R26">
        <v>0.1137931034482759</v>
      </c>
      <c r="S26">
        <v>-0.52499999999999991</v>
      </c>
      <c r="T26">
        <v>4.7619047619047658E-2</v>
      </c>
      <c r="U26">
        <v>-9.8484848484848564E-2</v>
      </c>
      <c r="V26">
        <v>-8.7719298245613718E-3</v>
      </c>
      <c r="W26">
        <v>-0.26521739130434785</v>
      </c>
      <c r="X26">
        <v>3.8383838383838284E-2</v>
      </c>
      <c r="Y26">
        <v>7.6923076923076886E-2</v>
      </c>
      <c r="AA26">
        <v>3.006012024048103E-2</v>
      </c>
      <c r="AB26">
        <v>-8.7550200803212838E-2</v>
      </c>
      <c r="AC26">
        <v>0.1072961373390558</v>
      </c>
      <c r="AD26">
        <v>-9.7560975609756184E-2</v>
      </c>
      <c r="AE26">
        <v>0.1</v>
      </c>
      <c r="AF26">
        <v>-8.5674157303370829E-2</v>
      </c>
      <c r="AG26">
        <v>7.4738415545590161E-3</v>
      </c>
      <c r="AH26">
        <v>1.3333333333333345E-2</v>
      </c>
      <c r="AI26">
        <v>-2.2641509433962283E-2</v>
      </c>
      <c r="AJ26">
        <v>-7.0524412296564129E-2</v>
      </c>
      <c r="AK26">
        <v>-0.11111111111111106</v>
      </c>
      <c r="AL26">
        <v>0</v>
      </c>
      <c r="AM26">
        <v>-4.3478260869565251E-2</v>
      </c>
      <c r="AN26">
        <v>-3.1250000000000028E-2</v>
      </c>
      <c r="AO26">
        <v>7.4074074074074001E-2</v>
      </c>
      <c r="AP26">
        <v>-4.3103448275862113E-2</v>
      </c>
      <c r="AQ26">
        <v>-1.8181818181818195E-2</v>
      </c>
      <c r="AR26">
        <v>0.14202898550724644</v>
      </c>
      <c r="AS26">
        <v>-6.2500000000000056E-2</v>
      </c>
      <c r="AT26">
        <v>0.13888888888888901</v>
      </c>
      <c r="AU26">
        <v>9.9667774086379564E-3</v>
      </c>
      <c r="AW26">
        <v>-0.21428571428571425</v>
      </c>
      <c r="AX26">
        <v>-1.5873015873015886E-2</v>
      </c>
      <c r="AY26">
        <v>-1.3513513513513466E-2</v>
      </c>
      <c r="AZ26">
        <v>0</v>
      </c>
      <c r="BB26">
        <v>-2.4096385542168697E-2</v>
      </c>
      <c r="BC26">
        <v>0</v>
      </c>
      <c r="BD26">
        <v>0</v>
      </c>
      <c r="BE26">
        <v>-3.9682539682539715E-2</v>
      </c>
      <c r="BF26">
        <v>-7.6190476190476253E-2</v>
      </c>
      <c r="BG26">
        <v>4.7169811320754755E-2</v>
      </c>
      <c r="BH26">
        <v>-0.12781954887218039</v>
      </c>
      <c r="BI26">
        <v>-2.0979020979020997E-2</v>
      </c>
      <c r="BJ26">
        <v>-0.13513513513513511</v>
      </c>
      <c r="BK26">
        <v>0</v>
      </c>
      <c r="BM26">
        <v>-7.1428571428571494E-2</v>
      </c>
      <c r="BN26">
        <v>0</v>
      </c>
      <c r="BP26">
        <v>-5.1020408163265356E-2</v>
      </c>
      <c r="BR26">
        <v>2.0000000000000018E-2</v>
      </c>
      <c r="BS26">
        <v>-0.20000000000000004</v>
      </c>
      <c r="BT26">
        <v>2.5000000000000022E-2</v>
      </c>
      <c r="BU26">
        <v>5.8823529411764754E-2</v>
      </c>
      <c r="BV26">
        <v>-2.6548672566371639E-2</v>
      </c>
      <c r="BW26">
        <v>-8.6956521739130523E-3</v>
      </c>
      <c r="BX26">
        <v>0</v>
      </c>
      <c r="BY26">
        <v>-1.3513513513513526E-2</v>
      </c>
      <c r="BZ26">
        <v>1.169590643274855E-2</v>
      </c>
      <c r="CA26">
        <v>0.13043478260869576</v>
      </c>
      <c r="CB26">
        <v>3.8860103626942866E-2</v>
      </c>
      <c r="CC26">
        <v>0.10714285714285723</v>
      </c>
      <c r="CD26">
        <v>-1.3698630136986375E-2</v>
      </c>
      <c r="CE26">
        <v>-0.15306122448979589</v>
      </c>
      <c r="CF26">
        <v>-5.9405940594059459E-2</v>
      </c>
      <c r="CG26">
        <v>0</v>
      </c>
      <c r="CH26">
        <v>0</v>
      </c>
      <c r="CI26">
        <v>-1.3114754098360668E-2</v>
      </c>
      <c r="CJ26">
        <v>5.0000000000000044E-2</v>
      </c>
      <c r="CK26">
        <v>3.0769230769230795E-2</v>
      </c>
      <c r="CL26">
        <v>-0.10569105691056914</v>
      </c>
      <c r="CM26">
        <v>-2.1276595744680774E-2</v>
      </c>
      <c r="CN26">
        <v>0.10526315789473693</v>
      </c>
      <c r="CO26">
        <v>-3.9215686274509838E-2</v>
      </c>
      <c r="CP26">
        <v>6.2500000000000056E-2</v>
      </c>
      <c r="CQ26">
        <v>-0.20833333333333334</v>
      </c>
      <c r="CR26">
        <v>-1.8947368421052602E-2</v>
      </c>
      <c r="CS26">
        <v>0</v>
      </c>
      <c r="CT26">
        <v>-3.344481605351099E-3</v>
      </c>
      <c r="CU26">
        <v>0.22448979591836726</v>
      </c>
      <c r="CV26">
        <v>-2.4390243902439046E-2</v>
      </c>
      <c r="CW26">
        <v>8.4985835694050445E-3</v>
      </c>
      <c r="CX26">
        <v>-9.2369477911646569E-2</v>
      </c>
      <c r="CY26">
        <v>0</v>
      </c>
      <c r="CZ26">
        <v>0</v>
      </c>
      <c r="DA26">
        <v>-0.57142857142857129</v>
      </c>
      <c r="DB26">
        <v>-8.682634730538924E-2</v>
      </c>
      <c r="DC26">
        <v>0</v>
      </c>
      <c r="DE26">
        <v>2.3255813953488292E-2</v>
      </c>
      <c r="DF26">
        <v>5.6249999999999911E-2</v>
      </c>
      <c r="DI26">
        <v>-0.13207547169811307</v>
      </c>
      <c r="DJ26">
        <v>8.2802547770700563E-2</v>
      </c>
      <c r="DK26">
        <v>-0.11020408163265306</v>
      </c>
      <c r="DL26">
        <v>-2.941176470588238E-2</v>
      </c>
      <c r="DM26">
        <v>3.9525691699604779E-2</v>
      </c>
      <c r="DN26">
        <v>-0.16666666666666682</v>
      </c>
      <c r="DO26">
        <v>-6.8846815834767705E-3</v>
      </c>
    </row>
    <row r="27" spans="1:119" x14ac:dyDescent="0.3">
      <c r="A27" s="64" t="s">
        <v>9069</v>
      </c>
      <c r="B27">
        <v>2.3929471032745529E-2</v>
      </c>
      <c r="E27">
        <v>-5.2816901408450835E-2</v>
      </c>
      <c r="F27">
        <v>0</v>
      </c>
      <c r="H27">
        <v>0</v>
      </c>
      <c r="I27">
        <v>1.2345679012345689E-2</v>
      </c>
      <c r="J27">
        <v>-8.0645161290322648E-2</v>
      </c>
      <c r="K27">
        <v>-8.3333333333333356E-2</v>
      </c>
      <c r="L27">
        <v>-2.1052631578947389E-2</v>
      </c>
      <c r="M27">
        <v>1.7021276595744695E-2</v>
      </c>
      <c r="N27">
        <v>1.5873015873015886E-2</v>
      </c>
      <c r="O27">
        <v>0</v>
      </c>
      <c r="P27">
        <v>0</v>
      </c>
      <c r="Q27">
        <v>-1.0416666666666753E-2</v>
      </c>
      <c r="R27">
        <v>3.8095238095237988E-2</v>
      </c>
      <c r="S27">
        <v>0</v>
      </c>
      <c r="T27">
        <v>0</v>
      </c>
      <c r="U27">
        <v>-0.28521126760563381</v>
      </c>
      <c r="V27">
        <v>9.0909090909090592E-3</v>
      </c>
      <c r="W27">
        <v>-2.3364485981308466E-2</v>
      </c>
      <c r="X27">
        <v>4.8262548262548263E-2</v>
      </c>
      <c r="Y27">
        <v>-8.3333333333333301E-2</v>
      </c>
      <c r="AA27">
        <v>-0.10000000000000013</v>
      </c>
      <c r="AB27">
        <v>6.7059690493736196E-2</v>
      </c>
      <c r="AC27">
        <v>-7.8431372549019676E-3</v>
      </c>
      <c r="AD27">
        <v>-7.3170731707317013E-2</v>
      </c>
      <c r="AE27">
        <v>6.153846153846159E-2</v>
      </c>
      <c r="AF27">
        <v>-4.276729559748426E-2</v>
      </c>
      <c r="AG27">
        <v>-8.547008547008619E-3</v>
      </c>
      <c r="AH27">
        <v>-1.3793103448275874E-2</v>
      </c>
      <c r="AI27">
        <v>-9.0909090909090953E-2</v>
      </c>
      <c r="AJ27">
        <v>8.5178875638841269E-3</v>
      </c>
      <c r="AK27">
        <v>0</v>
      </c>
      <c r="AL27">
        <v>0</v>
      </c>
      <c r="AM27">
        <v>1.5957446808510654E-2</v>
      </c>
      <c r="AN27">
        <v>-0.29729729729729726</v>
      </c>
      <c r="AO27">
        <v>0</v>
      </c>
      <c r="AP27">
        <v>0</v>
      </c>
      <c r="AQ27">
        <v>5.6603773584905627E-2</v>
      </c>
      <c r="AR27">
        <v>-2.6737967914438526E-2</v>
      </c>
      <c r="AS27">
        <v>0</v>
      </c>
      <c r="AT27">
        <v>0</v>
      </c>
      <c r="AU27">
        <v>-6.4516129032258118E-2</v>
      </c>
      <c r="AW27">
        <v>0</v>
      </c>
      <c r="AX27">
        <v>2.222222222222224E-2</v>
      </c>
      <c r="AY27">
        <v>-2.4999999999999467E-3</v>
      </c>
      <c r="AZ27">
        <v>1.2218649517684969E-2</v>
      </c>
      <c r="BB27">
        <v>4.6511627906976785E-2</v>
      </c>
      <c r="BC27">
        <v>-2.142857142857145E-2</v>
      </c>
      <c r="BD27">
        <v>0.14851485148514854</v>
      </c>
      <c r="BE27">
        <v>4.2857142857142899E-2</v>
      </c>
      <c r="BF27">
        <v>-1.8264840182648418E-2</v>
      </c>
      <c r="BG27">
        <v>-7.5723830734966552E-2</v>
      </c>
      <c r="BH27">
        <v>-4.7297297297297342E-2</v>
      </c>
      <c r="BI27">
        <v>-1.4285714285714299E-2</v>
      </c>
      <c r="BJ27">
        <v>-0.61538461538461553</v>
      </c>
      <c r="BK27">
        <v>0</v>
      </c>
      <c r="BM27">
        <v>7.0588235294117715E-2</v>
      </c>
      <c r="BN27">
        <v>-0.12499999999999993</v>
      </c>
      <c r="BP27">
        <v>-6.2500000000000056E-2</v>
      </c>
      <c r="BR27">
        <v>-0.20454545454545461</v>
      </c>
      <c r="BS27">
        <v>0.25000000000000006</v>
      </c>
      <c r="BT27">
        <v>0</v>
      </c>
      <c r="BU27">
        <v>-0.39393939393939392</v>
      </c>
      <c r="BV27">
        <v>-8.2872928176796271E-3</v>
      </c>
      <c r="BW27">
        <v>-1.6393442622950834E-2</v>
      </c>
      <c r="BX27">
        <v>0</v>
      </c>
      <c r="BY27">
        <v>-3.2894736842105289E-2</v>
      </c>
      <c r="BZ27">
        <v>9.2307692307692271E-2</v>
      </c>
      <c r="CA27">
        <v>-0.25925925925925924</v>
      </c>
      <c r="CB27">
        <v>-5.1522248243559665E-2</v>
      </c>
      <c r="CC27">
        <v>3.0303030303030328E-2</v>
      </c>
      <c r="CD27">
        <v>-7.6923076923076886E-2</v>
      </c>
      <c r="CE27">
        <v>2.0202020202020308E-2</v>
      </c>
      <c r="CF27">
        <v>-0.10900473933649289</v>
      </c>
      <c r="CG27">
        <v>-4.2253521126760604E-2</v>
      </c>
      <c r="CH27">
        <v>0</v>
      </c>
      <c r="CI27">
        <v>-2.3102310231023198E-2</v>
      </c>
      <c r="CJ27">
        <v>-0.16049382716049382</v>
      </c>
      <c r="CK27">
        <v>-6.4935064935064991E-3</v>
      </c>
      <c r="CL27">
        <v>-1.5267175572518984E-2</v>
      </c>
      <c r="CM27">
        <v>2.2222222222221749E-3</v>
      </c>
      <c r="CN27">
        <v>0.11764705882352934</v>
      </c>
      <c r="CO27">
        <v>-5.8823529411764754E-2</v>
      </c>
      <c r="CP27">
        <v>1.9999999999999907E-2</v>
      </c>
      <c r="CQ27">
        <v>0</v>
      </c>
      <c r="CR27">
        <v>4.5871559633028575E-3</v>
      </c>
      <c r="CS27">
        <v>-0.13333333333333347</v>
      </c>
      <c r="CT27">
        <v>2.9498525073746337E-2</v>
      </c>
      <c r="CU27">
        <v>-1.9455252918287869E-2</v>
      </c>
      <c r="CV27">
        <v>-2.3255813953488393E-2</v>
      </c>
      <c r="CW27">
        <v>-4.8469387755102025E-2</v>
      </c>
      <c r="CX27">
        <v>-0.22594142259414227</v>
      </c>
      <c r="CY27">
        <v>-5.0000000000000044E-2</v>
      </c>
      <c r="CZ27">
        <v>-4.5454545454545324E-2</v>
      </c>
      <c r="DA27">
        <v>-0.89610389610389629</v>
      </c>
      <c r="DB27">
        <v>0</v>
      </c>
      <c r="DC27">
        <v>0</v>
      </c>
      <c r="DE27">
        <v>-4.4843049327353305E-3</v>
      </c>
      <c r="DF27">
        <v>2.4242424242424267E-2</v>
      </c>
      <c r="DI27">
        <v>1.8518518518518452E-2</v>
      </c>
      <c r="DJ27">
        <v>-2.0833333333333287E-2</v>
      </c>
      <c r="DK27">
        <v>2.2471910112359571E-2</v>
      </c>
      <c r="DL27">
        <v>1.0989010989010999E-2</v>
      </c>
      <c r="DM27">
        <v>-2.5925925925925866E-2</v>
      </c>
      <c r="DN27">
        <v>-0.1666666666666666</v>
      </c>
      <c r="DO27">
        <v>-9.00900900900895E-3</v>
      </c>
    </row>
    <row r="28" spans="1:119" x14ac:dyDescent="0.3">
      <c r="A28" s="64" t="s">
        <v>9070</v>
      </c>
      <c r="B28">
        <v>7.0572569906790977E-2</v>
      </c>
      <c r="C28">
        <v>0</v>
      </c>
      <c r="E28">
        <v>0</v>
      </c>
      <c r="F28">
        <v>0</v>
      </c>
      <c r="H28">
        <v>8.6956521739130523E-3</v>
      </c>
      <c r="I28">
        <v>2.1978021978021997E-2</v>
      </c>
      <c r="J28">
        <v>7.936507936507943E-2</v>
      </c>
      <c r="K28">
        <v>3.2075471698113193E-2</v>
      </c>
      <c r="L28">
        <v>1.0204081632653071E-2</v>
      </c>
      <c r="M28">
        <v>2.1367521367521292E-2</v>
      </c>
      <c r="N28">
        <v>0</v>
      </c>
      <c r="O28">
        <v>0</v>
      </c>
      <c r="P28">
        <v>0</v>
      </c>
      <c r="Q28">
        <v>-7.0422535211267668E-3</v>
      </c>
      <c r="R28">
        <v>6.7375886524822834E-2</v>
      </c>
      <c r="S28">
        <v>9.8360655737704819E-2</v>
      </c>
      <c r="T28">
        <v>-1.6666666666666684E-2</v>
      </c>
      <c r="U28">
        <v>4.5161290322580684E-2</v>
      </c>
      <c r="V28">
        <v>1.081081081081074E-2</v>
      </c>
      <c r="W28">
        <v>-3.6363636363636237E-2</v>
      </c>
      <c r="X28">
        <v>2.6052104208416811E-2</v>
      </c>
      <c r="Y28">
        <v>0</v>
      </c>
      <c r="AA28">
        <v>5.607476635514066E-3</v>
      </c>
      <c r="AB28">
        <v>1.0914051841746257E-2</v>
      </c>
      <c r="AC28">
        <v>0.15652173913043474</v>
      </c>
      <c r="AD28">
        <v>2.222222222222224E-2</v>
      </c>
      <c r="AE28">
        <v>0.1333333333333333</v>
      </c>
      <c r="AF28">
        <v>2.4532710280373932E-2</v>
      </c>
      <c r="AG28">
        <v>4.7345767575322821E-2</v>
      </c>
      <c r="AH28">
        <v>0</v>
      </c>
      <c r="AI28">
        <v>9.0744101633393505E-3</v>
      </c>
      <c r="AJ28">
        <v>-2.7156549520766762E-2</v>
      </c>
      <c r="AK28">
        <v>0.18181818181818185</v>
      </c>
      <c r="AL28">
        <v>0</v>
      </c>
      <c r="AM28">
        <v>3.5714285714285636E-2</v>
      </c>
      <c r="AN28">
        <v>0.18421052631578949</v>
      </c>
      <c r="AO28">
        <v>0</v>
      </c>
      <c r="AP28">
        <v>-1.612903225806453E-2</v>
      </c>
      <c r="AQ28">
        <v>1.4869888475836444E-2</v>
      </c>
      <c r="AR28">
        <v>3.076923076923148E-3</v>
      </c>
      <c r="AS28">
        <v>6.8702290076335937E-2</v>
      </c>
      <c r="AT28">
        <v>-2.8571428571428598E-2</v>
      </c>
      <c r="AU28">
        <v>5.2117263843648259E-2</v>
      </c>
      <c r="AW28">
        <v>0.1764705882352941</v>
      </c>
      <c r="AX28">
        <v>-1.4598540145985413E-2</v>
      </c>
      <c r="AY28">
        <v>1.2345679012345635E-2</v>
      </c>
      <c r="AZ28">
        <v>2.3151125401929224E-2</v>
      </c>
      <c r="BB28">
        <v>3.4090909090908998E-2</v>
      </c>
      <c r="BC28">
        <v>-1.4285714285714299E-2</v>
      </c>
      <c r="BD28">
        <v>0</v>
      </c>
      <c r="BE28">
        <v>4.1379310344827468E-2</v>
      </c>
      <c r="BF28">
        <v>1.7021276595744695E-2</v>
      </c>
      <c r="BG28">
        <v>4.8951048951048945E-2</v>
      </c>
      <c r="BH28">
        <v>6.0606060606060531E-2</v>
      </c>
      <c r="BI28">
        <v>6.9930069930069999E-3</v>
      </c>
      <c r="BJ28">
        <v>0.20454545454545472</v>
      </c>
      <c r="BK28">
        <v>0</v>
      </c>
      <c r="BM28">
        <v>1.0989010989010999E-2</v>
      </c>
      <c r="BN28">
        <v>0.12499999999999993</v>
      </c>
      <c r="BP28">
        <v>1.980198019801982E-2</v>
      </c>
      <c r="BR28">
        <v>0.20930232558139542</v>
      </c>
      <c r="BS28">
        <v>0.20000000000000004</v>
      </c>
      <c r="BT28">
        <v>2.3809523809523832E-2</v>
      </c>
      <c r="BU28">
        <v>-9.6774193548387011E-2</v>
      </c>
      <c r="BV28">
        <v>1.0781671159029659E-2</v>
      </c>
      <c r="BW28">
        <v>1.6260162601626032E-2</v>
      </c>
      <c r="BX28">
        <v>0</v>
      </c>
      <c r="BY28">
        <v>-1.9480519480519497E-2</v>
      </c>
      <c r="BZ28">
        <v>0</v>
      </c>
      <c r="CA28">
        <v>0.20833333333333329</v>
      </c>
      <c r="CB28">
        <v>5.0970873786407758E-2</v>
      </c>
      <c r="CC28">
        <v>0.26666666666666666</v>
      </c>
      <c r="CD28">
        <v>7.7215189873417758E-2</v>
      </c>
      <c r="CE28">
        <v>-1.75438596491229E-2</v>
      </c>
      <c r="CF28">
        <v>8.0717488789237735E-2</v>
      </c>
      <c r="CG28">
        <v>2.8169014084507067E-2</v>
      </c>
      <c r="CH28">
        <v>0</v>
      </c>
      <c r="CI28">
        <v>-6.8403908794788262E-2</v>
      </c>
      <c r="CJ28">
        <v>9.0909090909090981E-2</v>
      </c>
      <c r="CK28">
        <v>4.0000000000000036E-2</v>
      </c>
      <c r="CL28">
        <v>-6.2500000000000097E-2</v>
      </c>
      <c r="CM28">
        <v>8.6956521739130523E-3</v>
      </c>
      <c r="CN28">
        <v>0.13333333333333336</v>
      </c>
      <c r="CO28">
        <v>3.7735849056603807E-2</v>
      </c>
      <c r="CP28">
        <v>5.3191489361702177E-2</v>
      </c>
      <c r="CQ28">
        <v>3.2258064516129059E-2</v>
      </c>
      <c r="CR28">
        <v>2.9213483146067389E-2</v>
      </c>
      <c r="CS28">
        <v>0.33333333333333348</v>
      </c>
      <c r="CT28">
        <v>-1.7647058823529429E-2</v>
      </c>
      <c r="CU28">
        <v>3.4653465346534573E-2</v>
      </c>
      <c r="CV28">
        <v>5.6818181818181872E-3</v>
      </c>
      <c r="CW28">
        <v>2.0565552699228811E-2</v>
      </c>
      <c r="CX28">
        <v>0.10687022900763368</v>
      </c>
      <c r="CY28">
        <v>0</v>
      </c>
      <c r="CZ28">
        <v>7.5757575757575649E-2</v>
      </c>
      <c r="DA28">
        <v>0.10256410256410266</v>
      </c>
      <c r="DB28">
        <v>-5.3333333333333384E-3</v>
      </c>
      <c r="DC28">
        <v>0</v>
      </c>
      <c r="DE28">
        <v>-2.2935779816513881E-2</v>
      </c>
      <c r="DF28">
        <v>3.8461538461538491E-2</v>
      </c>
      <c r="DI28">
        <v>3.2786885245901669E-2</v>
      </c>
      <c r="DJ28">
        <v>-6.4516129032258117E-3</v>
      </c>
      <c r="DK28">
        <v>9.5238095238095177E-2</v>
      </c>
      <c r="DL28">
        <v>-2.13903743315507E-2</v>
      </c>
      <c r="DM28">
        <v>0</v>
      </c>
      <c r="DN28">
        <v>0.28571428571428575</v>
      </c>
      <c r="DO28">
        <v>2.9850746268656079E-3</v>
      </c>
    </row>
    <row r="29" spans="1:119" x14ac:dyDescent="0.3">
      <c r="A29" s="64" t="s">
        <v>9071</v>
      </c>
      <c r="B29">
        <v>-2.0491803278688572E-2</v>
      </c>
      <c r="C29">
        <v>0</v>
      </c>
      <c r="D29">
        <v>5.0632911392404965E-2</v>
      </c>
      <c r="E29">
        <v>6.1016949152542424E-2</v>
      </c>
      <c r="F29">
        <v>0</v>
      </c>
      <c r="H29">
        <v>0</v>
      </c>
      <c r="I29">
        <v>0</v>
      </c>
      <c r="J29">
        <v>0</v>
      </c>
      <c r="K29">
        <v>-0.12173913043478264</v>
      </c>
      <c r="L29">
        <v>2.0000000000000018E-2</v>
      </c>
      <c r="M29">
        <v>4.3478260869565258E-2</v>
      </c>
      <c r="N29">
        <v>0</v>
      </c>
      <c r="O29">
        <v>0</v>
      </c>
      <c r="P29">
        <v>0</v>
      </c>
      <c r="Q29">
        <v>-2.0905923344947754E-2</v>
      </c>
      <c r="R29">
        <v>0.21111111111111103</v>
      </c>
      <c r="S29">
        <v>4.9180327868852507E-2</v>
      </c>
      <c r="T29">
        <v>-5.0000000000000044E-2</v>
      </c>
      <c r="U29">
        <v>-3.3248081841432194E-2</v>
      </c>
      <c r="V29">
        <v>-1.0909090909090839E-2</v>
      </c>
      <c r="W29">
        <v>-5.9523809523809521E-2</v>
      </c>
      <c r="X29">
        <v>2.9535864978903072E-2</v>
      </c>
      <c r="Y29">
        <v>8.3333333333333301E-2</v>
      </c>
      <c r="Z29">
        <v>0</v>
      </c>
      <c r="AA29">
        <v>-5.0847457627119065E-3</v>
      </c>
      <c r="AB29">
        <v>-0.18254545454545465</v>
      </c>
      <c r="AC29">
        <v>-1.7241379310344845E-2</v>
      </c>
      <c r="AD29">
        <v>2.0833333333333239E-2</v>
      </c>
      <c r="AE29">
        <v>3.5714285714285747E-2</v>
      </c>
      <c r="AF29">
        <v>-4.606741573033709E-2</v>
      </c>
      <c r="AG29">
        <v>-4.2674253200569341E-3</v>
      </c>
      <c r="AH29">
        <v>2.0689655172413814E-2</v>
      </c>
      <c r="AI29">
        <v>0</v>
      </c>
      <c r="AJ29">
        <v>5.3140096618357502E-2</v>
      </c>
      <c r="AK29">
        <v>9.090909090909087E-2</v>
      </c>
      <c r="AL29">
        <v>0</v>
      </c>
      <c r="AM29">
        <v>-4.6632124352331536E-2</v>
      </c>
      <c r="AN29">
        <v>6.122448979591831E-2</v>
      </c>
      <c r="AO29">
        <v>0.24675324675324684</v>
      </c>
      <c r="AP29">
        <v>8.0645161290322648E-3</v>
      </c>
      <c r="AQ29">
        <v>-3.9370078740157514E-2</v>
      </c>
      <c r="AR29">
        <v>0.13134328358208952</v>
      </c>
      <c r="AS29">
        <v>5.3435114503816841E-2</v>
      </c>
      <c r="AT29">
        <v>4.2857142857142899E-2</v>
      </c>
      <c r="AU29">
        <v>6.1162079510703416E-3</v>
      </c>
      <c r="AW29">
        <v>-0.29411764705882343</v>
      </c>
      <c r="AX29">
        <v>0</v>
      </c>
      <c r="AY29">
        <v>0.24876847290640391</v>
      </c>
      <c r="AZ29">
        <v>2.0833333333333353E-2</v>
      </c>
      <c r="BB29">
        <v>-1.1904761904761784E-2</v>
      </c>
      <c r="BC29">
        <v>6.9930069930069999E-3</v>
      </c>
      <c r="BD29">
        <v>0.22093023255813948</v>
      </c>
      <c r="BE29">
        <v>1.0791366906474911E-2</v>
      </c>
      <c r="BF29">
        <v>-5.4393305439330498E-2</v>
      </c>
      <c r="BG29">
        <v>-7.3434125269978376E-2</v>
      </c>
      <c r="BH29">
        <v>3.4883720930232592E-2</v>
      </c>
      <c r="BI29">
        <v>-4.1379310344827627E-2</v>
      </c>
      <c r="BJ29">
        <v>7.3529411764705774E-2</v>
      </c>
      <c r="BK29">
        <v>0</v>
      </c>
      <c r="BM29">
        <v>-7.0588235294117715E-2</v>
      </c>
      <c r="BN29">
        <v>-0.11111111111111106</v>
      </c>
      <c r="BP29">
        <v>3.738317757009349E-2</v>
      </c>
      <c r="BR29">
        <v>-0.15384615384615388</v>
      </c>
      <c r="BS29">
        <v>-0.25000000000000006</v>
      </c>
      <c r="BT29">
        <v>-2.3809523809523832E-2</v>
      </c>
      <c r="BU29">
        <v>0.22727272727272721</v>
      </c>
      <c r="BV29">
        <v>1.3368983957219322E-2</v>
      </c>
      <c r="BW29">
        <v>1.6000000000000014E-2</v>
      </c>
      <c r="BX29">
        <v>0</v>
      </c>
      <c r="BY29">
        <v>1.2578616352201269E-2</v>
      </c>
      <c r="BZ29">
        <v>2.8571428571428598E-2</v>
      </c>
      <c r="CA29">
        <v>9.6774193548387094E-2</v>
      </c>
      <c r="CB29">
        <v>9.2165898617511607E-3</v>
      </c>
      <c r="CC29">
        <v>-6.8965517241379379E-2</v>
      </c>
      <c r="CD29">
        <v>-2.2352941176470634E-2</v>
      </c>
      <c r="CE29">
        <v>-0.12500000000000003</v>
      </c>
      <c r="CF29">
        <v>-2.8455284552845645E-2</v>
      </c>
      <c r="CG29">
        <v>-1.3513513513513526E-2</v>
      </c>
      <c r="CH29">
        <v>0</v>
      </c>
      <c r="CI29">
        <v>-3.1847133757961811E-2</v>
      </c>
      <c r="CJ29">
        <v>9.9999999999999964E-2</v>
      </c>
      <c r="CK29">
        <v>9.9337748344370799E-2</v>
      </c>
      <c r="CL29">
        <v>6.3926940639269458E-2</v>
      </c>
      <c r="CM29">
        <v>8.2788671023965116E-2</v>
      </c>
      <c r="CN29">
        <v>-7.6923076923076886E-2</v>
      </c>
      <c r="CO29">
        <v>5.3571428571428617E-2</v>
      </c>
      <c r="CP29">
        <v>8.6956521739130391E-2</v>
      </c>
      <c r="CQ29">
        <v>-0.15483870967741933</v>
      </c>
      <c r="CR29">
        <v>-7.9006772009029475E-2</v>
      </c>
      <c r="CS29">
        <v>0</v>
      </c>
      <c r="CT29">
        <v>-4.8484848484848533E-2</v>
      </c>
      <c r="CU29">
        <v>-7.7294685990338244E-2</v>
      </c>
      <c r="CV29">
        <v>1.111111111111112E-2</v>
      </c>
      <c r="CW29">
        <v>1.9607843137254919E-2</v>
      </c>
      <c r="CX29">
        <v>5.6962025316455604E-2</v>
      </c>
      <c r="CY29">
        <v>0</v>
      </c>
      <c r="CZ29">
        <v>-2.898550724637684E-2</v>
      </c>
      <c r="DA29">
        <v>-2.1505376344086041E-2</v>
      </c>
      <c r="DB29">
        <v>5.0666666666666652E-2</v>
      </c>
      <c r="DC29">
        <v>0</v>
      </c>
      <c r="DE29">
        <v>-7.3059360730593464E-2</v>
      </c>
      <c r="DF29">
        <v>0.13157894736842102</v>
      </c>
      <c r="DI29">
        <v>6.6666666666666582E-2</v>
      </c>
      <c r="DJ29">
        <v>-2.5236593059936932E-2</v>
      </c>
      <c r="DK29">
        <v>7.6388888888888964E-2</v>
      </c>
      <c r="DL29">
        <v>-5.40540540540541E-3</v>
      </c>
      <c r="DM29">
        <v>3.7453183520598453E-3</v>
      </c>
      <c r="DN29">
        <v>-0.25000000000000006</v>
      </c>
      <c r="DO29">
        <v>3.6982248520710061E-2</v>
      </c>
    </row>
    <row r="30" spans="1:119" x14ac:dyDescent="0.3">
      <c r="A30" s="64" t="s">
        <v>9072</v>
      </c>
      <c r="B30">
        <v>2.9455081001473434E-3</v>
      </c>
      <c r="C30">
        <v>0</v>
      </c>
      <c r="D30">
        <v>-6.0714285714285693E-2</v>
      </c>
      <c r="E30">
        <v>-2.7118644067796634E-2</v>
      </c>
      <c r="F30">
        <v>0</v>
      </c>
      <c r="H30">
        <v>-2.6315789473684237E-2</v>
      </c>
      <c r="I30">
        <v>-0.12499999999999999</v>
      </c>
      <c r="J30">
        <v>-6.3492063492063544E-2</v>
      </c>
      <c r="K30">
        <v>-7.1684587813620132E-3</v>
      </c>
      <c r="L30">
        <v>-8.0808080808080884E-2</v>
      </c>
      <c r="M30">
        <v>-8.8888888888888962E-2</v>
      </c>
      <c r="N30">
        <v>-1.5873015873015886E-2</v>
      </c>
      <c r="O30">
        <v>0</v>
      </c>
      <c r="P30">
        <v>0</v>
      </c>
      <c r="Q30">
        <v>-1.7301038062283676E-2</v>
      </c>
      <c r="R30">
        <v>-8.3665338645418322E-2</v>
      </c>
      <c r="S30">
        <v>-9.0909090909090787E-2</v>
      </c>
      <c r="T30">
        <v>1.6393442622950834E-2</v>
      </c>
      <c r="U30">
        <v>-3.1830238726790361E-2</v>
      </c>
      <c r="V30">
        <v>-0.13786764705882351</v>
      </c>
      <c r="W30">
        <v>-9.310344827586213E-2</v>
      </c>
      <c r="X30">
        <v>-0.11279826464208252</v>
      </c>
      <c r="Y30">
        <v>0</v>
      </c>
      <c r="Z30">
        <v>0</v>
      </c>
      <c r="AA30">
        <v>1.7035775127768403E-2</v>
      </c>
      <c r="AB30">
        <v>-6.8432671081677679E-2</v>
      </c>
      <c r="AC30">
        <v>-0.38265306122448978</v>
      </c>
      <c r="AD30">
        <v>-6.3829787234042493E-2</v>
      </c>
      <c r="AE30">
        <v>2.0833333333333259E-2</v>
      </c>
      <c r="AF30">
        <v>-7.4798619102416614E-2</v>
      </c>
      <c r="AG30">
        <v>-8.3582089552238739E-2</v>
      </c>
      <c r="AH30">
        <v>1.3793103448275874E-2</v>
      </c>
      <c r="AI30">
        <v>1.6806722689075271E-3</v>
      </c>
      <c r="AJ30">
        <v>-3.7617554858934206E-2</v>
      </c>
      <c r="AK30">
        <v>0.11111111111111106</v>
      </c>
      <c r="AL30">
        <v>0</v>
      </c>
      <c r="AM30">
        <v>-4.8387096774193589E-2</v>
      </c>
      <c r="AN30">
        <v>-0.11904761904761903</v>
      </c>
      <c r="AO30">
        <v>0</v>
      </c>
      <c r="AP30">
        <v>-7.1428571428571494E-2</v>
      </c>
      <c r="AQ30">
        <v>-4.0000000000000036E-2</v>
      </c>
      <c r="AR30">
        <v>-4.4910179640718535E-2</v>
      </c>
      <c r="AS30">
        <v>-4.9180327868852507E-2</v>
      </c>
      <c r="AT30">
        <v>8.3333333333333259E-2</v>
      </c>
      <c r="AU30">
        <v>-5.7877813504823204E-2</v>
      </c>
      <c r="AW30">
        <v>0.14285714285714277</v>
      </c>
      <c r="AX30">
        <v>-5.8823529411764594E-2</v>
      </c>
      <c r="AY30">
        <v>0.19950124688279297</v>
      </c>
      <c r="AZ30">
        <v>-7.0000000000000048E-2</v>
      </c>
      <c r="BB30">
        <v>1.2345679012345552E-2</v>
      </c>
      <c r="BC30">
        <v>-6.2068965517241434E-2</v>
      </c>
      <c r="BD30">
        <v>0.20930232558139542</v>
      </c>
      <c r="BE30">
        <v>-8.646616541353383E-2</v>
      </c>
      <c r="BF30">
        <v>-5.5319148936170168E-2</v>
      </c>
      <c r="BG30">
        <v>-9.7285067873303308E-2</v>
      </c>
      <c r="BH30">
        <v>-8.6419753086419693E-2</v>
      </c>
      <c r="BI30">
        <v>-6.9444444444444503E-2</v>
      </c>
      <c r="BJ30">
        <v>-0.16949152542372878</v>
      </c>
      <c r="BK30">
        <v>0</v>
      </c>
      <c r="BM30">
        <v>-7.1428571428571369E-2</v>
      </c>
      <c r="BN30">
        <v>0.12499999999999993</v>
      </c>
      <c r="BP30">
        <v>-1.9047619047619063E-2</v>
      </c>
      <c r="BR30">
        <v>-0.34883720930232565</v>
      </c>
      <c r="BS30">
        <v>-0.33333333333333343</v>
      </c>
      <c r="BT30">
        <v>4.878048780487796E-2</v>
      </c>
      <c r="BU30">
        <v>-0.10638297872340424</v>
      </c>
      <c r="BV30">
        <v>-1.3513513513513585E-2</v>
      </c>
      <c r="BW30">
        <v>-4.0650406504065074E-2</v>
      </c>
      <c r="BY30">
        <v>-1.2345679012345689E-2</v>
      </c>
      <c r="BZ30">
        <v>-0.3428571428571428</v>
      </c>
      <c r="CA30">
        <v>-7.6923076923076886E-2</v>
      </c>
      <c r="CB30">
        <v>-0.16464891041162222</v>
      </c>
      <c r="CC30">
        <v>-9.5238095238095191E-2</v>
      </c>
      <c r="CD30">
        <v>-4.1825095057034231E-2</v>
      </c>
      <c r="CE30">
        <v>3.5087719298245647E-2</v>
      </c>
      <c r="CF30">
        <v>-0.32017543859649122</v>
      </c>
      <c r="CG30">
        <v>-0.14583333333333331</v>
      </c>
      <c r="CH30">
        <v>0</v>
      </c>
      <c r="CI30">
        <v>2.9850746268657406E-3</v>
      </c>
      <c r="CJ30">
        <v>9.6385542168674662E-2</v>
      </c>
      <c r="CK30">
        <v>-2.0689655172413814E-2</v>
      </c>
      <c r="CL30">
        <v>-0.12258064516129037</v>
      </c>
      <c r="CM30">
        <v>-0.1802197802197803</v>
      </c>
      <c r="CN30">
        <v>-0.54545454545454541</v>
      </c>
      <c r="CO30">
        <v>-3.703703703703707E-2</v>
      </c>
      <c r="CP30">
        <v>0.16091954022988508</v>
      </c>
      <c r="CQ30">
        <v>-0.13999999999999999</v>
      </c>
      <c r="CR30">
        <v>2.3255813953488497E-2</v>
      </c>
      <c r="CS30">
        <v>0</v>
      </c>
      <c r="CT30">
        <v>-1.1904761904761916E-2</v>
      </c>
      <c r="CU30">
        <v>4.5000000000000151E-2</v>
      </c>
      <c r="CV30">
        <v>-3.9106145251396683E-2</v>
      </c>
      <c r="CW30">
        <v>-0.11499999999999999</v>
      </c>
      <c r="CX30">
        <v>-0.20486111111111108</v>
      </c>
      <c r="CY30">
        <v>-2.8571428571428595E-2</v>
      </c>
      <c r="CZ30">
        <v>-0.14062499999999994</v>
      </c>
      <c r="DA30">
        <v>-6.896551724137924E-2</v>
      </c>
      <c r="DB30">
        <v>0.12201591511936338</v>
      </c>
      <c r="DC30">
        <v>0</v>
      </c>
      <c r="DE30">
        <v>-0.11607142857142866</v>
      </c>
      <c r="DF30">
        <v>-0.10958904109589036</v>
      </c>
      <c r="DI30">
        <v>-0.1068965517241378</v>
      </c>
      <c r="DJ30">
        <v>-9.4043887147334804E-3</v>
      </c>
      <c r="DK30">
        <v>-0.12307692307692318</v>
      </c>
      <c r="DL30">
        <v>-7.4074074074074139E-2</v>
      </c>
      <c r="DM30">
        <v>-5.243445692883883E-2</v>
      </c>
      <c r="DN30">
        <v>-0.33333333333333343</v>
      </c>
      <c r="DO30">
        <v>-5.3412462908011785E-2</v>
      </c>
    </row>
    <row r="31" spans="1:119" x14ac:dyDescent="0.3">
      <c r="A31" s="64" t="s">
        <v>9073</v>
      </c>
      <c r="B31">
        <v>-0.12680115273775214</v>
      </c>
      <c r="C31">
        <v>0</v>
      </c>
      <c r="D31">
        <v>-7.1969696969696947E-2</v>
      </c>
      <c r="E31">
        <v>0.12274368231046942</v>
      </c>
      <c r="F31">
        <v>0</v>
      </c>
      <c r="H31">
        <v>-1.7543859649122823E-2</v>
      </c>
      <c r="I31">
        <v>-5.6818181818181872E-2</v>
      </c>
      <c r="J31">
        <v>-3.1746031746031599E-2</v>
      </c>
      <c r="K31">
        <v>3.3439490445859865E-2</v>
      </c>
      <c r="L31">
        <v>-8.2474226804123557E-2</v>
      </c>
      <c r="M31">
        <v>-4.6511627906976785E-2</v>
      </c>
      <c r="N31">
        <v>1.5873015873015886E-2</v>
      </c>
      <c r="O31">
        <v>0</v>
      </c>
      <c r="P31">
        <v>0</v>
      </c>
      <c r="Q31">
        <v>-1.6949152542372819E-2</v>
      </c>
      <c r="R31">
        <v>7.7319587628865941E-2</v>
      </c>
      <c r="S31">
        <v>-0.15384615384615397</v>
      </c>
      <c r="T31">
        <v>-6.2500000000000056E-2</v>
      </c>
      <c r="U31">
        <v>-1.0256410256410265E-2</v>
      </c>
      <c r="V31">
        <v>-2.0000000000000059E-2</v>
      </c>
      <c r="W31">
        <v>-0.18804347826086962</v>
      </c>
      <c r="X31">
        <v>-1.7897091722595095E-2</v>
      </c>
      <c r="Y31">
        <v>0</v>
      </c>
      <c r="Z31">
        <v>0</v>
      </c>
      <c r="AA31">
        <v>-1.6949152542372972E-2</v>
      </c>
      <c r="AB31">
        <v>7.0186335403726749E-2</v>
      </c>
      <c r="AC31">
        <v>5.0000000000000044E-2</v>
      </c>
      <c r="AD31">
        <v>0</v>
      </c>
      <c r="AE31">
        <v>0.10869565217391305</v>
      </c>
      <c r="AF31">
        <v>6.9230769230769318E-2</v>
      </c>
      <c r="AG31">
        <v>-9.2124814264487376E-2</v>
      </c>
      <c r="AH31">
        <v>-1.4084507042253534E-2</v>
      </c>
      <c r="AI31">
        <v>2.184873949579845E-2</v>
      </c>
      <c r="AJ31">
        <v>-5.7851239669421434E-2</v>
      </c>
      <c r="AK31">
        <v>-0.62499999999999989</v>
      </c>
      <c r="AL31">
        <v>0</v>
      </c>
      <c r="AM31">
        <v>0</v>
      </c>
      <c r="AN31">
        <v>7.6923076923076983E-2</v>
      </c>
      <c r="AO31">
        <v>3.4482758620689495E-2</v>
      </c>
      <c r="AP31">
        <v>0</v>
      </c>
      <c r="AQ31">
        <v>-7.6923076923076816E-2</v>
      </c>
      <c r="AR31">
        <v>6.8965517241379226E-2</v>
      </c>
      <c r="AS31">
        <v>1.7391304347826105E-2</v>
      </c>
      <c r="AT31">
        <v>-2.898550724637684E-2</v>
      </c>
      <c r="AU31">
        <v>3.2362459546926314E-3</v>
      </c>
      <c r="AW31">
        <v>0.10526315789473693</v>
      </c>
      <c r="AX31">
        <v>-1.4705882352941188E-2</v>
      </c>
      <c r="AY31">
        <v>3.3333333333333361E-2</v>
      </c>
      <c r="AZ31">
        <v>-4.9046321525885485E-2</v>
      </c>
      <c r="BB31">
        <v>0</v>
      </c>
      <c r="BC31">
        <v>1.7361111111111206E-2</v>
      </c>
      <c r="BD31">
        <v>-1.492537313432837E-2</v>
      </c>
      <c r="BE31">
        <v>-2.6615969581749159E-2</v>
      </c>
      <c r="BF31">
        <v>2.0161290322580575E-2</v>
      </c>
      <c r="BG31">
        <v>-2.100840336134409E-3</v>
      </c>
      <c r="BH31">
        <v>-1.9230769230769246E-2</v>
      </c>
      <c r="BI31">
        <v>-8.66666666666666E-2</v>
      </c>
      <c r="BJ31">
        <v>0</v>
      </c>
      <c r="BM31">
        <v>-1.111111111111112E-2</v>
      </c>
      <c r="BN31">
        <v>-0.11111111111111106</v>
      </c>
      <c r="BP31">
        <v>1.980198019801982E-2</v>
      </c>
      <c r="BR31">
        <v>5.8823529411764754E-2</v>
      </c>
      <c r="BS31">
        <v>0</v>
      </c>
      <c r="BT31">
        <v>0</v>
      </c>
      <c r="BU31">
        <v>8.1081081081081002E-2</v>
      </c>
      <c r="BV31">
        <v>0</v>
      </c>
      <c r="BW31">
        <v>-1.6528925619834725E-2</v>
      </c>
      <c r="BY31">
        <v>-1.2499999999999872E-2</v>
      </c>
      <c r="BZ31">
        <v>2.9411764705882248E-2</v>
      </c>
      <c r="CA31">
        <v>-8.6956521739130502E-2</v>
      </c>
      <c r="CB31">
        <v>-4.8899755501222539E-2</v>
      </c>
      <c r="CC31">
        <v>0</v>
      </c>
      <c r="CD31">
        <v>-5.9405940594059459E-2</v>
      </c>
      <c r="CE31">
        <v>3.1250000000000028E-2</v>
      </c>
      <c r="CF31">
        <v>-0.1148936170212766</v>
      </c>
      <c r="CG31">
        <v>-8.9041095890411037E-2</v>
      </c>
      <c r="CH31">
        <v>0</v>
      </c>
      <c r="CI31">
        <v>-9.8550724637681109E-2</v>
      </c>
      <c r="CJ31">
        <v>-0.21621621621621612</v>
      </c>
      <c r="CK31">
        <v>1.5384615384615398E-2</v>
      </c>
      <c r="CL31">
        <v>-9.1533180778032124E-3</v>
      </c>
      <c r="CM31">
        <v>-9.8321342925659513E-2</v>
      </c>
      <c r="CN31">
        <v>-0.16666666666666682</v>
      </c>
      <c r="CO31">
        <v>1.9607843137254919E-2</v>
      </c>
      <c r="CP31">
        <v>-2.5316455696202552E-2</v>
      </c>
      <c r="CQ31">
        <v>-0.25862068965517238</v>
      </c>
      <c r="CR31">
        <v>-6.4516129032258021E-2</v>
      </c>
      <c r="CS31">
        <v>0</v>
      </c>
      <c r="CT31">
        <v>-3.6931818181818149E-2</v>
      </c>
      <c r="CU31">
        <v>4.6296296296295305E-3</v>
      </c>
      <c r="CV31">
        <v>0</v>
      </c>
      <c r="CW31">
        <v>5.1020408163264218E-3</v>
      </c>
      <c r="CX31">
        <v>-9.6296296296296213E-2</v>
      </c>
      <c r="CY31">
        <v>-7.1428571428571383E-2</v>
      </c>
      <c r="CZ31">
        <v>0.10606060606060598</v>
      </c>
      <c r="DA31">
        <v>8.4269662921348257E-2</v>
      </c>
      <c r="DB31">
        <v>3.3519553072625725E-2</v>
      </c>
      <c r="DC31">
        <v>0</v>
      </c>
      <c r="DE31">
        <v>-8.3333333333333419E-3</v>
      </c>
      <c r="DF31">
        <v>-3.1746031746031772E-2</v>
      </c>
      <c r="DI31">
        <v>5.9259259259259144E-2</v>
      </c>
      <c r="DJ31">
        <v>-3.0581039755352389E-3</v>
      </c>
      <c r="DK31">
        <v>-9.243697478991586E-2</v>
      </c>
      <c r="DL31">
        <v>-5.2631578947367301E-3</v>
      </c>
      <c r="DM31">
        <v>3.0075187969924672E-2</v>
      </c>
      <c r="DN31">
        <v>0.12500000000000011</v>
      </c>
      <c r="DO31">
        <v>-0.15870570107858248</v>
      </c>
    </row>
    <row r="32" spans="1:119" x14ac:dyDescent="0.3">
      <c r="A32" s="64" t="s">
        <v>9074</v>
      </c>
      <c r="B32">
        <v>2.1676300578034605E-2</v>
      </c>
      <c r="C32">
        <v>0</v>
      </c>
      <c r="D32">
        <v>-1.7793594306049758E-2</v>
      </c>
      <c r="E32">
        <v>0.10175438596491214</v>
      </c>
      <c r="F32">
        <v>0</v>
      </c>
      <c r="H32">
        <v>0</v>
      </c>
      <c r="I32">
        <v>-0.17171717171717166</v>
      </c>
      <c r="J32">
        <v>1.4925373134328205E-2</v>
      </c>
      <c r="K32">
        <v>-1.7405063291139149E-2</v>
      </c>
      <c r="L32">
        <v>1.9047619047618852E-2</v>
      </c>
      <c r="M32">
        <v>4.2553191489361736E-2</v>
      </c>
      <c r="N32">
        <v>-3.1250000000000028E-2</v>
      </c>
      <c r="O32">
        <v>0</v>
      </c>
      <c r="P32">
        <v>0</v>
      </c>
      <c r="Q32">
        <v>-1.0000000000000083E-2</v>
      </c>
      <c r="R32">
        <v>-4.6511627906976785E-2</v>
      </c>
      <c r="S32">
        <v>-3.5087719298245647E-2</v>
      </c>
      <c r="T32">
        <v>-3.1746031746031599E-2</v>
      </c>
      <c r="U32">
        <v>-9.9502487562189157E-3</v>
      </c>
      <c r="V32">
        <v>4.1600000000000109E-2</v>
      </c>
      <c r="W32">
        <v>-7.5924075924075907E-2</v>
      </c>
      <c r="X32">
        <v>-6.4128256513025922E-2</v>
      </c>
      <c r="Y32">
        <v>0</v>
      </c>
      <c r="Z32">
        <v>0</v>
      </c>
      <c r="AA32">
        <v>-6.8965517241379226E-2</v>
      </c>
      <c r="AB32">
        <v>-2.5249559600704515E-2</v>
      </c>
      <c r="AC32">
        <v>6.5454545454545349E-2</v>
      </c>
      <c r="AD32">
        <v>0.10204081632653059</v>
      </c>
      <c r="AE32">
        <v>-0.1111111111111111</v>
      </c>
      <c r="AF32">
        <v>-0.16615384615384626</v>
      </c>
      <c r="AG32">
        <v>-7.4074074074073959E-2</v>
      </c>
      <c r="AH32">
        <v>-9.2857142857142944E-2</v>
      </c>
      <c r="AI32">
        <v>1.0101010101010034E-2</v>
      </c>
      <c r="AJ32">
        <v>-2.7027027027027015E-2</v>
      </c>
      <c r="AK32">
        <v>0</v>
      </c>
      <c r="AL32">
        <v>0</v>
      </c>
      <c r="AM32">
        <v>-2.9411764705882377E-2</v>
      </c>
      <c r="AN32">
        <v>2.272727272727262E-2</v>
      </c>
      <c r="AO32">
        <v>0</v>
      </c>
      <c r="AP32">
        <v>0</v>
      </c>
      <c r="AQ32">
        <v>1.8518518518518452E-2</v>
      </c>
      <c r="AR32">
        <v>3.9344262295082005E-2</v>
      </c>
      <c r="AS32">
        <v>-5.7851239669421538E-2</v>
      </c>
      <c r="AT32">
        <v>-0.15873015873015869</v>
      </c>
      <c r="AU32">
        <v>-1.2232415902140683E-2</v>
      </c>
      <c r="AW32">
        <v>-0.11764705882352951</v>
      </c>
      <c r="AX32">
        <v>-1.3888888888888902E-2</v>
      </c>
      <c r="AY32">
        <v>-4.5454545454545491E-2</v>
      </c>
      <c r="AZ32">
        <v>-4.6408137317228253E-2</v>
      </c>
      <c r="BB32">
        <v>-1.2345679012345552E-2</v>
      </c>
      <c r="BC32">
        <v>-1.3071895424836612E-2</v>
      </c>
      <c r="BD32">
        <v>6.1224489795918421E-2</v>
      </c>
      <c r="BE32">
        <v>-2.447552447552442E-2</v>
      </c>
      <c r="BF32">
        <v>-4.2145593869731754E-2</v>
      </c>
      <c r="BG32">
        <v>-0.13294797687861262</v>
      </c>
      <c r="BH32">
        <v>5.8823529411764757E-3</v>
      </c>
      <c r="BI32">
        <v>-0.10624999999999996</v>
      </c>
      <c r="BJ32">
        <v>1.5625000000000014E-2</v>
      </c>
      <c r="BM32">
        <v>-1.0416666666666676E-2</v>
      </c>
      <c r="BN32">
        <v>0</v>
      </c>
      <c r="BP32">
        <v>0</v>
      </c>
      <c r="BR32">
        <v>7.5757575757575815E-2</v>
      </c>
      <c r="BS32">
        <v>-0.1999999999999999</v>
      </c>
      <c r="BT32">
        <v>2.5000000000000022E-2</v>
      </c>
      <c r="BU32">
        <v>4.7619047619047665E-2</v>
      </c>
      <c r="BV32">
        <v>-4.3243243243243162E-2</v>
      </c>
      <c r="BW32">
        <v>-1.5873015873015886E-2</v>
      </c>
      <c r="BY32">
        <v>-6.1728395061728444E-3</v>
      </c>
      <c r="BZ32">
        <v>0.10434782608695663</v>
      </c>
      <c r="CA32">
        <v>0.12000000000000011</v>
      </c>
      <c r="CB32">
        <v>-9.4339622641509482E-2</v>
      </c>
      <c r="CC32">
        <v>0</v>
      </c>
      <c r="CD32">
        <v>-8.3234244946492189E-2</v>
      </c>
      <c r="CE32">
        <v>3.2258064516129059E-2</v>
      </c>
      <c r="CF32">
        <v>1.2987012987012998E-2</v>
      </c>
      <c r="CG32">
        <v>0</v>
      </c>
      <c r="CH32">
        <v>0</v>
      </c>
      <c r="CI32">
        <v>-0.10465116279069764</v>
      </c>
      <c r="CJ32">
        <v>0.19696969696969696</v>
      </c>
      <c r="CK32">
        <v>-7.5187969924812095E-3</v>
      </c>
      <c r="CL32">
        <v>5.0607287449392711E-2</v>
      </c>
      <c r="CM32">
        <v>0.16833667334669353</v>
      </c>
      <c r="CN32">
        <v>5.5555555555555608E-2</v>
      </c>
      <c r="CO32">
        <v>1.8867924528301903E-2</v>
      </c>
      <c r="CP32">
        <v>9.2307692307692382E-2</v>
      </c>
      <c r="CQ32">
        <v>2.564102564102555E-2</v>
      </c>
      <c r="CR32">
        <v>-3.2967032967033044E-2</v>
      </c>
      <c r="CS32">
        <v>0</v>
      </c>
      <c r="CT32">
        <v>-5.6179775280898927E-3</v>
      </c>
      <c r="CU32">
        <v>0.12560386473429952</v>
      </c>
      <c r="CV32">
        <v>-5.4347826086956564E-3</v>
      </c>
      <c r="CW32">
        <v>-7.7625570776255676E-2</v>
      </c>
      <c r="CX32">
        <v>0.1519756838905775</v>
      </c>
      <c r="CY32">
        <v>-6.4814814814814867E-2</v>
      </c>
      <c r="CZ32">
        <v>8.0000000000000071E-2</v>
      </c>
      <c r="DA32">
        <v>9.4736842105263133E-2</v>
      </c>
      <c r="DB32">
        <v>0.1570512820512821</v>
      </c>
      <c r="DC32">
        <v>0</v>
      </c>
      <c r="DE32">
        <v>-9.774436090225555E-2</v>
      </c>
      <c r="DF32">
        <v>0.16901408450704225</v>
      </c>
      <c r="DI32">
        <v>-6.312292358803985E-2</v>
      </c>
      <c r="DJ32">
        <v>-2.727272727272723E-2</v>
      </c>
      <c r="DK32">
        <v>-6.6666666666666721E-2</v>
      </c>
      <c r="DL32">
        <v>-0.11274509803921567</v>
      </c>
      <c r="DM32">
        <v>0</v>
      </c>
      <c r="DN32">
        <v>-0.20000000000000004</v>
      </c>
      <c r="DO32">
        <v>-4.5255474452554692E-2</v>
      </c>
    </row>
    <row r="33" spans="1:119" x14ac:dyDescent="0.3">
      <c r="A33" s="64" t="s">
        <v>9075</v>
      </c>
      <c r="B33">
        <v>4.2307692307692317E-2</v>
      </c>
      <c r="C33">
        <v>-1</v>
      </c>
      <c r="D33">
        <v>0</v>
      </c>
      <c r="E33">
        <v>5.1792828685259105E-2</v>
      </c>
      <c r="F33">
        <v>0</v>
      </c>
      <c r="H33">
        <v>3.3613445378151294E-2</v>
      </c>
      <c r="I33">
        <v>8.6538461538461398E-2</v>
      </c>
      <c r="J33">
        <v>1.449275362318842E-2</v>
      </c>
      <c r="K33">
        <v>-7.0376432078559828E-2</v>
      </c>
      <c r="L33">
        <v>8.8495575221239024E-3</v>
      </c>
      <c r="M33">
        <v>4.0816326530613185E-3</v>
      </c>
      <c r="N33">
        <v>3.1746031746031772E-2</v>
      </c>
      <c r="O33">
        <v>0</v>
      </c>
      <c r="P33">
        <v>-0.33333333333333343</v>
      </c>
      <c r="Q33">
        <v>-6.5573770491803339E-3</v>
      </c>
      <c r="R33">
        <v>0.27500000000000002</v>
      </c>
      <c r="S33">
        <v>-0.12307692307692301</v>
      </c>
      <c r="T33">
        <v>0</v>
      </c>
      <c r="U33">
        <v>-3.6945812807881867E-2</v>
      </c>
      <c r="V33">
        <v>-1.5723270440251656E-2</v>
      </c>
      <c r="W33">
        <v>5.1107325383304911E-2</v>
      </c>
      <c r="X33">
        <v>2.169625246548312E-2</v>
      </c>
      <c r="Y33">
        <v>0</v>
      </c>
      <c r="Z33">
        <v>0</v>
      </c>
      <c r="AA33">
        <v>3.389830508474579E-2</v>
      </c>
      <c r="AB33">
        <v>1.4465408805031249E-2</v>
      </c>
      <c r="AC33">
        <v>0.11320754716981142</v>
      </c>
      <c r="AD33">
        <v>4.0816326530612283E-2</v>
      </c>
      <c r="AE33">
        <v>0</v>
      </c>
      <c r="AF33">
        <v>6.0307017543859733E-2</v>
      </c>
      <c r="AG33">
        <v>2.0227560050568919E-2</v>
      </c>
      <c r="AH33">
        <v>-3.5211267605633839E-2</v>
      </c>
      <c r="AI33">
        <v>4.9913941480206551E-2</v>
      </c>
      <c r="AJ33">
        <v>4.5180722891566237E-2</v>
      </c>
      <c r="AK33">
        <v>0</v>
      </c>
      <c r="AL33">
        <v>0</v>
      </c>
      <c r="AM33">
        <v>-3.4313725490195998E-2</v>
      </c>
      <c r="AN33">
        <v>-2.4390243902438911E-2</v>
      </c>
      <c r="AO33">
        <v>0.10714285714285723</v>
      </c>
      <c r="AP33">
        <v>2.2388059701492557E-2</v>
      </c>
      <c r="AQ33">
        <v>9.6551724137931116E-2</v>
      </c>
      <c r="AR33">
        <v>1.7543859649122744E-2</v>
      </c>
      <c r="AS33">
        <v>5.8823529411764761E-2</v>
      </c>
      <c r="AT33">
        <v>0.1538461538461538</v>
      </c>
      <c r="AU33">
        <v>1.5337423312883382E-2</v>
      </c>
      <c r="AW33">
        <v>0</v>
      </c>
      <c r="AX33">
        <v>-6.8493150684931572E-3</v>
      </c>
      <c r="AY33">
        <v>-0.26190476190476181</v>
      </c>
      <c r="AZ33">
        <v>2.7963525835866313E-2</v>
      </c>
      <c r="BB33">
        <v>2.4691358024691242E-2</v>
      </c>
      <c r="BC33">
        <v>-6.6445182724252554E-3</v>
      </c>
      <c r="BD33">
        <v>-6.0000000000000053E-2</v>
      </c>
      <c r="BE33">
        <v>3.4129692832763777E-3</v>
      </c>
      <c r="BF33">
        <v>2.3437500000000021E-2</v>
      </c>
      <c r="BG33">
        <v>6.538461538461536E-2</v>
      </c>
      <c r="BH33">
        <v>-5.780346820809254E-2</v>
      </c>
      <c r="BI33">
        <v>5.7803468208092408E-2</v>
      </c>
      <c r="BJ33">
        <v>-6.2500000000000056E-2</v>
      </c>
      <c r="BK33">
        <v>0</v>
      </c>
      <c r="BM33">
        <v>1.0309278350515474E-2</v>
      </c>
      <c r="BN33">
        <v>0</v>
      </c>
      <c r="BP33">
        <v>0</v>
      </c>
      <c r="BR33">
        <v>4.7619047619047485E-2</v>
      </c>
      <c r="BS33">
        <v>0</v>
      </c>
      <c r="BT33">
        <v>-7.4999999999999928E-2</v>
      </c>
      <c r="BU33">
        <v>0.12820512820512817</v>
      </c>
      <c r="BV33">
        <v>-2.7027027027027049E-2</v>
      </c>
      <c r="BW33">
        <v>4.6875000000000042E-2</v>
      </c>
      <c r="BX33">
        <v>0</v>
      </c>
      <c r="BY33">
        <v>2.4390243902438911E-2</v>
      </c>
      <c r="BZ33">
        <v>-1.3333333333333443E-2</v>
      </c>
      <c r="CA33">
        <v>3.7037037037036966E-2</v>
      </c>
      <c r="CB33">
        <v>3.2193158953722364E-2</v>
      </c>
      <c r="CC33">
        <v>4.0000000000000036E-2</v>
      </c>
      <c r="CD33">
        <v>3.8245219347581537E-2</v>
      </c>
      <c r="CE33">
        <v>4.0000000000000036E-2</v>
      </c>
      <c r="CF33">
        <v>9.8507462686567182E-2</v>
      </c>
      <c r="CG33">
        <v>-5.5555555555555483E-2</v>
      </c>
      <c r="CH33">
        <v>0</v>
      </c>
      <c r="CI33">
        <v>-2.3809523809524009E-2</v>
      </c>
      <c r="CJ33">
        <v>4.878048780487796E-2</v>
      </c>
      <c r="CK33">
        <v>5.3435114503816841E-2</v>
      </c>
      <c r="CL33">
        <v>1.8072289156626654E-2</v>
      </c>
      <c r="CM33">
        <v>-4.4444444444444481E-2</v>
      </c>
      <c r="CN33">
        <v>5.0000000000000044E-2</v>
      </c>
      <c r="CO33">
        <v>-0.13461538461538453</v>
      </c>
      <c r="CP33">
        <v>-1.492537313432837E-2</v>
      </c>
      <c r="CQ33">
        <v>0</v>
      </c>
      <c r="CR33">
        <v>8.2474226804123793E-2</v>
      </c>
      <c r="CS33">
        <v>0</v>
      </c>
      <c r="CT33">
        <v>4.8780487804878092E-2</v>
      </c>
      <c r="CU33">
        <v>3.8834951456310711E-2</v>
      </c>
      <c r="CV33">
        <v>-4.8913043478260788E-2</v>
      </c>
      <c r="CW33">
        <v>5.0458715596330216E-2</v>
      </c>
      <c r="CX33">
        <v>-4.2253521126760667E-2</v>
      </c>
      <c r="CY33">
        <v>-2.1645021645021568E-2</v>
      </c>
      <c r="CZ33">
        <v>0.32352941176470584</v>
      </c>
      <c r="DA33">
        <v>-0.14857142857142858</v>
      </c>
      <c r="DB33">
        <v>2.6666666666666543E-2</v>
      </c>
      <c r="DC33">
        <v>0.18814814814814815</v>
      </c>
      <c r="DE33">
        <v>0.11194029850746261</v>
      </c>
      <c r="DF33">
        <v>8.2191780821917734E-2</v>
      </c>
      <c r="DI33">
        <v>4.9122807017543901E-2</v>
      </c>
      <c r="DJ33">
        <v>4.5317220543806616E-2</v>
      </c>
      <c r="DK33">
        <v>6.1643835616438415E-2</v>
      </c>
      <c r="DL33">
        <v>4.3902439024390179E-2</v>
      </c>
      <c r="DM33">
        <v>-3.6764705882352811E-2</v>
      </c>
      <c r="DN33">
        <v>0.11111111111111106</v>
      </c>
      <c r="DO33">
        <v>1.7766497461928783E-2</v>
      </c>
    </row>
    <row r="34" spans="1:119" x14ac:dyDescent="0.3">
      <c r="A34" s="64" t="s">
        <v>9076</v>
      </c>
      <c r="B34">
        <v>-7.4509803921568543E-2</v>
      </c>
      <c r="D34">
        <v>-2.2950819672131244E-2</v>
      </c>
      <c r="E34">
        <v>-7.6576576576576544E-2</v>
      </c>
      <c r="F34">
        <v>0</v>
      </c>
      <c r="H34">
        <v>0</v>
      </c>
      <c r="I34">
        <v>-1.6528925619834541E-2</v>
      </c>
      <c r="J34">
        <v>1.4705882352941188E-2</v>
      </c>
      <c r="K34">
        <v>-0.10932475884244369</v>
      </c>
      <c r="L34">
        <v>-1.8018018018018032E-2</v>
      </c>
      <c r="M34">
        <v>-4.2553191489362683E-3</v>
      </c>
      <c r="N34">
        <v>-1.5384615384615398E-2</v>
      </c>
      <c r="O34">
        <v>0</v>
      </c>
      <c r="P34">
        <v>-0.66666666666666663</v>
      </c>
      <c r="Q34">
        <v>-5.5194805194805172E-2</v>
      </c>
      <c r="R34">
        <v>-2.3809523809523829E-2</v>
      </c>
      <c r="S34">
        <v>-0.29850746268656708</v>
      </c>
      <c r="T34">
        <v>2.898550724637668E-2</v>
      </c>
      <c r="U34">
        <v>-5.8536585365853717E-2</v>
      </c>
      <c r="V34">
        <v>-2.4590163934426142E-2</v>
      </c>
      <c r="W34">
        <v>2.7999999999999973E-2</v>
      </c>
      <c r="X34">
        <v>-1.4842300556586285E-2</v>
      </c>
      <c r="Y34">
        <v>0.27272727272727271</v>
      </c>
      <c r="AA34">
        <v>0</v>
      </c>
      <c r="AB34">
        <v>-2.1432945499081316E-2</v>
      </c>
      <c r="AC34">
        <v>3.6437246963562694E-2</v>
      </c>
      <c r="AD34">
        <v>-2.2727272727272749E-2</v>
      </c>
      <c r="AE34">
        <v>-2.2222222222222143E-2</v>
      </c>
      <c r="AF34">
        <v>-3.9106145251396641E-2</v>
      </c>
      <c r="AG34">
        <v>-0.10177514792899424</v>
      </c>
      <c r="AH34">
        <v>0</v>
      </c>
      <c r="AI34">
        <v>-5.7391304347826098E-2</v>
      </c>
      <c r="AJ34">
        <v>-2.7900146842878181E-2</v>
      </c>
      <c r="AK34">
        <v>8.3333333333333301E-2</v>
      </c>
      <c r="AL34">
        <v>0</v>
      </c>
      <c r="AM34">
        <v>-3.8095238095238126E-2</v>
      </c>
      <c r="AN34">
        <v>-0.17500000000000002</v>
      </c>
      <c r="AO34">
        <v>-8.9285714285714357E-2</v>
      </c>
      <c r="AP34">
        <v>-1.492537313432837E-2</v>
      </c>
      <c r="AQ34">
        <v>-5.9649122807017674E-2</v>
      </c>
      <c r="AR34">
        <v>1.098901098901108E-2</v>
      </c>
      <c r="AS34">
        <v>-0.11904761904761915</v>
      </c>
      <c r="AT34">
        <v>-7.9999999999999918E-2</v>
      </c>
      <c r="AU34">
        <v>-4.5454545454545428E-2</v>
      </c>
      <c r="AW34">
        <v>0</v>
      </c>
      <c r="AX34">
        <v>-4.0540540540540577E-2</v>
      </c>
      <c r="AY34">
        <v>6.8181818181818135E-2</v>
      </c>
      <c r="AZ34">
        <v>-3.8998835855646202E-2</v>
      </c>
      <c r="BB34">
        <v>0</v>
      </c>
      <c r="BC34">
        <v>-7.5409836065573763E-2</v>
      </c>
      <c r="BD34">
        <v>-0.36170212765957455</v>
      </c>
      <c r="BE34">
        <v>-4.9999999999999968E-2</v>
      </c>
      <c r="BF34">
        <v>-9.3632958801498134E-2</v>
      </c>
      <c r="BG34">
        <v>-1.3582342954159604E-2</v>
      </c>
      <c r="BH34">
        <v>-4.651162790697666E-2</v>
      </c>
      <c r="BI34">
        <v>0</v>
      </c>
      <c r="BJ34">
        <v>-0.23809523809523794</v>
      </c>
      <c r="BK34">
        <v>0</v>
      </c>
      <c r="BM34">
        <v>3.0612244897959211E-2</v>
      </c>
      <c r="BN34">
        <v>0.11111111111111106</v>
      </c>
      <c r="BP34">
        <v>-1.980198019801982E-2</v>
      </c>
      <c r="BR34">
        <v>1.7241379310344845E-2</v>
      </c>
      <c r="BS34">
        <v>0</v>
      </c>
      <c r="BT34">
        <v>-0.12820512820512817</v>
      </c>
      <c r="BU34">
        <v>5.4054054054054106E-2</v>
      </c>
      <c r="BV34">
        <v>2.0725388601036288E-2</v>
      </c>
      <c r="BW34">
        <v>-1.5384615384615398E-2</v>
      </c>
      <c r="BX34">
        <v>0</v>
      </c>
      <c r="BY34">
        <v>0</v>
      </c>
      <c r="BZ34">
        <v>-0.23880597014925375</v>
      </c>
      <c r="CA34">
        <v>0</v>
      </c>
      <c r="CB34">
        <v>-2.2140221402214041E-2</v>
      </c>
      <c r="CC34">
        <v>0</v>
      </c>
      <c r="CD34">
        <v>-2.3983315954118917E-2</v>
      </c>
      <c r="CE34">
        <v>-1.0344827586206983E-2</v>
      </c>
      <c r="CF34">
        <v>-8.7613293051359523E-2</v>
      </c>
      <c r="CG34">
        <v>-1.666666666666668E-2</v>
      </c>
      <c r="CH34">
        <v>0</v>
      </c>
      <c r="CI34">
        <v>5.5555555555555663E-2</v>
      </c>
      <c r="CJ34">
        <v>-1.449275362318842E-2</v>
      </c>
      <c r="CK34">
        <v>-4.5454545454545491E-2</v>
      </c>
      <c r="CL34">
        <v>-8.8794926004228308E-2</v>
      </c>
      <c r="CM34">
        <v>-4.3859649122807064E-2</v>
      </c>
      <c r="CN34">
        <v>-0.2631578947368422</v>
      </c>
      <c r="CO34">
        <v>-5.8823529411764754E-2</v>
      </c>
      <c r="CP34">
        <v>4.9180327868852507E-2</v>
      </c>
      <c r="CQ34">
        <v>6.3829787234042507E-2</v>
      </c>
      <c r="CR34">
        <v>-8.0000000000000071E-2</v>
      </c>
      <c r="CS34">
        <v>0</v>
      </c>
      <c r="CT34">
        <v>-0.10512129380053911</v>
      </c>
      <c r="CU34">
        <v>-0.11111111111111108</v>
      </c>
      <c r="CV34">
        <v>-3.2432432432432462E-2</v>
      </c>
      <c r="CW34">
        <v>-5.3191489361702128E-2</v>
      </c>
      <c r="CX34">
        <v>-8.1967213114754106E-2</v>
      </c>
      <c r="CY34">
        <v>-0.16326530612244894</v>
      </c>
      <c r="CZ34">
        <v>0</v>
      </c>
      <c r="DA34">
        <v>-0.10828025477707001</v>
      </c>
      <c r="DB34">
        <v>-3.585657370517923E-2</v>
      </c>
      <c r="DC34">
        <v>0</v>
      </c>
      <c r="DE34">
        <v>-0.10204081632653056</v>
      </c>
      <c r="DF34">
        <v>8.1967213114754172E-3</v>
      </c>
      <c r="DI34">
        <v>-5.592105263157892E-2</v>
      </c>
      <c r="DJ34">
        <v>-7.3529411764705885E-2</v>
      </c>
      <c r="DK34">
        <v>-7.4193548387096769E-2</v>
      </c>
      <c r="DL34">
        <v>-1.7543859649122823E-2</v>
      </c>
      <c r="DM34">
        <v>-7.3529411764705942E-3</v>
      </c>
      <c r="DN34">
        <v>0</v>
      </c>
      <c r="DO34">
        <v>-6.4713064713064636E-2</v>
      </c>
    </row>
    <row r="35" spans="1:119" x14ac:dyDescent="0.3">
      <c r="A35" s="64" t="s">
        <v>9077</v>
      </c>
      <c r="B35">
        <v>-1.3661202185792422E-2</v>
      </c>
      <c r="C35">
        <v>0</v>
      </c>
      <c r="D35">
        <v>3.606557377049191E-2</v>
      </c>
      <c r="E35">
        <v>0</v>
      </c>
      <c r="F35">
        <v>-0.1999999999999999</v>
      </c>
      <c r="H35">
        <v>0</v>
      </c>
      <c r="I35">
        <v>-8.928571428571435E-3</v>
      </c>
      <c r="J35">
        <v>2.985074626865674E-2</v>
      </c>
      <c r="K35">
        <v>-4.8120300751879737E-2</v>
      </c>
      <c r="L35">
        <v>3.636363636363639E-2</v>
      </c>
      <c r="M35">
        <v>4.2735042735043728E-3</v>
      </c>
      <c r="N35">
        <v>-1.5873015873015886E-2</v>
      </c>
      <c r="O35">
        <v>0</v>
      </c>
      <c r="P35">
        <v>0.24999999999999986</v>
      </c>
      <c r="Q35">
        <v>-0.1774193548387096</v>
      </c>
      <c r="R35">
        <v>-8.3870967741935407E-2</v>
      </c>
      <c r="S35">
        <v>0.11999999999999995</v>
      </c>
      <c r="T35">
        <v>-0.14492753623188404</v>
      </c>
      <c r="U35">
        <v>7.999999999999996E-2</v>
      </c>
      <c r="V35">
        <v>-8.8709677419354954E-2</v>
      </c>
      <c r="W35">
        <v>0.13445378151260515</v>
      </c>
      <c r="X35">
        <v>3.0303030303030328E-2</v>
      </c>
      <c r="Y35">
        <v>-9.090909090909087E-2</v>
      </c>
      <c r="AA35">
        <v>1.6393442622950471E-3</v>
      </c>
      <c r="AB35">
        <v>-9.1304347826087096E-2</v>
      </c>
      <c r="AC35">
        <v>-0.11059907834101372</v>
      </c>
      <c r="AD35">
        <v>-2.3809523809523832E-2</v>
      </c>
      <c r="AE35">
        <v>-8.8888888888888962E-2</v>
      </c>
      <c r="AF35">
        <v>7.2620215897939183E-2</v>
      </c>
      <c r="AG35">
        <v>-0.12665862484921581</v>
      </c>
      <c r="AH35">
        <v>-2.4999999999999883E-2</v>
      </c>
      <c r="AI35">
        <v>9.157509157509125E-3</v>
      </c>
      <c r="AJ35">
        <v>-1.5360983102918533E-2</v>
      </c>
      <c r="AK35">
        <v>0</v>
      </c>
      <c r="AL35">
        <v>0.14285714285714296</v>
      </c>
      <c r="AM35">
        <v>1.8433179723502321E-2</v>
      </c>
      <c r="AN35">
        <v>0.12195121951219511</v>
      </c>
      <c r="AO35">
        <v>2.0000000000000018E-2</v>
      </c>
      <c r="AP35">
        <v>-3.0534351145038195E-2</v>
      </c>
      <c r="AQ35">
        <v>0</v>
      </c>
      <c r="AR35">
        <v>-6.7164179104477667E-2</v>
      </c>
      <c r="AS35">
        <v>-0.11764705882352934</v>
      </c>
      <c r="AT35">
        <v>0.1538461538461538</v>
      </c>
      <c r="AU35">
        <v>1.538461538461533E-2</v>
      </c>
      <c r="AW35">
        <v>-0.23529411764705868</v>
      </c>
      <c r="AX35">
        <v>-1.3422818791946321E-2</v>
      </c>
      <c r="AY35">
        <v>9.0909090909090912E-2</v>
      </c>
      <c r="AZ35">
        <v>9.5693779904306303E-3</v>
      </c>
      <c r="BA35">
        <v>-3.1250000000000028E-2</v>
      </c>
      <c r="BB35">
        <v>0</v>
      </c>
      <c r="BC35">
        <v>-3.2573289902280159E-2</v>
      </c>
      <c r="BD35">
        <v>0.34000000000000008</v>
      </c>
      <c r="BE35">
        <v>-2.0066889632107041E-2</v>
      </c>
      <c r="BF35">
        <v>3.8314176245209915E-3</v>
      </c>
      <c r="BG35">
        <v>-9.1891891891891855E-2</v>
      </c>
      <c r="BH35">
        <v>-6.5934065934065991E-2</v>
      </c>
      <c r="BI35">
        <v>-0.19444444444444436</v>
      </c>
      <c r="BJ35">
        <v>7.4626865671641687E-2</v>
      </c>
      <c r="BK35">
        <v>0</v>
      </c>
      <c r="BM35">
        <v>-0.13402061855670117</v>
      </c>
      <c r="BN35">
        <v>0</v>
      </c>
      <c r="BO35">
        <v>8.2191780821917734E-2</v>
      </c>
      <c r="BP35">
        <v>9.9009900990099098E-3</v>
      </c>
      <c r="BR35">
        <v>3.636363636363639E-2</v>
      </c>
      <c r="BS35">
        <v>0.1666666666666666</v>
      </c>
      <c r="BT35">
        <v>-0.14285714285714299</v>
      </c>
      <c r="BU35">
        <v>0.15624999999999997</v>
      </c>
      <c r="BV35">
        <v>-2.0202020202020221E-2</v>
      </c>
      <c r="BW35">
        <v>-3.2258064516129059E-2</v>
      </c>
      <c r="BX35">
        <v>0</v>
      </c>
      <c r="BY35">
        <v>-3.1055900621117901E-2</v>
      </c>
      <c r="BZ35">
        <v>-2.450980392156854E-2</v>
      </c>
      <c r="CA35">
        <v>0.13043478260869565</v>
      </c>
      <c r="CB35">
        <v>-5.7034220532319871E-3</v>
      </c>
      <c r="CC35">
        <v>-8.3333333333333412E-2</v>
      </c>
      <c r="CD35">
        <v>-1.6216216216216255E-2</v>
      </c>
      <c r="CE35">
        <v>-4.1366906474820067E-2</v>
      </c>
      <c r="CF35">
        <v>2.0134228187919483E-2</v>
      </c>
      <c r="CG35">
        <v>-5.2631578947368472E-3</v>
      </c>
      <c r="CH35">
        <v>0</v>
      </c>
      <c r="CI35">
        <v>0</v>
      </c>
      <c r="CJ35">
        <v>1.5384615384615398E-2</v>
      </c>
      <c r="CK35">
        <v>-7.1999999999999884E-2</v>
      </c>
      <c r="CL35">
        <v>3.4482758620689495E-2</v>
      </c>
      <c r="CM35">
        <v>1.2499999999999919E-2</v>
      </c>
      <c r="CN35">
        <v>0.22222222222222227</v>
      </c>
      <c r="CO35">
        <v>-0.12068965517241391</v>
      </c>
      <c r="CP35">
        <v>1.612903225806453E-2</v>
      </c>
      <c r="CQ35">
        <v>-6.8085106382978586E-2</v>
      </c>
      <c r="CR35">
        <v>3.2608695652173995E-2</v>
      </c>
      <c r="CS35">
        <v>0</v>
      </c>
      <c r="CT35">
        <v>2.8328611898017025E-2</v>
      </c>
      <c r="CU35">
        <v>-7.5581395348837149E-2</v>
      </c>
      <c r="CV35">
        <v>-3.6082474226804044E-2</v>
      </c>
      <c r="CW35">
        <v>-0.16964285714285707</v>
      </c>
      <c r="CX35">
        <v>-8.7499999999999939E-2</v>
      </c>
      <c r="CY35">
        <v>-8.8000000000000078E-2</v>
      </c>
      <c r="CZ35">
        <v>5.0000000000000044E-2</v>
      </c>
      <c r="DA35">
        <v>5.4644808743169446E-2</v>
      </c>
      <c r="DB35">
        <v>8.6419753086419734E-2</v>
      </c>
      <c r="DC35">
        <v>0.19685039370078738</v>
      </c>
      <c r="DE35">
        <v>-9.0909090909090981E-2</v>
      </c>
      <c r="DF35">
        <v>1.8181818181818195E-2</v>
      </c>
      <c r="DI35">
        <v>6.896551724137937E-3</v>
      </c>
      <c r="DJ35">
        <v>9.2307692307691709E-3</v>
      </c>
      <c r="DK35">
        <v>-1.7123287671232969E-2</v>
      </c>
      <c r="DL35">
        <v>-2.7397260273972629E-2</v>
      </c>
      <c r="DM35">
        <v>3.5460992907800663E-3</v>
      </c>
      <c r="DN35">
        <v>-0.1999999999999999</v>
      </c>
      <c r="DO35">
        <v>1.7391304347826157E-2</v>
      </c>
    </row>
    <row r="36" spans="1:119" x14ac:dyDescent="0.3">
      <c r="A36" s="64" t="s">
        <v>9078</v>
      </c>
      <c r="B36">
        <v>-4.9429657794676882E-2</v>
      </c>
      <c r="C36">
        <v>0</v>
      </c>
      <c r="D36">
        <v>-3.525641025641036E-2</v>
      </c>
      <c r="E36">
        <v>0.19469026548672555</v>
      </c>
      <c r="F36">
        <v>0.1999999999999999</v>
      </c>
      <c r="H36">
        <v>3.4782608695652015E-2</v>
      </c>
      <c r="I36">
        <v>-8.7719298245614117E-3</v>
      </c>
      <c r="J36">
        <v>-7.5757575757575649E-2</v>
      </c>
      <c r="K36">
        <v>4.0927694406548525E-2</v>
      </c>
      <c r="L36">
        <v>2.6785714285714309E-2</v>
      </c>
      <c r="M36">
        <v>-2.5531914893617044E-2</v>
      </c>
      <c r="N36">
        <v>0</v>
      </c>
      <c r="O36">
        <v>0</v>
      </c>
      <c r="P36">
        <v>0</v>
      </c>
      <c r="Q36">
        <v>2.1406727828746128E-2</v>
      </c>
      <c r="R36">
        <v>5.0000000000000044E-2</v>
      </c>
      <c r="S36">
        <v>3.1578947368421081E-2</v>
      </c>
      <c r="T36">
        <v>5.970149253731348E-2</v>
      </c>
      <c r="U36">
        <v>5.3452115812917637E-2</v>
      </c>
      <c r="V36">
        <v>-7.874015748031496E-2</v>
      </c>
      <c r="W36">
        <v>-0.11082251082251092</v>
      </c>
      <c r="X36">
        <v>3.1716417910447749E-2</v>
      </c>
      <c r="Y36">
        <v>0</v>
      </c>
      <c r="AA36">
        <v>-8.1967213114753808E-3</v>
      </c>
      <c r="AB36">
        <v>-6.3829787234042382E-2</v>
      </c>
      <c r="AC36">
        <v>0.29807692307692302</v>
      </c>
      <c r="AD36">
        <v>-9.3023255813953445E-2</v>
      </c>
      <c r="AE36">
        <v>0</v>
      </c>
      <c r="AF36">
        <v>-1.696512723845443E-2</v>
      </c>
      <c r="AG36">
        <v>7.6502732240435528E-3</v>
      </c>
      <c r="AH36">
        <v>2.4999999999999883E-2</v>
      </c>
      <c r="AI36">
        <v>-3.6269430051813469E-2</v>
      </c>
      <c r="AJ36">
        <v>3.8805970149253702E-2</v>
      </c>
      <c r="AK36">
        <v>9.090909090909087E-2</v>
      </c>
      <c r="AL36">
        <v>-0.14285714285714296</v>
      </c>
      <c r="AM36">
        <v>3.9999999999999938E-2</v>
      </c>
      <c r="AN36">
        <v>4.1666666666666706E-2</v>
      </c>
      <c r="AO36">
        <v>0.23636363636363644</v>
      </c>
      <c r="AP36">
        <v>4.5112781954887257E-2</v>
      </c>
      <c r="AQ36">
        <v>1.4598540145985413E-2</v>
      </c>
      <c r="AR36">
        <v>-8.3018867924528214E-2</v>
      </c>
      <c r="AS36">
        <v>-7.462686567164185E-3</v>
      </c>
      <c r="AT36">
        <v>4.2253521126760604E-2</v>
      </c>
      <c r="AU36">
        <v>3.5294117647058858E-2</v>
      </c>
      <c r="AV36">
        <v>2.4242424242424267E-2</v>
      </c>
      <c r="AW36">
        <v>0</v>
      </c>
      <c r="AX36">
        <v>3.8709677419354875E-2</v>
      </c>
      <c r="AY36">
        <v>-9.6153846153846145E-2</v>
      </c>
      <c r="AZ36">
        <v>-3.2777458309373217E-2</v>
      </c>
      <c r="BA36">
        <v>0</v>
      </c>
      <c r="BB36">
        <v>0</v>
      </c>
      <c r="BC36">
        <v>-9.0909090909090995E-2</v>
      </c>
      <c r="BD36">
        <v>0.23880597014925367</v>
      </c>
      <c r="BE36">
        <v>4.4585987261146535E-2</v>
      </c>
      <c r="BF36">
        <v>5.9440559440559419E-2</v>
      </c>
      <c r="BG36">
        <v>-2.1314387211367691E-2</v>
      </c>
      <c r="BH36">
        <v>-0.10526315789473695</v>
      </c>
      <c r="BI36">
        <v>1.6666666666666559E-2</v>
      </c>
      <c r="BJ36">
        <v>-0.12195121951219511</v>
      </c>
      <c r="BK36">
        <v>0</v>
      </c>
      <c r="BM36">
        <v>-3.1914893617021309E-2</v>
      </c>
      <c r="BN36">
        <v>0.12499999999999993</v>
      </c>
      <c r="BO36">
        <v>8.1395348837209378E-2</v>
      </c>
      <c r="BP36">
        <v>-2.9126213592233035E-2</v>
      </c>
      <c r="BR36">
        <v>9.2592592592592671E-2</v>
      </c>
      <c r="BS36">
        <v>0.16666666666666671</v>
      </c>
      <c r="BT36">
        <v>2.1276595744680871E-2</v>
      </c>
      <c r="BU36">
        <v>-0.23333333333333336</v>
      </c>
      <c r="BV36">
        <v>5.1546391752577371E-3</v>
      </c>
      <c r="BW36">
        <v>0</v>
      </c>
      <c r="BX36">
        <v>0</v>
      </c>
      <c r="BY36">
        <v>1.8633540372670822E-2</v>
      </c>
      <c r="BZ36">
        <v>3.9682539682538839E-3</v>
      </c>
      <c r="CA36">
        <v>-4.3478260869565133E-2</v>
      </c>
      <c r="CB36">
        <v>-3.7174721189591114E-2</v>
      </c>
      <c r="CC36">
        <v>0.2083333333333334</v>
      </c>
      <c r="CD36">
        <v>5.2742616033756018E-3</v>
      </c>
      <c r="CE36">
        <v>-9.43060498220641E-2</v>
      </c>
      <c r="CF36">
        <v>3.0581039755351032E-3</v>
      </c>
      <c r="CG36">
        <v>-9.3264248704663294E-2</v>
      </c>
      <c r="CH36">
        <v>0</v>
      </c>
      <c r="CI36">
        <v>-2.2499999999999964E-2</v>
      </c>
      <c r="CJ36">
        <v>0.1818181818181818</v>
      </c>
      <c r="CK36">
        <v>3.0534351145038024E-2</v>
      </c>
      <c r="CL36">
        <v>5.5335968379446696E-2</v>
      </c>
      <c r="CM36">
        <v>0</v>
      </c>
      <c r="CN36">
        <v>4.3478260869565251E-2</v>
      </c>
      <c r="CO36">
        <v>-8.1967213114753995E-2</v>
      </c>
      <c r="CP36">
        <v>5.0847457627118502E-2</v>
      </c>
      <c r="CQ36">
        <v>4.999999999999994E-2</v>
      </c>
      <c r="CR36">
        <v>-0.18000000000000008</v>
      </c>
      <c r="CS36">
        <v>0</v>
      </c>
      <c r="CT36">
        <v>4.8469387755102025E-2</v>
      </c>
      <c r="CU36">
        <v>-1.0416666666666676E-2</v>
      </c>
      <c r="CV36">
        <v>4.9999999999999933E-2</v>
      </c>
      <c r="CW36">
        <v>3.3826638477801298E-2</v>
      </c>
      <c r="CX36">
        <v>0.13623188405797107</v>
      </c>
      <c r="CY36">
        <v>-6.2068965517241281E-2</v>
      </c>
      <c r="CZ36">
        <v>-7.4999999999999928E-2</v>
      </c>
      <c r="DA36">
        <v>2.4999999999999911E-2</v>
      </c>
      <c r="DB36">
        <v>-5.9523809523809486E-2</v>
      </c>
      <c r="DC36">
        <v>0</v>
      </c>
      <c r="DE36">
        <v>-3.7414965986394516E-2</v>
      </c>
      <c r="DF36">
        <v>0.30275229357798167</v>
      </c>
      <c r="DI36">
        <v>9.7719869706839758E-3</v>
      </c>
      <c r="DJ36">
        <v>5.1428571428571476E-2</v>
      </c>
      <c r="DK36">
        <v>-1.5873015873015817E-2</v>
      </c>
      <c r="DL36">
        <v>2.2421524663677049E-2</v>
      </c>
      <c r="DM36">
        <v>-3.8732394366197138E-2</v>
      </c>
      <c r="DN36">
        <v>-0.3</v>
      </c>
      <c r="DO36">
        <v>1.1655011655011614E-2</v>
      </c>
    </row>
    <row r="37" spans="1:119" x14ac:dyDescent="0.3">
      <c r="A37" s="64" t="s">
        <v>9079</v>
      </c>
      <c r="B37">
        <v>8.5106382978723472E-2</v>
      </c>
      <c r="C37">
        <v>0</v>
      </c>
      <c r="D37">
        <v>1.6611295681063211E-2</v>
      </c>
      <c r="E37">
        <v>-4.4247787610619413E-2</v>
      </c>
      <c r="F37">
        <v>0</v>
      </c>
      <c r="H37">
        <v>5.2173913043478314E-2</v>
      </c>
      <c r="I37">
        <v>2.6086956521739157E-2</v>
      </c>
      <c r="J37">
        <v>0</v>
      </c>
      <c r="K37">
        <v>9.2810457516339859E-2</v>
      </c>
      <c r="L37">
        <v>2.7777777777777801E-2</v>
      </c>
      <c r="M37">
        <v>-8.5470085470085548E-3</v>
      </c>
      <c r="N37">
        <v>3.0769230769230795E-2</v>
      </c>
      <c r="O37">
        <v>0</v>
      </c>
      <c r="P37">
        <v>0</v>
      </c>
      <c r="Q37">
        <v>5.2356020942408424E-3</v>
      </c>
      <c r="R37">
        <v>6.3583815028901661E-2</v>
      </c>
      <c r="S37">
        <v>5.8139534883720853E-2</v>
      </c>
      <c r="T37">
        <v>1.2987012987012998E-2</v>
      </c>
      <c r="U37">
        <v>6.26506024096386E-2</v>
      </c>
      <c r="V37">
        <v>2.8985507246376836E-2</v>
      </c>
      <c r="W37">
        <v>0.18391959798994978</v>
      </c>
      <c r="X37">
        <v>4.8076923076923073E-2</v>
      </c>
      <c r="Y37">
        <v>0</v>
      </c>
      <c r="Z37">
        <v>-1</v>
      </c>
      <c r="AA37">
        <v>3.1198686371100084E-2</v>
      </c>
      <c r="AB37">
        <v>0.10881696428571423</v>
      </c>
      <c r="AC37">
        <v>-4.7413793103448322E-2</v>
      </c>
      <c r="AD37">
        <v>2.2727272727272749E-2</v>
      </c>
      <c r="AE37">
        <v>0</v>
      </c>
      <c r="AF37">
        <v>0.13069908814589676</v>
      </c>
      <c r="AG37">
        <v>2.0588235294117734E-2</v>
      </c>
      <c r="AH37">
        <v>0</v>
      </c>
      <c r="AI37">
        <v>1.2195121951219561E-2</v>
      </c>
      <c r="AJ37">
        <v>2.4999999999999991E-2</v>
      </c>
      <c r="AK37">
        <v>0</v>
      </c>
      <c r="AL37">
        <v>0</v>
      </c>
      <c r="AM37">
        <v>9.0497737556561167E-2</v>
      </c>
      <c r="AN37">
        <v>0</v>
      </c>
      <c r="AO37">
        <v>-3.703703703703707E-2</v>
      </c>
      <c r="AP37">
        <v>5.8394160583941652E-2</v>
      </c>
      <c r="AQ37">
        <v>3.6496350364963535E-2</v>
      </c>
      <c r="AR37">
        <v>1.7667844522968136E-2</v>
      </c>
      <c r="AS37">
        <v>0</v>
      </c>
      <c r="AT37">
        <v>0</v>
      </c>
      <c r="AU37">
        <v>6.8656716417910435E-2</v>
      </c>
      <c r="AV37">
        <v>4.3209876543209909E-2</v>
      </c>
      <c r="AW37">
        <v>0</v>
      </c>
      <c r="AX37">
        <v>3.8216560509554173E-2</v>
      </c>
      <c r="AY37">
        <v>-2.1276595744680774E-2</v>
      </c>
      <c r="AZ37">
        <v>-4.4109112013929079E-2</v>
      </c>
      <c r="BA37">
        <v>5.4054054054054106E-2</v>
      </c>
      <c r="BB37">
        <v>1.2500000000000011E-2</v>
      </c>
      <c r="BC37">
        <v>7.3529411764705885E-2</v>
      </c>
      <c r="BD37">
        <v>0.16000000000000003</v>
      </c>
      <c r="BE37">
        <v>3.1250000000000722E-3</v>
      </c>
      <c r="BF37">
        <v>3.8596491228070288E-2</v>
      </c>
      <c r="BG37">
        <v>9.6091205211726372E-2</v>
      </c>
      <c r="BH37">
        <v>1.980198019801982E-2</v>
      </c>
      <c r="BI37">
        <v>-3.720930232558143E-2</v>
      </c>
      <c r="BJ37">
        <v>0.10389610389610385</v>
      </c>
      <c r="BK37">
        <v>0</v>
      </c>
      <c r="BM37">
        <v>4.6728971962616862E-2</v>
      </c>
      <c r="BN37">
        <v>0</v>
      </c>
      <c r="BO37">
        <v>8.7499999999999939E-2</v>
      </c>
      <c r="BP37">
        <v>1.9607843137254919E-2</v>
      </c>
      <c r="BR37">
        <v>1.9230769230769142E-2</v>
      </c>
      <c r="BS37">
        <v>0</v>
      </c>
      <c r="BT37">
        <v>7.5471698113207614E-2</v>
      </c>
      <c r="BU37">
        <v>0.32000000000000006</v>
      </c>
      <c r="BV37">
        <v>2.5252525252525276E-2</v>
      </c>
      <c r="BW37">
        <v>4.6153846153846191E-2</v>
      </c>
      <c r="BX37">
        <v>0</v>
      </c>
      <c r="BY37">
        <v>6.0240963855420406E-3</v>
      </c>
      <c r="BZ37">
        <v>0.34241245136186776</v>
      </c>
      <c r="CA37">
        <v>4.9999999999999906E-2</v>
      </c>
      <c r="CB37">
        <v>6.0998151571164519E-2</v>
      </c>
      <c r="CC37">
        <v>-3.8461538461538491E-2</v>
      </c>
      <c r="CD37">
        <v>7.0612668743509827E-2</v>
      </c>
      <c r="CE37">
        <v>2.0512820512820534E-2</v>
      </c>
      <c r="CF37">
        <v>3.1152647975077909E-2</v>
      </c>
      <c r="CG37">
        <v>2.0618556701030948E-2</v>
      </c>
      <c r="CH37">
        <v>0</v>
      </c>
      <c r="CI37">
        <v>2.4999999999999467E-3</v>
      </c>
      <c r="CJ37">
        <v>0.18461538461538468</v>
      </c>
      <c r="CK37">
        <v>-4.9999999999999892E-2</v>
      </c>
      <c r="CL37">
        <v>0.15714285714285714</v>
      </c>
      <c r="CM37">
        <v>8.9068825910931251E-2</v>
      </c>
      <c r="CN37">
        <v>0.21052631578947359</v>
      </c>
      <c r="CO37">
        <v>0</v>
      </c>
      <c r="CP37">
        <v>0.17241379310344834</v>
      </c>
      <c r="CQ37">
        <v>2.1186440677966028E-2</v>
      </c>
      <c r="CR37">
        <v>2.0618556701030855E-2</v>
      </c>
      <c r="CS37">
        <v>0</v>
      </c>
      <c r="CT37">
        <v>0</v>
      </c>
      <c r="CU37">
        <v>1.9512195121951237E-2</v>
      </c>
      <c r="CV37">
        <v>5.3140096618357432E-2</v>
      </c>
      <c r="CW37">
        <v>0.10746812386156646</v>
      </c>
      <c r="CX37">
        <v>4.2895442359249247E-2</v>
      </c>
      <c r="CY37">
        <v>-1.6025641025641111E-2</v>
      </c>
      <c r="CZ37">
        <v>7.8947368421052558E-2</v>
      </c>
      <c r="DA37">
        <v>5.2631578947368472E-3</v>
      </c>
      <c r="DB37">
        <v>9.0909090909090898E-2</v>
      </c>
      <c r="DC37">
        <v>0</v>
      </c>
      <c r="DE37">
        <v>1.5723270440251517E-2</v>
      </c>
      <c r="DF37">
        <v>1.8691588785046745E-2</v>
      </c>
      <c r="DI37">
        <v>-9.8360655737704285E-3</v>
      </c>
      <c r="DJ37">
        <v>3.4582132564841529E-2</v>
      </c>
      <c r="DK37">
        <v>7.8125E-2</v>
      </c>
      <c r="DL37">
        <v>8.7336244541484795E-2</v>
      </c>
      <c r="DM37">
        <v>-3.5335689045937211E-3</v>
      </c>
      <c r="DN37">
        <v>0</v>
      </c>
      <c r="DO37">
        <v>7.3459715639810449E-2</v>
      </c>
    </row>
    <row r="38" spans="1:119" x14ac:dyDescent="0.3">
      <c r="A38" s="64" t="s">
        <v>9080</v>
      </c>
      <c r="B38">
        <v>-4.2959427207637263E-2</v>
      </c>
      <c r="C38">
        <v>0</v>
      </c>
      <c r="D38">
        <v>5.448717948717946E-2</v>
      </c>
      <c r="E38">
        <v>-0.13736263736263735</v>
      </c>
      <c r="F38">
        <v>-0.40000000000000008</v>
      </c>
      <c r="H38">
        <v>9.0090090090090159E-3</v>
      </c>
      <c r="I38">
        <v>-3.4482758620689689E-2</v>
      </c>
      <c r="J38">
        <v>2.898550724637668E-2</v>
      </c>
      <c r="K38">
        <v>4.0816326530612221E-2</v>
      </c>
      <c r="L38">
        <v>-1.9047619047619063E-2</v>
      </c>
      <c r="M38">
        <v>-9.5833333333333326E-2</v>
      </c>
      <c r="N38">
        <v>0</v>
      </c>
      <c r="O38">
        <v>0</v>
      </c>
      <c r="P38">
        <v>0</v>
      </c>
      <c r="Q38">
        <v>-5.3333333333333384E-3</v>
      </c>
      <c r="R38">
        <v>9.0909090909090995E-2</v>
      </c>
      <c r="S38">
        <v>-4.8192771084337262E-2</v>
      </c>
      <c r="T38">
        <v>0</v>
      </c>
      <c r="U38">
        <v>-8.1841432225064015E-2</v>
      </c>
      <c r="V38">
        <v>2.7027027027027049E-2</v>
      </c>
      <c r="W38">
        <v>1.7809439002671036E-3</v>
      </c>
      <c r="X38">
        <v>1.5904572564612338E-2</v>
      </c>
      <c r="Y38">
        <v>0</v>
      </c>
      <c r="Z38">
        <v>0</v>
      </c>
      <c r="AA38">
        <v>2.4429967426710157E-2</v>
      </c>
      <c r="AB38">
        <v>2.0031628887717399E-2</v>
      </c>
      <c r="AC38">
        <v>2.3529411764705903E-2</v>
      </c>
      <c r="AD38">
        <v>-6.2500000000000056E-2</v>
      </c>
      <c r="AE38">
        <v>0</v>
      </c>
      <c r="AF38">
        <v>5.472636815920387E-2</v>
      </c>
      <c r="AG38">
        <v>-7.8973346495557813E-3</v>
      </c>
      <c r="AH38">
        <v>6.2500000000000056E-2</v>
      </c>
      <c r="AI38">
        <v>-3.3613445378152034E-3</v>
      </c>
      <c r="AJ38">
        <v>-4.8929663608562733E-2</v>
      </c>
      <c r="AK38">
        <v>-9.999999999999995E-2</v>
      </c>
      <c r="AL38">
        <v>0.14285714285714296</v>
      </c>
      <c r="AM38">
        <v>-5.1886792452830129E-2</v>
      </c>
      <c r="AN38">
        <v>-0.12195121951219524</v>
      </c>
      <c r="AO38">
        <v>0.26829268292682923</v>
      </c>
      <c r="AP38">
        <v>7.6335877862595486E-3</v>
      </c>
      <c r="AQ38">
        <v>7.4074074074074138E-3</v>
      </c>
      <c r="AR38">
        <v>1.3114754098360668E-2</v>
      </c>
      <c r="AS38">
        <v>-1.3422818791946321E-2</v>
      </c>
      <c r="AT38">
        <v>0.39655172413793105</v>
      </c>
      <c r="AU38">
        <v>6.1919504643962904E-2</v>
      </c>
      <c r="AV38">
        <v>5.0632911392405104E-2</v>
      </c>
      <c r="AW38">
        <v>0</v>
      </c>
      <c r="AX38">
        <v>-6.6225165562913968E-3</v>
      </c>
      <c r="AY38">
        <v>1.9230769230769162E-2</v>
      </c>
      <c r="AZ38">
        <v>-0.10280898876404504</v>
      </c>
      <c r="BA38">
        <v>0</v>
      </c>
      <c r="BB38">
        <v>-1.2500000000000011E-2</v>
      </c>
      <c r="BC38">
        <v>-4.0540540540540515E-2</v>
      </c>
      <c r="BD38">
        <v>0</v>
      </c>
      <c r="BE38">
        <v>9.8039215686273867E-3</v>
      </c>
      <c r="BF38">
        <v>-1.119402985074636E-2</v>
      </c>
      <c r="BG38">
        <v>1.1182108626198129E-2</v>
      </c>
      <c r="BH38">
        <v>0.1081081081081082</v>
      </c>
      <c r="BI38">
        <v>-4.7169811320754547E-2</v>
      </c>
      <c r="BJ38">
        <v>-2.2988505747126457E-2</v>
      </c>
      <c r="BK38">
        <v>0</v>
      </c>
      <c r="BM38">
        <v>-0.18181818181818177</v>
      </c>
      <c r="BN38">
        <v>-0.14285714285714277</v>
      </c>
      <c r="BO38">
        <v>0.13698630136986298</v>
      </c>
      <c r="BP38">
        <v>2.8571428571428595E-2</v>
      </c>
      <c r="BR38">
        <v>-0.1276595744680851</v>
      </c>
      <c r="BS38">
        <v>0</v>
      </c>
      <c r="BT38">
        <v>1.9230769230769246E-2</v>
      </c>
      <c r="BU38">
        <v>0.12499999999999993</v>
      </c>
      <c r="BV38">
        <v>2.2842639593908594E-2</v>
      </c>
      <c r="BW38">
        <v>3.8461538461538491E-2</v>
      </c>
      <c r="BX38">
        <v>-1</v>
      </c>
      <c r="BY38">
        <v>5.5214723926380424E-2</v>
      </c>
      <c r="BZ38">
        <v>-7.8125000000000069E-3</v>
      </c>
      <c r="CA38">
        <v>4.7619047619047665E-2</v>
      </c>
      <c r="CB38">
        <v>2.4955436720142703E-2</v>
      </c>
      <c r="CC38">
        <v>9.5238095238095191E-2</v>
      </c>
      <c r="CD38">
        <v>1.3569937369519915E-2</v>
      </c>
      <c r="CE38">
        <v>-7.6802507836990636E-2</v>
      </c>
      <c r="CF38">
        <v>-0.11562500000000003</v>
      </c>
      <c r="CG38">
        <v>9.4339622641509517E-3</v>
      </c>
      <c r="CH38">
        <v>0</v>
      </c>
      <c r="CI38">
        <v>1.9559902200489015E-2</v>
      </c>
      <c r="CJ38">
        <v>9.4339622641509413E-2</v>
      </c>
      <c r="CK38">
        <v>-5.8823529411764754E-2</v>
      </c>
      <c r="CL38">
        <v>-1.9480519480519449E-2</v>
      </c>
      <c r="CM38">
        <v>-5.0607287449392711E-2</v>
      </c>
      <c r="CN38">
        <v>-0.16666666666666666</v>
      </c>
      <c r="CO38">
        <v>-2.7397260273972629E-2</v>
      </c>
      <c r="CP38">
        <v>9.0909090909090884E-2</v>
      </c>
      <c r="CQ38">
        <v>-6.6666666666666624E-2</v>
      </c>
      <c r="CR38">
        <v>2.6086956521739191E-2</v>
      </c>
      <c r="CS38">
        <v>0</v>
      </c>
      <c r="CT38">
        <v>3.0303030303030269E-2</v>
      </c>
      <c r="CU38">
        <v>-7.2463768115942212E-2</v>
      </c>
      <c r="CV38">
        <v>2.0304568527918801E-2</v>
      </c>
      <c r="CW38">
        <v>-2.4390243902439004E-2</v>
      </c>
      <c r="CX38">
        <v>-5.2147239263803664E-2</v>
      </c>
      <c r="CY38">
        <v>4.5454545454545428E-2</v>
      </c>
      <c r="CZ38">
        <v>-2.4390243902439046E-2</v>
      </c>
      <c r="DA38">
        <v>-0.39999999999999997</v>
      </c>
      <c r="DB38">
        <v>-0.13821138211382109</v>
      </c>
      <c r="DC38">
        <v>-0.24509803921568626</v>
      </c>
      <c r="DE38">
        <v>-6.079027355622971E-3</v>
      </c>
      <c r="DF38">
        <v>0.1891891891891892</v>
      </c>
      <c r="DI38">
        <v>-0.13245033112582794</v>
      </c>
      <c r="DJ38">
        <v>9.118541033434591E-3</v>
      </c>
      <c r="DK38">
        <v>3.0769230769230114E-3</v>
      </c>
      <c r="DL38">
        <v>1.3392857142857253E-2</v>
      </c>
      <c r="DM38">
        <v>-1.7006802721088374E-2</v>
      </c>
      <c r="DN38">
        <v>-6.6666666666666735E-2</v>
      </c>
      <c r="DO38">
        <v>7.434052757793766E-2</v>
      </c>
    </row>
    <row r="39" spans="1:119" x14ac:dyDescent="0.3">
      <c r="A39" s="64" t="s">
        <v>9081</v>
      </c>
      <c r="B39">
        <v>-3.8961038961038128E-3</v>
      </c>
      <c r="D39">
        <v>4.8859934853420169E-2</v>
      </c>
      <c r="E39">
        <v>-1.0416666666666676E-2</v>
      </c>
      <c r="F39">
        <v>0</v>
      </c>
      <c r="H39">
        <v>2.8571428571428595E-2</v>
      </c>
      <c r="I39">
        <v>-7.0796460176991219E-2</v>
      </c>
      <c r="J39">
        <v>4.3478260869565258E-2</v>
      </c>
      <c r="K39">
        <v>1.3554216867469859E-2</v>
      </c>
      <c r="L39">
        <v>5.8823529411764754E-2</v>
      </c>
      <c r="M39">
        <v>2.0661157024793316E-2</v>
      </c>
      <c r="N39">
        <v>-1.5873015873015886E-2</v>
      </c>
      <c r="O39">
        <v>0</v>
      </c>
      <c r="P39">
        <v>0.20000000000000004</v>
      </c>
      <c r="Q39">
        <v>-7.5067024128686391E-2</v>
      </c>
      <c r="R39">
        <v>-6.4935064935064991E-3</v>
      </c>
      <c r="S39">
        <v>5.1282051282051183E-2</v>
      </c>
      <c r="T39">
        <v>0</v>
      </c>
      <c r="U39">
        <v>0</v>
      </c>
      <c r="V39">
        <v>0</v>
      </c>
      <c r="W39">
        <v>0.1436170212765959</v>
      </c>
      <c r="X39">
        <v>8.3682008368200899E-3</v>
      </c>
      <c r="Y39">
        <v>0</v>
      </c>
      <c r="Z39">
        <v>0</v>
      </c>
      <c r="AA39">
        <v>0</v>
      </c>
      <c r="AB39">
        <v>-3.5252643948295373E-3</v>
      </c>
      <c r="AC39">
        <v>9.3922651933701612E-2</v>
      </c>
      <c r="AD39">
        <v>6.3829787234042618E-2</v>
      </c>
      <c r="AE39">
        <v>0</v>
      </c>
      <c r="AF39">
        <v>-3.5388127853881131E-2</v>
      </c>
      <c r="AG39">
        <v>-1.4112903225806508E-2</v>
      </c>
      <c r="AH39">
        <v>6.2500000000000056E-3</v>
      </c>
      <c r="AI39">
        <v>-1.7006802721088374E-2</v>
      </c>
      <c r="AJ39">
        <v>-9.419152276295072E-3</v>
      </c>
      <c r="AK39">
        <v>-9.999999999999995E-2</v>
      </c>
      <c r="AL39">
        <v>-0.14285714285714296</v>
      </c>
      <c r="AM39">
        <v>-3.6458333333333481E-2</v>
      </c>
      <c r="AN39">
        <v>-2.4390243902438911E-2</v>
      </c>
      <c r="AO39">
        <v>-6.9767441860465046E-2</v>
      </c>
      <c r="AP39">
        <v>0</v>
      </c>
      <c r="AQ39">
        <v>2.3076923076923096E-2</v>
      </c>
      <c r="AR39">
        <v>-2.9999999999999954E-2</v>
      </c>
      <c r="AS39">
        <v>1.3422818791946321E-2</v>
      </c>
      <c r="AT39">
        <v>-6.8965517241379379E-2</v>
      </c>
      <c r="AU39">
        <v>1.6666666666666607E-2</v>
      </c>
      <c r="AV39">
        <v>3.9735099337748235E-2</v>
      </c>
      <c r="AW39">
        <v>-9.523809523809533E-2</v>
      </c>
      <c r="AX39">
        <v>5.5172413793103496E-2</v>
      </c>
      <c r="AY39">
        <v>1.5094339622641523E-2</v>
      </c>
      <c r="AZ39">
        <v>-1.7241379310344845E-2</v>
      </c>
      <c r="BA39">
        <v>5.7142857142857037E-2</v>
      </c>
      <c r="BB39">
        <v>0</v>
      </c>
      <c r="BC39">
        <v>0</v>
      </c>
      <c r="BD39">
        <v>-0.46153846153846151</v>
      </c>
      <c r="BE39">
        <v>1.9672131147541003E-2</v>
      </c>
      <c r="BF39">
        <v>0</v>
      </c>
      <c r="BG39">
        <v>8.8183421516754533E-3</v>
      </c>
      <c r="BH39">
        <v>9.174311926605512E-3</v>
      </c>
      <c r="BI39">
        <v>-8.1818181818181887E-2</v>
      </c>
      <c r="BJ39">
        <v>7.5949367088607653E-2</v>
      </c>
      <c r="BK39">
        <v>0</v>
      </c>
      <c r="BL39">
        <v>-8.2568807339449615E-2</v>
      </c>
      <c r="BM39">
        <v>-9.5238095238095316E-3</v>
      </c>
      <c r="BN39">
        <v>0</v>
      </c>
      <c r="BO39">
        <v>-4.5454545454545324E-2</v>
      </c>
      <c r="BP39">
        <v>-4.854368932038839E-2</v>
      </c>
      <c r="BR39">
        <v>-0.15217391304347816</v>
      </c>
      <c r="BS39">
        <v>0</v>
      </c>
      <c r="BT39">
        <v>-6.2500000000000056E-2</v>
      </c>
      <c r="BU39">
        <v>-0.5</v>
      </c>
      <c r="BV39">
        <v>-2.6041666666666692E-2</v>
      </c>
      <c r="BW39">
        <v>-8.0645161290322648E-3</v>
      </c>
      <c r="BX39">
        <v>0</v>
      </c>
      <c r="BY39">
        <v>-2.4691358024691377E-2</v>
      </c>
      <c r="BZ39">
        <v>0.1785714285714286</v>
      </c>
      <c r="CA39">
        <v>-0.15</v>
      </c>
      <c r="CB39">
        <v>1.1363636363636289E-2</v>
      </c>
      <c r="CC39">
        <v>-9.090909090909087E-2</v>
      </c>
      <c r="CD39">
        <v>7.4157303370786534E-2</v>
      </c>
      <c r="CE39">
        <v>-4.7923322683706467E-3</v>
      </c>
      <c r="CF39">
        <v>6.4516129032258117E-3</v>
      </c>
      <c r="CG39">
        <v>-4.3269230769230699E-2</v>
      </c>
      <c r="CH39">
        <v>0</v>
      </c>
      <c r="CI39">
        <v>-4.166666666666665E-2</v>
      </c>
      <c r="CJ39">
        <v>0.17073170731707318</v>
      </c>
      <c r="CK39">
        <v>-6.9930069930069999E-3</v>
      </c>
      <c r="CL39">
        <v>2.5974025974025419E-3</v>
      </c>
      <c r="CM39">
        <v>4.4444444444444481E-2</v>
      </c>
      <c r="CN39">
        <v>0</v>
      </c>
      <c r="CO39">
        <v>8.2191780821917887E-2</v>
      </c>
      <c r="CP39">
        <v>4.4444444444444481E-2</v>
      </c>
      <c r="CQ39">
        <v>0</v>
      </c>
      <c r="CR39">
        <v>0</v>
      </c>
      <c r="CS39">
        <v>0</v>
      </c>
      <c r="CT39">
        <v>3.0303030303030269E-2</v>
      </c>
      <c r="CU39">
        <v>-4.9261083743841316E-3</v>
      </c>
      <c r="CV39">
        <v>2.6881720430107548E-2</v>
      </c>
      <c r="CW39">
        <v>4.0084388185654088E-2</v>
      </c>
      <c r="CX39">
        <v>5.1612903225806493E-2</v>
      </c>
      <c r="CY39">
        <v>0</v>
      </c>
      <c r="CZ39">
        <v>-5.2631578947368321E-2</v>
      </c>
      <c r="DA39">
        <v>0.24456521739130443</v>
      </c>
      <c r="DB39">
        <v>-4.4444444444445468E-3</v>
      </c>
      <c r="DC39">
        <v>0</v>
      </c>
      <c r="DD39">
        <v>-2.4875621890547289E-2</v>
      </c>
      <c r="DE39">
        <v>-0.13580246913580257</v>
      </c>
      <c r="DF39">
        <v>-0.12500000000000011</v>
      </c>
      <c r="DH39">
        <v>-6.9387755102040788E-2</v>
      </c>
      <c r="DI39">
        <v>-1.6393442622950762E-2</v>
      </c>
      <c r="DJ39">
        <v>-3.1545741324921162E-2</v>
      </c>
      <c r="DK39">
        <v>6.3333333333333464E-2</v>
      </c>
      <c r="DL39">
        <v>-4.9019607843138382E-3</v>
      </c>
      <c r="DM39">
        <v>5.0847457627118613E-2</v>
      </c>
      <c r="DN39">
        <v>0</v>
      </c>
      <c r="DO39">
        <v>-2.0725388601036288E-2</v>
      </c>
    </row>
    <row r="40" spans="1:119" x14ac:dyDescent="0.3">
      <c r="A40" s="64" t="s">
        <v>9082</v>
      </c>
      <c r="B40">
        <v>-7.0719602977667523E-2</v>
      </c>
      <c r="D40">
        <v>3.4482758620689689E-2</v>
      </c>
      <c r="E40">
        <v>3.6866359447004643E-2</v>
      </c>
      <c r="F40">
        <v>0</v>
      </c>
      <c r="H40">
        <v>-1.9230769230769246E-2</v>
      </c>
      <c r="I40">
        <v>-5.9829059829059887E-2</v>
      </c>
      <c r="J40">
        <v>0</v>
      </c>
      <c r="K40">
        <v>-9.463722397476336E-2</v>
      </c>
      <c r="L40">
        <v>-1.9230769230769246E-2</v>
      </c>
      <c r="M40">
        <v>-3.7735849056603807E-2</v>
      </c>
      <c r="N40">
        <v>1.5873015873015886E-2</v>
      </c>
      <c r="O40">
        <v>0</v>
      </c>
      <c r="P40">
        <v>-0.20000000000000004</v>
      </c>
      <c r="Q40">
        <v>-1.3333333333333286E-2</v>
      </c>
      <c r="R40">
        <v>0.1438848920863309</v>
      </c>
      <c r="S40">
        <v>0</v>
      </c>
      <c r="T40">
        <v>-0.11111111111111122</v>
      </c>
      <c r="U40">
        <v>-3.5264483627204059E-2</v>
      </c>
      <c r="V40">
        <v>-3.5714285714285712E-2</v>
      </c>
      <c r="W40">
        <v>9.9147121535181196E-2</v>
      </c>
      <c r="X40">
        <v>-2.7659574468085084E-2</v>
      </c>
      <c r="Y40">
        <v>0</v>
      </c>
      <c r="Z40">
        <v>0</v>
      </c>
      <c r="AA40">
        <v>-2.5862068965517303E-2</v>
      </c>
      <c r="AB40">
        <v>-2.6442307692307768E-2</v>
      </c>
      <c r="AC40">
        <v>-0.11299435028248585</v>
      </c>
      <c r="AD40">
        <v>-0.10000000000000009</v>
      </c>
      <c r="AE40">
        <v>0</v>
      </c>
      <c r="AF40">
        <v>-2.0706455542021912E-2</v>
      </c>
      <c r="AG40">
        <v>2.5000000000000001E-2</v>
      </c>
      <c r="AH40">
        <v>6.6666666666666723E-3</v>
      </c>
      <c r="AI40">
        <v>-3.2203389830508536E-2</v>
      </c>
      <c r="AJ40">
        <v>-3.5874439461883435E-2</v>
      </c>
      <c r="AK40">
        <v>-9.0909090909090995E-2</v>
      </c>
      <c r="AL40">
        <v>0</v>
      </c>
      <c r="AM40">
        <v>-2.4630541871921097E-2</v>
      </c>
      <c r="AN40">
        <v>-2.1739130434782625E-2</v>
      </c>
      <c r="AO40">
        <v>0</v>
      </c>
      <c r="AP40">
        <v>-4.0983606557377088E-2</v>
      </c>
      <c r="AQ40">
        <v>3.4883720930232502E-2</v>
      </c>
      <c r="AR40">
        <v>-6.4189189189189325E-2</v>
      </c>
      <c r="AS40">
        <v>-3.9735099337748381E-2</v>
      </c>
      <c r="AT40">
        <v>0.14285714285714282</v>
      </c>
      <c r="AU40">
        <v>-3.5714285714285747E-2</v>
      </c>
      <c r="AV40">
        <v>-1.3986013986013844E-2</v>
      </c>
      <c r="AW40">
        <v>0</v>
      </c>
      <c r="AX40">
        <v>-4.1095890410958943E-2</v>
      </c>
      <c r="AY40">
        <v>3.8461538461539348E-3</v>
      </c>
      <c r="AZ40">
        <v>-1.8636586562040168E-2</v>
      </c>
      <c r="BA40">
        <v>0</v>
      </c>
      <c r="BB40">
        <v>1.2500000000000011E-2</v>
      </c>
      <c r="BC40">
        <v>2.7777777777778421E-3</v>
      </c>
      <c r="BD40">
        <v>0</v>
      </c>
      <c r="BE40">
        <v>-3.6423841059602606E-2</v>
      </c>
      <c r="BF40">
        <v>-4.2307692307692261E-2</v>
      </c>
      <c r="BG40">
        <v>8.9285714285713969E-3</v>
      </c>
      <c r="BH40">
        <v>1.546391752577321E-2</v>
      </c>
      <c r="BI40">
        <v>-0.16086956521739137</v>
      </c>
      <c r="BJ40">
        <v>2.4691358024691377E-2</v>
      </c>
      <c r="BK40">
        <v>0</v>
      </c>
      <c r="BL40">
        <v>-6.7226890756302587E-2</v>
      </c>
      <c r="BM40">
        <v>-8.0000000000000071E-3</v>
      </c>
      <c r="BN40">
        <v>0</v>
      </c>
      <c r="BO40">
        <v>-0.14285714285714296</v>
      </c>
      <c r="BP40">
        <v>-5.0000000000000044E-2</v>
      </c>
      <c r="BR40">
        <v>0.13461538461538453</v>
      </c>
      <c r="BS40">
        <v>0</v>
      </c>
      <c r="BT40">
        <v>-6.3829787234042618E-2</v>
      </c>
      <c r="BU40">
        <v>0.24999999999999994</v>
      </c>
      <c r="BV40">
        <v>-0.13333333333333322</v>
      </c>
      <c r="BW40">
        <v>-3.3613445378151294E-2</v>
      </c>
      <c r="BX40">
        <v>0</v>
      </c>
      <c r="BY40">
        <v>-1.9607843137254919E-2</v>
      </c>
      <c r="BZ40">
        <v>-0.10588235294117657</v>
      </c>
      <c r="CA40">
        <v>5.2631578947368467E-2</v>
      </c>
      <c r="CB40">
        <v>-6.6147859922178961E-2</v>
      </c>
      <c r="CC40">
        <v>-0.15</v>
      </c>
      <c r="CD40">
        <v>-6.9555302166476762E-2</v>
      </c>
      <c r="CE40">
        <v>-3.2592592592592555E-2</v>
      </c>
      <c r="CF40">
        <v>1.1527377521613843E-2</v>
      </c>
      <c r="CG40">
        <v>-4.3689320388349662E-2</v>
      </c>
      <c r="CH40">
        <v>0</v>
      </c>
      <c r="CI40">
        <v>1.0000000000000009E-2</v>
      </c>
      <c r="CJ40">
        <v>-0.11111111111111122</v>
      </c>
      <c r="CK40">
        <v>-3.9735099337748381E-2</v>
      </c>
      <c r="CL40">
        <v>3.8071065989847809E-2</v>
      </c>
      <c r="CM40">
        <v>-4.2105263157895707E-3</v>
      </c>
      <c r="CN40">
        <v>-0.11764705882352934</v>
      </c>
      <c r="CO40">
        <v>-8.0000000000000071E-2</v>
      </c>
      <c r="CP40">
        <v>5.0000000000000044E-2</v>
      </c>
      <c r="CQ40">
        <v>1.2765957446808616E-2</v>
      </c>
      <c r="CR40">
        <v>-3.6363636363636397E-2</v>
      </c>
      <c r="CS40">
        <v>0</v>
      </c>
      <c r="CT40">
        <v>-2.5568181818181778E-2</v>
      </c>
      <c r="CU40">
        <v>-0.11009174311926614</v>
      </c>
      <c r="CV40">
        <v>-1.0989010989010999E-2</v>
      </c>
      <c r="CW40">
        <v>-4.51745379876798E-2</v>
      </c>
      <c r="CX40">
        <v>0</v>
      </c>
      <c r="CY40">
        <v>0</v>
      </c>
      <c r="CZ40">
        <v>-5.1282051282051329E-2</v>
      </c>
      <c r="DA40">
        <v>-3.8759689922480654E-2</v>
      </c>
      <c r="DB40">
        <v>-5.0193050193050155E-2</v>
      </c>
      <c r="DC40">
        <v>-0.20472440944881889</v>
      </c>
      <c r="DD40">
        <v>-0.18023255813953493</v>
      </c>
      <c r="DE40">
        <v>-4.9079754601226905E-2</v>
      </c>
      <c r="DF40">
        <v>0</v>
      </c>
      <c r="DH40">
        <v>2.272727272727224E-3</v>
      </c>
      <c r="DI40">
        <v>-0.10144927536231886</v>
      </c>
      <c r="DJ40">
        <v>3.1847133757962518E-3</v>
      </c>
      <c r="DK40">
        <v>1.0033444816053446E-2</v>
      </c>
      <c r="DL40">
        <v>-1.9900497512437831E-2</v>
      </c>
      <c r="DM40">
        <v>7.3333333333333403E-2</v>
      </c>
      <c r="DN40">
        <v>-0.25000000000000006</v>
      </c>
      <c r="DO40">
        <v>1.9718309859154886E-2</v>
      </c>
    </row>
    <row r="41" spans="1:119" x14ac:dyDescent="0.3">
      <c r="A41" s="64" t="s">
        <v>9083</v>
      </c>
      <c r="B41">
        <v>1.1124845488257091E-2</v>
      </c>
      <c r="D41">
        <v>-3.6363636363636397E-2</v>
      </c>
      <c r="E41">
        <v>-0.15068493150684936</v>
      </c>
      <c r="F41">
        <v>0</v>
      </c>
      <c r="H41">
        <v>1.980198019801982E-2</v>
      </c>
      <c r="I41">
        <v>-1.6000000000000014E-2</v>
      </c>
      <c r="J41">
        <v>1.5625000000000014E-2</v>
      </c>
      <c r="K41">
        <v>-0.08</v>
      </c>
      <c r="L41">
        <v>-3.0612244897959211E-2</v>
      </c>
      <c r="M41">
        <v>-1.9230769230769162E-2</v>
      </c>
      <c r="N41">
        <v>-1.5625000000000014E-2</v>
      </c>
      <c r="O41">
        <v>0</v>
      </c>
      <c r="P41">
        <v>0.25000000000000006</v>
      </c>
      <c r="Q41">
        <v>-7.1960297766749379E-2</v>
      </c>
      <c r="R41">
        <v>3.5714285714285747E-2</v>
      </c>
      <c r="S41">
        <v>0.2564102564102565</v>
      </c>
      <c r="T41">
        <v>-6.944444444444435E-2</v>
      </c>
      <c r="U41">
        <v>1.0075566750629731E-2</v>
      </c>
      <c r="V41">
        <v>-1.4285714285714235E-2</v>
      </c>
      <c r="W41">
        <v>-2.1170610211706097E-2</v>
      </c>
      <c r="X41">
        <v>-2.1459227467810699E-3</v>
      </c>
      <c r="Y41">
        <v>-0.11111111111111122</v>
      </c>
      <c r="Z41">
        <v>0</v>
      </c>
      <c r="AA41">
        <v>-4.3103448275862072E-2</v>
      </c>
      <c r="AB41">
        <v>-8.742514970059885E-2</v>
      </c>
      <c r="AC41">
        <v>-0.18750000000000003</v>
      </c>
      <c r="AD41">
        <v>2.1276595744680871E-2</v>
      </c>
      <c r="AE41">
        <v>0</v>
      </c>
      <c r="AF41">
        <v>-6.1032863849765417E-2</v>
      </c>
      <c r="AG41">
        <v>6.8047337278106634E-2</v>
      </c>
      <c r="AH41">
        <v>-1.3422818791946321E-2</v>
      </c>
      <c r="AI41">
        <v>-2.6666666666666543E-2</v>
      </c>
      <c r="AJ41">
        <v>-5.9259259259259308E-3</v>
      </c>
      <c r="AK41">
        <v>-8.3333333333333412E-2</v>
      </c>
      <c r="AL41">
        <v>0</v>
      </c>
      <c r="AM41">
        <v>4.76190476190466E-3</v>
      </c>
      <c r="AN41">
        <v>0.1276595744680851</v>
      </c>
      <c r="AO41">
        <v>5.7142857142857037E-2</v>
      </c>
      <c r="AP41">
        <v>2.4590163934426253E-2</v>
      </c>
      <c r="AQ41">
        <v>3.5714285714285837E-2</v>
      </c>
      <c r="AR41">
        <v>-3.934426229508186E-2</v>
      </c>
      <c r="AS41">
        <v>-2.0134228187919483E-2</v>
      </c>
      <c r="AT41">
        <v>-0.10256410256410251</v>
      </c>
      <c r="AU41">
        <v>-1.0909090909090839E-2</v>
      </c>
      <c r="AV41">
        <v>3.6496350364963369E-2</v>
      </c>
      <c r="AW41">
        <v>-0.73913043478260876</v>
      </c>
      <c r="AX41">
        <v>2.1739130434782629E-2</v>
      </c>
      <c r="AY41">
        <v>-1.9531250000000104E-2</v>
      </c>
      <c r="AZ41">
        <v>-1.5451472718493495E-2</v>
      </c>
      <c r="BA41">
        <v>9.0909090909090981E-2</v>
      </c>
      <c r="BB41">
        <v>-1.2500000000000011E-2</v>
      </c>
      <c r="BC41">
        <v>-0.1555555555555557</v>
      </c>
      <c r="BD41">
        <v>0</v>
      </c>
      <c r="BE41">
        <v>3.3783783783783066E-3</v>
      </c>
      <c r="BF41">
        <v>7.6923076923076988E-3</v>
      </c>
      <c r="BG41">
        <v>-8.1081081081081113E-2</v>
      </c>
      <c r="BH41">
        <v>0.20312499999999994</v>
      </c>
      <c r="BI41">
        <v>-7.2580645161290203E-2</v>
      </c>
      <c r="BJ41">
        <v>2.6666666666666689E-2</v>
      </c>
      <c r="BK41">
        <v>0</v>
      </c>
      <c r="BL41">
        <v>-7.8125000000000069E-3</v>
      </c>
      <c r="BM41">
        <v>-7.936507936507943E-3</v>
      </c>
      <c r="BN41">
        <v>-0.12499999999999993</v>
      </c>
      <c r="BO41">
        <v>-0.22033898305084748</v>
      </c>
      <c r="BP41">
        <v>-9.5238095238095316E-3</v>
      </c>
      <c r="BR41">
        <v>1.6949152542372899E-2</v>
      </c>
      <c r="BS41">
        <v>0</v>
      </c>
      <c r="BT41">
        <v>-2.0000000000000018E-2</v>
      </c>
      <c r="BU41">
        <v>3.1250000000000028E-2</v>
      </c>
      <c r="BV41">
        <v>-5.1948051948053145E-3</v>
      </c>
      <c r="BW41">
        <v>4.1666666666666706E-2</v>
      </c>
      <c r="BX41">
        <v>0</v>
      </c>
      <c r="BY41">
        <v>1.2738853503184724E-2</v>
      </c>
      <c r="BZ41">
        <v>-0.22142857142857134</v>
      </c>
      <c r="CA41">
        <v>4.5454545454545366E-2</v>
      </c>
      <c r="CB41">
        <v>3.1496062992126012E-2</v>
      </c>
      <c r="CC41">
        <v>9.090909090909087E-2</v>
      </c>
      <c r="CD41">
        <v>-2.4660912453760703E-2</v>
      </c>
      <c r="CE41">
        <v>-7.3746312684365781E-2</v>
      </c>
      <c r="CF41">
        <v>-1.1594202898550735E-2</v>
      </c>
      <c r="CG41">
        <v>-5.581395348837194E-2</v>
      </c>
      <c r="CH41">
        <v>0</v>
      </c>
      <c r="CI41">
        <v>-7.6738609112709896E-2</v>
      </c>
      <c r="CJ41">
        <v>0.17241379310344826</v>
      </c>
      <c r="CK41">
        <v>3.2894736842105289E-2</v>
      </c>
      <c r="CL41">
        <v>-7.1246819338422335E-2</v>
      </c>
      <c r="CM41">
        <v>0.16923076923076935</v>
      </c>
      <c r="CN41">
        <v>-5.8823529411764754E-2</v>
      </c>
      <c r="CO41">
        <v>8.6956521739130516E-2</v>
      </c>
      <c r="CP41">
        <v>0</v>
      </c>
      <c r="CQ41">
        <v>-3.404255319148939E-2</v>
      </c>
      <c r="CR41">
        <v>-1.8181818181818118E-2</v>
      </c>
      <c r="CS41">
        <v>0</v>
      </c>
      <c r="CT41">
        <v>-1.7595307917888579E-2</v>
      </c>
      <c r="CU41">
        <v>7.7625570776255884E-2</v>
      </c>
      <c r="CV41">
        <v>-1.6949152542372895E-2</v>
      </c>
      <c r="CW41">
        <v>-8.5470085470085361E-2</v>
      </c>
      <c r="CX41">
        <v>-1.2861736334405157E-2</v>
      </c>
      <c r="CY41">
        <v>-9.3749999999999944E-2</v>
      </c>
      <c r="CZ41">
        <v>-0.75609756097560976</v>
      </c>
      <c r="DA41">
        <v>-5.1643192488262858E-2</v>
      </c>
      <c r="DB41">
        <v>2.3076923076923096E-2</v>
      </c>
      <c r="DC41">
        <v>-0.3937007874015746</v>
      </c>
      <c r="DD41">
        <v>6.7796610169491581E-2</v>
      </c>
      <c r="DE41">
        <v>-1.081081081081082E-2</v>
      </c>
      <c r="DF41">
        <v>-0.58208955223880599</v>
      </c>
      <c r="DH41">
        <v>2.7426160337552907E-2</v>
      </c>
      <c r="DI41">
        <v>1.4285714285714362E-2</v>
      </c>
      <c r="DJ41">
        <v>-1.2345679012345689E-2</v>
      </c>
      <c r="DK41">
        <v>1.4285714285714299E-2</v>
      </c>
      <c r="DL41">
        <v>-4.9504950495048447E-3</v>
      </c>
      <c r="DM41">
        <v>3.5087719298244864E-3</v>
      </c>
      <c r="DN41">
        <v>-0.24999999999999986</v>
      </c>
      <c r="DO41">
        <v>-2.0661157024793316E-2</v>
      </c>
    </row>
    <row r="42" spans="1:119" x14ac:dyDescent="0.3">
      <c r="A42" s="64" t="s">
        <v>9084</v>
      </c>
      <c r="B42">
        <v>3.4642032332563591E-2</v>
      </c>
      <c r="D42">
        <v>3.7735849056603807E-2</v>
      </c>
      <c r="E42">
        <v>9.4786729857819999E-3</v>
      </c>
      <c r="F42">
        <v>0.14285714285714296</v>
      </c>
      <c r="H42">
        <v>2.9126213592233035E-2</v>
      </c>
      <c r="I42">
        <v>6.0606060606060656E-2</v>
      </c>
      <c r="J42">
        <v>6.2500000000000056E-2</v>
      </c>
      <c r="K42">
        <v>8.3211678832116706E-2</v>
      </c>
      <c r="L42">
        <v>2.0000000000000018E-2</v>
      </c>
      <c r="M42">
        <v>3.703703703703707E-2</v>
      </c>
      <c r="N42">
        <v>4.7619047619047658E-2</v>
      </c>
      <c r="O42">
        <v>0</v>
      </c>
      <c r="P42">
        <v>0</v>
      </c>
      <c r="Q42">
        <v>2.4509803921568107E-3</v>
      </c>
      <c r="R42">
        <v>-5.0000000000000044E-2</v>
      </c>
      <c r="S42">
        <v>-6.4102564102564152E-2</v>
      </c>
      <c r="T42">
        <v>1.2500000000000011E-2</v>
      </c>
      <c r="U42">
        <v>-3.1630170316301671E-2</v>
      </c>
      <c r="V42">
        <v>-6.896551724138029E-3</v>
      </c>
      <c r="W42">
        <v>-0.18028169014084525</v>
      </c>
      <c r="X42">
        <v>-7.5156576200417602E-2</v>
      </c>
      <c r="Y42">
        <v>0</v>
      </c>
      <c r="Z42">
        <v>0</v>
      </c>
      <c r="AA42">
        <v>-1.6806722689075571E-2</v>
      </c>
      <c r="AB42">
        <v>1.3418903150525113E-2</v>
      </c>
      <c r="AC42">
        <v>-5.5555555555554369E-3</v>
      </c>
      <c r="AD42">
        <v>0</v>
      </c>
      <c r="AE42">
        <v>0</v>
      </c>
      <c r="AF42">
        <v>-7.3647871116225408E-2</v>
      </c>
      <c r="AG42">
        <v>0.12537917087967637</v>
      </c>
      <c r="AH42">
        <v>9.459459459459453E-2</v>
      </c>
      <c r="AI42">
        <v>3.8772213247172747E-2</v>
      </c>
      <c r="AJ42">
        <v>-6.0085836909871231E-2</v>
      </c>
      <c r="AK42">
        <v>-0.23076923076923075</v>
      </c>
      <c r="AL42">
        <v>0.14285714285714296</v>
      </c>
      <c r="AM42">
        <v>3.720930232558143E-2</v>
      </c>
      <c r="AN42">
        <v>-4.1666666666666706E-2</v>
      </c>
      <c r="AO42">
        <v>-0.11428571428571424</v>
      </c>
      <c r="AP42">
        <v>2.3622047244094509E-2</v>
      </c>
      <c r="AQ42">
        <v>5.7613168724279698E-2</v>
      </c>
      <c r="AR42">
        <v>-5.8641975308641958E-2</v>
      </c>
      <c r="AS42">
        <v>-4.5161290322580538E-2</v>
      </c>
      <c r="AT42">
        <v>-5.8823529411764754E-2</v>
      </c>
      <c r="AU42">
        <v>-1.0526315789473771E-2</v>
      </c>
      <c r="AV42">
        <v>1.4388489208633108E-2</v>
      </c>
      <c r="AW42">
        <v>4.3478260869565251E-2</v>
      </c>
      <c r="AX42">
        <v>-1.3888888888888902E-2</v>
      </c>
      <c r="AY42">
        <v>0</v>
      </c>
      <c r="AZ42">
        <v>-5.1683262209577994E-2</v>
      </c>
      <c r="BA42">
        <v>0</v>
      </c>
      <c r="BB42">
        <v>3.7974683544303826E-2</v>
      </c>
      <c r="BC42">
        <v>-2.785515320334252E-2</v>
      </c>
      <c r="BD42">
        <v>0.13157894736842102</v>
      </c>
      <c r="BE42">
        <v>-2.2801302931596039E-2</v>
      </c>
      <c r="BF42">
        <v>-4.0590405904058997E-2</v>
      </c>
      <c r="BG42">
        <v>-4.5454545454545456E-2</v>
      </c>
      <c r="BH42">
        <v>0.10052910052910051</v>
      </c>
      <c r="BI42">
        <v>4.561403508771926E-2</v>
      </c>
      <c r="BJ42">
        <v>2.7397260273972629E-2</v>
      </c>
      <c r="BL42">
        <v>1.4705882352941188E-2</v>
      </c>
      <c r="BM42">
        <v>8.6614173228346539E-2</v>
      </c>
      <c r="BN42">
        <v>0.12499999999999993</v>
      </c>
      <c r="BO42">
        <v>-0.19402985074626866</v>
      </c>
      <c r="BP42">
        <v>3.636363636363639E-2</v>
      </c>
      <c r="BR42">
        <v>-0.13461538461538453</v>
      </c>
      <c r="BS42">
        <v>0</v>
      </c>
      <c r="BT42">
        <v>0</v>
      </c>
      <c r="BU42">
        <v>7.4074074074074139E-2</v>
      </c>
      <c r="BV42">
        <v>5.5172413793103503E-2</v>
      </c>
      <c r="BW42">
        <v>-8.0645161290322648E-3</v>
      </c>
      <c r="BX42">
        <v>0</v>
      </c>
      <c r="BY42">
        <v>-1.2500000000000011E-2</v>
      </c>
      <c r="BZ42">
        <v>5.6962025316455604E-2</v>
      </c>
      <c r="CA42">
        <v>0</v>
      </c>
      <c r="CB42">
        <v>-2.9520295202952056E-2</v>
      </c>
      <c r="CC42">
        <v>-3.9999999999999925E-2</v>
      </c>
      <c r="CD42">
        <v>4.7018348623853221E-2</v>
      </c>
      <c r="CE42">
        <v>2.5714285714285672E-2</v>
      </c>
      <c r="CF42">
        <v>5.8651026392961929E-3</v>
      </c>
      <c r="CG42">
        <v>-0.1741071428571429</v>
      </c>
      <c r="CH42">
        <v>0</v>
      </c>
      <c r="CI42">
        <v>-0.10169491525423727</v>
      </c>
      <c r="CJ42">
        <v>-3.0303030303030162E-2</v>
      </c>
      <c r="CK42">
        <v>2.5316455696202552E-2</v>
      </c>
      <c r="CL42">
        <v>-2.3809523809524009E-2</v>
      </c>
      <c r="CM42">
        <v>-1.7505470459518613E-2</v>
      </c>
      <c r="CN42">
        <v>-5.2631578947368321E-2</v>
      </c>
      <c r="CO42">
        <v>0</v>
      </c>
      <c r="CP42">
        <v>0.24999999999999992</v>
      </c>
      <c r="CQ42">
        <v>-2.155172413793115E-2</v>
      </c>
      <c r="CR42">
        <v>0.10526315789473678</v>
      </c>
      <c r="CS42">
        <v>0</v>
      </c>
      <c r="CT42">
        <v>-1.4285714285714235E-2</v>
      </c>
      <c r="CU42">
        <v>3.7037037037036979E-2</v>
      </c>
      <c r="CV42">
        <v>5.5865921787709542E-2</v>
      </c>
      <c r="CW42">
        <v>2.4489795918367366E-2</v>
      </c>
      <c r="CX42">
        <v>-0.10289389067524125</v>
      </c>
      <c r="CY42">
        <v>1.5624999999999944E-2</v>
      </c>
      <c r="CZ42">
        <v>-0.41860465116279083</v>
      </c>
      <c r="DA42">
        <v>-0.31390134529147989</v>
      </c>
      <c r="DB42">
        <v>0.10989010989010982</v>
      </c>
      <c r="DC42">
        <v>-1.6666666666666667</v>
      </c>
      <c r="DD42">
        <v>4.8076923076923114E-3</v>
      </c>
      <c r="DE42">
        <v>5.1813471502590608E-2</v>
      </c>
      <c r="DF42">
        <v>7.4626865671641854E-2</v>
      </c>
      <c r="DH42">
        <v>1.0570824524312858E-2</v>
      </c>
      <c r="DI42">
        <v>5.1948051948051875E-2</v>
      </c>
      <c r="DJ42">
        <v>3.7151702786377742E-2</v>
      </c>
      <c r="DK42">
        <v>-8.6642599277978419E-2</v>
      </c>
      <c r="DL42">
        <v>4.8543689320387313E-3</v>
      </c>
      <c r="DM42">
        <v>0.12167300380228148</v>
      </c>
      <c r="DN42">
        <v>-0.10000000000000009</v>
      </c>
      <c r="DO42">
        <v>2.1067415730337005E-2</v>
      </c>
    </row>
    <row r="43" spans="1:119" x14ac:dyDescent="0.3">
      <c r="A43" s="64" t="s">
        <v>9085</v>
      </c>
      <c r="B43">
        <v>-1.2835472578763267E-2</v>
      </c>
      <c r="D43">
        <v>0.12727272727272732</v>
      </c>
      <c r="E43">
        <v>-7.7868852459016369E-2</v>
      </c>
      <c r="F43">
        <v>-0.14285714285714296</v>
      </c>
      <c r="H43">
        <v>-2.9702970297029729E-2</v>
      </c>
      <c r="I43">
        <v>-3.7313432835820927E-2</v>
      </c>
      <c r="J43">
        <v>-6.3492063492063544E-2</v>
      </c>
      <c r="K43">
        <v>-2.0408163265306051E-2</v>
      </c>
      <c r="L43">
        <v>0</v>
      </c>
      <c r="M43">
        <v>-0.10909090909090918</v>
      </c>
      <c r="N43">
        <v>1.5625000000000014E-2</v>
      </c>
      <c r="O43">
        <v>0</v>
      </c>
      <c r="P43">
        <v>0</v>
      </c>
      <c r="Q43">
        <v>8.0091533180778149E-2</v>
      </c>
      <c r="R43">
        <v>-0.33913043478260885</v>
      </c>
      <c r="S43">
        <v>8.6206896551724227E-2</v>
      </c>
      <c r="T43">
        <v>-1.1764705882352951E-2</v>
      </c>
      <c r="U43">
        <v>-5.8968058968059019E-2</v>
      </c>
      <c r="V43">
        <v>-2.7210884353741402E-2</v>
      </c>
      <c r="W43">
        <v>0.22008253094910601</v>
      </c>
      <c r="X43">
        <v>0</v>
      </c>
      <c r="Y43">
        <v>0.3</v>
      </c>
      <c r="Z43">
        <v>0</v>
      </c>
      <c r="AA43">
        <v>2.4193548387096687E-2</v>
      </c>
      <c r="AB43">
        <v>1.0752688172042781E-3</v>
      </c>
      <c r="AC43">
        <v>9.9999999999999978E-2</v>
      </c>
      <c r="AD43">
        <v>0</v>
      </c>
      <c r="AE43">
        <v>0</v>
      </c>
      <c r="AF43">
        <v>-3.2573289902280207E-2</v>
      </c>
      <c r="AG43">
        <v>-1.195652173913047E-2</v>
      </c>
      <c r="AH43">
        <v>4.0000000000000036E-2</v>
      </c>
      <c r="AI43">
        <v>2.6771653543307076E-2</v>
      </c>
      <c r="AJ43">
        <v>-9.9573257467993441E-3</v>
      </c>
      <c r="AK43">
        <v>-0.21428571428571425</v>
      </c>
      <c r="AL43">
        <v>0</v>
      </c>
      <c r="AM43">
        <v>-4.2056074766355069E-2</v>
      </c>
      <c r="AN43">
        <v>-2.3809523809523832E-2</v>
      </c>
      <c r="AO43">
        <v>3.0303030303030328E-2</v>
      </c>
      <c r="AP43">
        <v>-8.0645161290322648E-3</v>
      </c>
      <c r="AQ43">
        <v>-4.2735042735042583E-2</v>
      </c>
      <c r="AR43">
        <v>0.11607142857142848</v>
      </c>
      <c r="AS43">
        <v>-1.8987341772151913E-2</v>
      </c>
      <c r="AT43">
        <v>0.10526315789473693</v>
      </c>
      <c r="AU43">
        <v>-2.43055555555555E-2</v>
      </c>
      <c r="AV43">
        <v>0</v>
      </c>
      <c r="AW43">
        <v>0</v>
      </c>
      <c r="AX43">
        <v>7.0921985815602905E-3</v>
      </c>
      <c r="AY43">
        <v>0</v>
      </c>
      <c r="AZ43">
        <v>2.1485287248949127E-2</v>
      </c>
      <c r="BA43">
        <v>0</v>
      </c>
      <c r="BB43">
        <v>-1.2500000000000011E-2</v>
      </c>
      <c r="BC43">
        <v>-2.4096385542168586E-2</v>
      </c>
      <c r="BD43">
        <v>-2.6315789473684233E-2</v>
      </c>
      <c r="BE43">
        <v>-1.3071895424836612E-2</v>
      </c>
      <c r="BF43">
        <v>3.7174721189590287E-3</v>
      </c>
      <c r="BG43">
        <v>7.2268907563025314E-2</v>
      </c>
      <c r="BH43">
        <v>-2.6666666666666689E-2</v>
      </c>
      <c r="BI43">
        <v>3.3003300330032301E-3</v>
      </c>
      <c r="BJ43">
        <v>7.0422535211267512E-2</v>
      </c>
      <c r="BL43">
        <v>2.1897810218978121E-2</v>
      </c>
      <c r="BM43">
        <v>-7.0312500000000056E-2</v>
      </c>
      <c r="BN43">
        <v>0</v>
      </c>
      <c r="BO43">
        <v>2.5000000000000022E-2</v>
      </c>
      <c r="BP43">
        <v>0</v>
      </c>
      <c r="BR43">
        <v>-1.9607843137254919E-2</v>
      </c>
      <c r="BS43">
        <v>0</v>
      </c>
      <c r="BT43">
        <v>-3.703703703703707E-2</v>
      </c>
      <c r="BU43">
        <v>0.11538461538461538</v>
      </c>
      <c r="BV43">
        <v>1.6018306636155669E-2</v>
      </c>
      <c r="BW43">
        <v>-1.6806722689075647E-2</v>
      </c>
      <c r="BX43">
        <v>-0.5</v>
      </c>
      <c r="BY43">
        <v>-1.2658227848101276E-2</v>
      </c>
      <c r="BZ43">
        <v>4.2328042328042367E-2</v>
      </c>
      <c r="CA43">
        <v>5.0000000000000044E-2</v>
      </c>
      <c r="CB43">
        <v>1.1406844106463804E-2</v>
      </c>
      <c r="CC43">
        <v>4.3478260869565133E-2</v>
      </c>
      <c r="CD43">
        <v>-2.1300448430493217E-2</v>
      </c>
      <c r="CE43">
        <v>6.6666666666667616E-3</v>
      </c>
      <c r="CF43">
        <v>2.318840579710147E-2</v>
      </c>
      <c r="CG43">
        <v>-0.10593220338983052</v>
      </c>
      <c r="CH43">
        <v>0</v>
      </c>
      <c r="CI43">
        <v>7.1910112359550624E-2</v>
      </c>
      <c r="CJ43">
        <v>-0.17857142857142871</v>
      </c>
      <c r="CK43">
        <v>-2.6143790849673224E-2</v>
      </c>
      <c r="CL43">
        <v>-5.1724137931034482E-2</v>
      </c>
      <c r="CM43">
        <v>2.6315789473684237E-2</v>
      </c>
      <c r="CN43">
        <v>9.999999999999995E-2</v>
      </c>
      <c r="CO43">
        <v>-2.898550724637684E-2</v>
      </c>
      <c r="CP43">
        <v>0</v>
      </c>
      <c r="CQ43">
        <v>7.0833333333333498E-2</v>
      </c>
      <c r="CR43">
        <v>-4.3103448275862072E-2</v>
      </c>
      <c r="CS43">
        <v>0</v>
      </c>
      <c r="CT43">
        <v>-2.2471910112359571E-2</v>
      </c>
      <c r="CU43">
        <v>-2.6548672566371709E-2</v>
      </c>
      <c r="CV43">
        <v>-1.6483516483516498E-2</v>
      </c>
      <c r="CW43">
        <v>-1.8867924528303162E-3</v>
      </c>
      <c r="CX43">
        <v>-0.10476190476190464</v>
      </c>
      <c r="CY43">
        <v>-9.9999999999999895E-2</v>
      </c>
      <c r="CZ43">
        <v>0.35135135135135137</v>
      </c>
      <c r="DA43">
        <v>-0.16666666666666674</v>
      </c>
      <c r="DB43">
        <v>1.8726591760299727E-2</v>
      </c>
      <c r="DC43">
        <v>0</v>
      </c>
      <c r="DD43">
        <v>-1.5306122448979605E-2</v>
      </c>
      <c r="DE43">
        <v>-1.2820512820512775E-2</v>
      </c>
      <c r="DF43">
        <v>2.8301886792452855E-2</v>
      </c>
      <c r="DH43">
        <v>-5.8695652173913149E-2</v>
      </c>
      <c r="DI43">
        <v>5.2631578947368472E-3</v>
      </c>
      <c r="DJ43">
        <v>-3.3639143730886813E-2</v>
      </c>
      <c r="DK43">
        <v>7.3260073260073329E-3</v>
      </c>
      <c r="DL43">
        <v>-7.7294685990338244E-2</v>
      </c>
      <c r="DM43">
        <v>6.1068702290076216E-2</v>
      </c>
      <c r="DN43">
        <v>-0.12499999999999989</v>
      </c>
      <c r="DO43">
        <v>-3.8514442916093572E-2</v>
      </c>
    </row>
    <row r="44" spans="1:119" x14ac:dyDescent="0.3">
      <c r="A44" s="64" t="s">
        <v>9086</v>
      </c>
      <c r="B44">
        <v>-2.2974607013301028E-2</v>
      </c>
      <c r="D44">
        <v>1.886792452830182E-2</v>
      </c>
      <c r="E44">
        <v>-0.16942148760330586</v>
      </c>
      <c r="F44">
        <v>0.16666666666666682</v>
      </c>
      <c r="H44">
        <v>-1.0204081632653071E-2</v>
      </c>
      <c r="I44">
        <v>-3.9682539682539715E-2</v>
      </c>
      <c r="J44">
        <v>5.0847457627118689E-2</v>
      </c>
      <c r="K44">
        <v>-1.4749262536873234E-2</v>
      </c>
      <c r="L44">
        <v>0</v>
      </c>
      <c r="M44">
        <v>1.1320754716981227E-2</v>
      </c>
      <c r="N44">
        <v>-3.2786885245901669E-2</v>
      </c>
      <c r="O44">
        <v>0</v>
      </c>
      <c r="P44">
        <v>0.25000000000000006</v>
      </c>
      <c r="Q44">
        <v>-2.9816513761467864E-2</v>
      </c>
      <c r="R44">
        <v>-5.7851239669421357E-2</v>
      </c>
      <c r="S44">
        <v>0.12698412698412692</v>
      </c>
      <c r="T44">
        <v>4.7619047619047533E-2</v>
      </c>
      <c r="U44">
        <v>-9.5238095238095316E-3</v>
      </c>
      <c r="V44">
        <v>2.0270270270270199E-2</v>
      </c>
      <c r="W44">
        <v>0.14619883040935672</v>
      </c>
      <c r="X44">
        <v>3.8759689922481513E-3</v>
      </c>
      <c r="Y44">
        <v>0</v>
      </c>
      <c r="Z44">
        <v>0</v>
      </c>
      <c r="AA44">
        <v>-5.5555555555555504E-2</v>
      </c>
      <c r="AB44">
        <v>5.988023952095816E-2</v>
      </c>
      <c r="AC44">
        <v>7.1090047393364886E-2</v>
      </c>
      <c r="AD44">
        <v>5.8823529411764754E-2</v>
      </c>
      <c r="AE44">
        <v>0</v>
      </c>
      <c r="AF44">
        <v>-6.0913705583756313E-2</v>
      </c>
      <c r="AG44">
        <v>0.11557788944723617</v>
      </c>
      <c r="AH44">
        <v>-4.4117647058823567E-2</v>
      </c>
      <c r="AI44">
        <v>-8.1833060556464523E-3</v>
      </c>
      <c r="AJ44">
        <v>-1.4765100671140983E-2</v>
      </c>
      <c r="AK44">
        <v>0.11764705882352951</v>
      </c>
      <c r="AL44">
        <v>0</v>
      </c>
      <c r="AM44">
        <v>-8.2524271844660158E-2</v>
      </c>
      <c r="AN44">
        <v>-0.29545454545454536</v>
      </c>
      <c r="AO44">
        <v>-8.1081081081081155E-2</v>
      </c>
      <c r="AP44">
        <v>-3.305785123966945E-2</v>
      </c>
      <c r="AQ44">
        <v>1.3636363636363547E-2</v>
      </c>
      <c r="AR44">
        <v>4.5070422535211312E-2</v>
      </c>
      <c r="AS44">
        <v>-1.2121212121212133E-2</v>
      </c>
      <c r="AT44">
        <v>-7.5000000000000067E-2</v>
      </c>
      <c r="AU44">
        <v>1.0309278350515396E-2</v>
      </c>
      <c r="AV44">
        <v>-3.0303030303030328E-2</v>
      </c>
      <c r="AW44">
        <v>0.2564102564102565</v>
      </c>
      <c r="AX44">
        <v>-1.3986013986014E-2</v>
      </c>
      <c r="AY44">
        <v>3.8461538461538491E-2</v>
      </c>
      <c r="AZ44">
        <v>-2.933333333333334E-2</v>
      </c>
      <c r="BA44">
        <v>0</v>
      </c>
      <c r="BB44">
        <v>-1.2987012987012998E-2</v>
      </c>
      <c r="BC44">
        <v>1.1764705882352899E-2</v>
      </c>
      <c r="BD44">
        <v>0</v>
      </c>
      <c r="BE44">
        <v>-3.1948881789137407E-2</v>
      </c>
      <c r="BF44">
        <v>-3.5714285714285747E-2</v>
      </c>
      <c r="BG44">
        <v>4.1935483870967703E-2</v>
      </c>
      <c r="BH44">
        <v>-7.6335877862595486E-3</v>
      </c>
      <c r="BI44">
        <v>5.1724137931034454E-2</v>
      </c>
      <c r="BJ44">
        <v>0</v>
      </c>
      <c r="BL44">
        <v>-2.9629629629629655E-2</v>
      </c>
      <c r="BM44">
        <v>0</v>
      </c>
      <c r="BN44">
        <v>0</v>
      </c>
      <c r="BO44">
        <v>0.15053763440860216</v>
      </c>
      <c r="BP44">
        <v>-1.8691588785046745E-2</v>
      </c>
      <c r="BR44">
        <v>0.20689655172413793</v>
      </c>
      <c r="BS44">
        <v>0</v>
      </c>
      <c r="BT44">
        <v>-7.4074074074073931E-2</v>
      </c>
      <c r="BU44">
        <v>0.45833333333333331</v>
      </c>
      <c r="BV44">
        <v>-9.6852300242130845E-2</v>
      </c>
      <c r="BW44">
        <v>1.6666666666666684E-2</v>
      </c>
      <c r="BX44">
        <v>0</v>
      </c>
      <c r="BY44">
        <v>0</v>
      </c>
      <c r="BZ44">
        <v>5.0000000000000044E-2</v>
      </c>
      <c r="CA44">
        <v>0</v>
      </c>
      <c r="CB44">
        <v>-0.10885608856088558</v>
      </c>
      <c r="CC44">
        <v>0</v>
      </c>
      <c r="CD44">
        <v>3.5252643948295997E-2</v>
      </c>
      <c r="CE44">
        <v>1.6393442622950713E-2</v>
      </c>
      <c r="CF44">
        <v>5.8309037900874687E-3</v>
      </c>
      <c r="CG44">
        <v>0.10909090909090903</v>
      </c>
      <c r="CH44">
        <v>0</v>
      </c>
      <c r="CI44">
        <v>-1.6427104722792622E-2</v>
      </c>
      <c r="CJ44">
        <v>-0.41379310344827586</v>
      </c>
      <c r="CK44">
        <v>-3.35570469798658E-2</v>
      </c>
      <c r="CL44">
        <v>-2.1686746987951772E-2</v>
      </c>
      <c r="CM44">
        <v>2.5773195876288568E-2</v>
      </c>
      <c r="CN44">
        <v>0</v>
      </c>
      <c r="CO44">
        <v>-1.449275362318842E-2</v>
      </c>
      <c r="CP44">
        <v>-0.1111111111111111</v>
      </c>
      <c r="CQ44">
        <v>3.2653061224489639E-2</v>
      </c>
      <c r="CR44">
        <v>-4.8076923076923073E-2</v>
      </c>
      <c r="CS44">
        <v>-0.40000000000000008</v>
      </c>
      <c r="CT44">
        <v>-3.8781163434903086E-2</v>
      </c>
      <c r="CU44">
        <v>-2.7649769585253482E-2</v>
      </c>
      <c r="CV44">
        <v>1.1627906976744196E-2</v>
      </c>
      <c r="CW44">
        <v>6.9498069498069567E-2</v>
      </c>
      <c r="CX44">
        <v>-5.4755043227665813E-2</v>
      </c>
      <c r="CY44">
        <v>4.3478260869565188E-2</v>
      </c>
      <c r="CZ44">
        <v>-8.6956521739130391E-2</v>
      </c>
      <c r="DA44">
        <v>1.6447368421052717E-2</v>
      </c>
      <c r="DB44">
        <v>-8.8607594936708847E-2</v>
      </c>
      <c r="DC44">
        <v>-0.22270742358078613</v>
      </c>
      <c r="DD44">
        <v>3.0769230769230799E-2</v>
      </c>
      <c r="DE44">
        <v>-3.2432432432432462E-2</v>
      </c>
      <c r="DF44">
        <v>8.9108910891089077E-2</v>
      </c>
      <c r="DH44">
        <v>-7.2527472527472547E-2</v>
      </c>
      <c r="DI44">
        <v>-4.4444444444444481E-2</v>
      </c>
      <c r="DJ44">
        <v>-3.1746031746032479E-3</v>
      </c>
      <c r="DK44">
        <v>-3.7037037037036993E-2</v>
      </c>
      <c r="DL44">
        <v>-2.4271844660194088E-2</v>
      </c>
      <c r="DM44">
        <v>3.9130434782608831E-2</v>
      </c>
      <c r="DN44">
        <v>0.15384615384615377</v>
      </c>
      <c r="DO44">
        <v>-2.3876404494382011E-2</v>
      </c>
    </row>
    <row r="45" spans="1:119" x14ac:dyDescent="0.3">
      <c r="A45" s="64" t="s">
        <v>9087</v>
      </c>
      <c r="B45">
        <v>-6.9212410501193325E-2</v>
      </c>
      <c r="D45">
        <v>4.347826086956429E-3</v>
      </c>
      <c r="E45">
        <v>-0.10727969348658997</v>
      </c>
      <c r="F45">
        <v>-0.28571428571428575</v>
      </c>
      <c r="H45">
        <v>-9.9009900990099098E-3</v>
      </c>
      <c r="I45">
        <v>3.0534351145038195E-2</v>
      </c>
      <c r="J45">
        <v>0</v>
      </c>
      <c r="K45">
        <v>-1.443001443001438E-2</v>
      </c>
      <c r="L45">
        <v>-4.9504950495049549E-2</v>
      </c>
      <c r="M45">
        <v>1.3559322033898317E-2</v>
      </c>
      <c r="N45">
        <v>5.0000000000000044E-2</v>
      </c>
      <c r="O45">
        <v>0</v>
      </c>
      <c r="P45">
        <v>0</v>
      </c>
      <c r="Q45">
        <v>4.9875311720698187E-2</v>
      </c>
      <c r="R45">
        <v>0.16250000000000001</v>
      </c>
      <c r="S45">
        <v>0.27586206896551724</v>
      </c>
      <c r="T45">
        <v>2.3529411764705903E-2</v>
      </c>
      <c r="U45">
        <v>-2.4774774774774643E-2</v>
      </c>
      <c r="V45">
        <v>-6.5789473684210297E-3</v>
      </c>
      <c r="W45">
        <v>-2.1582733812949562E-2</v>
      </c>
      <c r="X45">
        <v>-1.1627906976744281E-2</v>
      </c>
      <c r="Y45">
        <v>-0.14285714285714277</v>
      </c>
      <c r="Z45">
        <v>0</v>
      </c>
      <c r="AA45">
        <v>-1.6260162601625669E-3</v>
      </c>
      <c r="AB45">
        <v>3.2697547683923005E-3</v>
      </c>
      <c r="AC45">
        <v>4.7368421052631622E-2</v>
      </c>
      <c r="AD45">
        <v>5.882352941176465E-2</v>
      </c>
      <c r="AE45">
        <v>0</v>
      </c>
      <c r="AF45">
        <v>-4.6305418719211885E-2</v>
      </c>
      <c r="AG45">
        <v>-5.4522924411400185E-2</v>
      </c>
      <c r="AH45">
        <v>0</v>
      </c>
      <c r="AI45">
        <v>1.6835016835016474E-3</v>
      </c>
      <c r="AJ45">
        <v>-7.9787234042553862E-3</v>
      </c>
      <c r="AK45">
        <v>4.9999999999999906E-2</v>
      </c>
      <c r="AL45">
        <v>0</v>
      </c>
      <c r="AM45">
        <v>-5.1162790697674571E-2</v>
      </c>
      <c r="AN45">
        <v>2.222222222222224E-2</v>
      </c>
      <c r="AO45">
        <v>-0.11111111111111106</v>
      </c>
      <c r="AP45">
        <v>8.1967213114754172E-3</v>
      </c>
      <c r="AQ45">
        <v>6.9565217391304418E-2</v>
      </c>
      <c r="AR45">
        <v>-1.5822784810126524E-2</v>
      </c>
      <c r="AS45">
        <v>-4.1666666666666706E-2</v>
      </c>
      <c r="AT45">
        <v>0.2777777777777779</v>
      </c>
      <c r="AU45">
        <v>-6.7114093959731603E-3</v>
      </c>
      <c r="AV45">
        <v>-1.5151515151514996E-2</v>
      </c>
      <c r="AW45">
        <v>0</v>
      </c>
      <c r="AX45">
        <v>2.1126760563380302E-2</v>
      </c>
      <c r="AY45">
        <v>3.8461538461538491E-2</v>
      </c>
      <c r="AZ45">
        <v>-3.5843920145190528E-2</v>
      </c>
      <c r="BA45">
        <v>0</v>
      </c>
      <c r="BB45">
        <v>1.2820512820512832E-2</v>
      </c>
      <c r="BC45">
        <v>-1.1494252873563178E-2</v>
      </c>
      <c r="BD45">
        <v>0</v>
      </c>
      <c r="BE45">
        <v>-1.5772870662460511E-2</v>
      </c>
      <c r="BF45">
        <v>-7.1684587813620132E-3</v>
      </c>
      <c r="BG45">
        <v>3.1195840554592673E-2</v>
      </c>
      <c r="BH45">
        <v>-7.4074074074074138E-3</v>
      </c>
      <c r="BI45">
        <v>-1.7301038062283676E-2</v>
      </c>
      <c r="BJ45">
        <v>0.1093750000000001</v>
      </c>
      <c r="BK45">
        <v>0</v>
      </c>
      <c r="BL45">
        <v>-0.22727272727272713</v>
      </c>
      <c r="BM45">
        <v>7.936507936507943E-3</v>
      </c>
      <c r="BN45">
        <v>-0.12499999999999993</v>
      </c>
      <c r="BO45">
        <v>-0.15384615384615385</v>
      </c>
      <c r="BP45">
        <v>-3.7383177570093282E-2</v>
      </c>
      <c r="BR45">
        <v>-6.7796610169491595E-2</v>
      </c>
      <c r="BS45">
        <v>0</v>
      </c>
      <c r="BT45">
        <v>3.571428571428574E-2</v>
      </c>
      <c r="BU45">
        <v>0</v>
      </c>
      <c r="BV45">
        <v>0</v>
      </c>
      <c r="BW45">
        <v>-2.4590163934426253E-2</v>
      </c>
      <c r="BX45">
        <v>0</v>
      </c>
      <c r="BY45">
        <v>-6.1728395061727073E-3</v>
      </c>
      <c r="BZ45">
        <v>-3.4883720930232592E-2</v>
      </c>
      <c r="CA45">
        <v>5.2631578947368467E-2</v>
      </c>
      <c r="CB45">
        <v>-5.22388059701493E-2</v>
      </c>
      <c r="CC45">
        <v>0</v>
      </c>
      <c r="CD45">
        <v>1.2643678160919681E-2</v>
      </c>
      <c r="CE45">
        <v>2.7510316368638266E-2</v>
      </c>
      <c r="CF45">
        <v>-2.9850746268656079E-3</v>
      </c>
      <c r="CG45">
        <v>-0.12666666666666662</v>
      </c>
      <c r="CH45">
        <v>0</v>
      </c>
      <c r="CI45">
        <v>-2.197802197802151E-3</v>
      </c>
      <c r="CJ45">
        <v>-0.11764705882352934</v>
      </c>
      <c r="CK45">
        <v>-7.8431372549019537E-2</v>
      </c>
      <c r="CL45">
        <v>9.174311926605512E-2</v>
      </c>
      <c r="CM45">
        <v>5.2910052910052963E-2</v>
      </c>
      <c r="CN45">
        <v>0</v>
      </c>
      <c r="CO45">
        <v>2.8169014084507067E-2</v>
      </c>
      <c r="CP45">
        <v>0</v>
      </c>
      <c r="CQ45">
        <v>-7.0175438596491099E-2</v>
      </c>
      <c r="CR45">
        <v>-4.2201834862385233E-2</v>
      </c>
      <c r="CS45">
        <v>0</v>
      </c>
      <c r="CT45">
        <v>1.3550135501355086E-2</v>
      </c>
      <c r="CU45">
        <v>-1.345291479820619E-2</v>
      </c>
      <c r="CV45">
        <v>0</v>
      </c>
      <c r="CW45">
        <v>1.5414258188824675E-2</v>
      </c>
      <c r="CX45">
        <v>-6.8421052631578896E-2</v>
      </c>
      <c r="CY45">
        <v>1.3157894736842059E-2</v>
      </c>
      <c r="CZ45">
        <v>9.0909090909090814E-2</v>
      </c>
      <c r="DA45">
        <v>-0.17492711370262393</v>
      </c>
      <c r="DB45">
        <v>3.4482758620689495E-2</v>
      </c>
      <c r="DC45">
        <v>-0.24918032786885241</v>
      </c>
      <c r="DD45">
        <v>3.0303030303030217E-2</v>
      </c>
      <c r="DE45">
        <v>-8.8000000000000023E-2</v>
      </c>
      <c r="DF45">
        <v>-0.15306122448979595</v>
      </c>
      <c r="DH45">
        <v>-5.8091286307053805E-2</v>
      </c>
      <c r="DI45">
        <v>3.9106145251396683E-2</v>
      </c>
      <c r="DJ45">
        <v>-2.1472392638036762E-2</v>
      </c>
      <c r="DK45">
        <v>5.4237288135593267E-2</v>
      </c>
      <c r="DL45">
        <v>1.3513513513513424E-2</v>
      </c>
      <c r="DM45">
        <v>0</v>
      </c>
      <c r="DN45">
        <v>0</v>
      </c>
      <c r="DO45">
        <v>-4.3243243243243162E-2</v>
      </c>
    </row>
    <row r="46" spans="1:119" x14ac:dyDescent="0.3">
      <c r="A46" s="64" t="s">
        <v>9088</v>
      </c>
      <c r="B46">
        <v>-0.11201866977829628</v>
      </c>
      <c r="D46">
        <v>-0.11555555555555547</v>
      </c>
      <c r="E46">
        <v>-1.986754966887419E-2</v>
      </c>
      <c r="F46">
        <v>-0.1666666666666666</v>
      </c>
      <c r="H46">
        <v>-9.8039215686274595E-3</v>
      </c>
      <c r="I46">
        <v>3.676470588235297E-2</v>
      </c>
      <c r="J46">
        <v>0</v>
      </c>
      <c r="K46">
        <v>2.7027027027026956E-2</v>
      </c>
      <c r="L46">
        <v>-1.980198019801982E-2</v>
      </c>
      <c r="M46">
        <v>9.2465753424657543E-2</v>
      </c>
      <c r="N46">
        <v>0</v>
      </c>
      <c r="O46">
        <v>0</v>
      </c>
      <c r="P46">
        <v>0</v>
      </c>
      <c r="Q46">
        <v>-1.9323671497584453E-2</v>
      </c>
      <c r="R46">
        <v>0</v>
      </c>
      <c r="S46">
        <v>2.0000000000000018E-2</v>
      </c>
      <c r="T46">
        <v>-1.2345679012345689E-2</v>
      </c>
      <c r="U46">
        <v>3.571428571428574E-2</v>
      </c>
      <c r="V46">
        <v>-1.7449664429530186E-2</v>
      </c>
      <c r="W46">
        <v>-3.5087719298245647E-2</v>
      </c>
      <c r="X46">
        <v>-3.6964980544746985E-2</v>
      </c>
      <c r="Y46">
        <v>0</v>
      </c>
      <c r="Z46">
        <v>0</v>
      </c>
      <c r="AA46">
        <v>-3.6923076923076954E-2</v>
      </c>
      <c r="AB46">
        <v>-4.6956521739130362E-2</v>
      </c>
      <c r="AC46">
        <v>-0.30857142857142872</v>
      </c>
      <c r="AD46">
        <v>-2.0833333333333353E-2</v>
      </c>
      <c r="AE46">
        <v>0</v>
      </c>
      <c r="AF46">
        <v>7.4418604651162856E-3</v>
      </c>
      <c r="AG46">
        <v>-1.1188811188811197E-2</v>
      </c>
      <c r="AH46">
        <v>4.4117647058823567E-2</v>
      </c>
      <c r="AI46">
        <v>-1.5025041736227021E-2</v>
      </c>
      <c r="AJ46">
        <v>-3.538663171690689E-2</v>
      </c>
      <c r="AK46">
        <v>0.11111111111111122</v>
      </c>
      <c r="AL46">
        <v>0</v>
      </c>
      <c r="AM46">
        <v>0</v>
      </c>
      <c r="AN46">
        <v>1.7241379310344654E-2</v>
      </c>
      <c r="AO46">
        <v>0</v>
      </c>
      <c r="AP46">
        <v>0</v>
      </c>
      <c r="AQ46">
        <v>-5.2863436123348068E-2</v>
      </c>
      <c r="AR46">
        <v>-3.3333333333333361E-2</v>
      </c>
      <c r="AS46">
        <v>-1.7647058823529429E-2</v>
      </c>
      <c r="AT46">
        <v>-5.1282051282051329E-2</v>
      </c>
      <c r="AU46">
        <v>-5.0847457627118613E-2</v>
      </c>
      <c r="AV46">
        <v>1.4705882352941025E-2</v>
      </c>
      <c r="AW46">
        <v>-3.4482758620689689E-2</v>
      </c>
      <c r="AX46">
        <v>3.4722222222222099E-2</v>
      </c>
      <c r="AY46">
        <v>0</v>
      </c>
      <c r="AZ46">
        <v>-4.3612334801762201E-2</v>
      </c>
      <c r="BA46">
        <v>0</v>
      </c>
      <c r="BB46">
        <v>-2.5316455696202552E-2</v>
      </c>
      <c r="BC46">
        <v>-9.302325581395357E-2</v>
      </c>
      <c r="BD46">
        <v>0</v>
      </c>
      <c r="BE46">
        <v>-3.9755351681957291E-2</v>
      </c>
      <c r="BF46">
        <v>3.4602076124568273E-3</v>
      </c>
      <c r="BG46">
        <v>-6.7150635208711451E-2</v>
      </c>
      <c r="BH46">
        <v>-9.5588235294117557E-2</v>
      </c>
      <c r="BI46">
        <v>3.6496350364964344E-3</v>
      </c>
      <c r="BJ46">
        <v>0.12499999999999993</v>
      </c>
      <c r="BK46">
        <v>-1</v>
      </c>
      <c r="BL46">
        <v>-2.2058823529411783E-2</v>
      </c>
      <c r="BM46">
        <v>3.1250000000000028E-2</v>
      </c>
      <c r="BN46">
        <v>0.12499999999999993</v>
      </c>
      <c r="BO46">
        <v>-2.5974025974025997E-2</v>
      </c>
      <c r="BP46">
        <v>-2.7522935779816536E-2</v>
      </c>
      <c r="BQ46">
        <v>-0.15662650602409639</v>
      </c>
      <c r="BR46">
        <v>0.1276595744680851</v>
      </c>
      <c r="BS46">
        <v>0</v>
      </c>
      <c r="BT46">
        <v>-1.6666666666666684E-2</v>
      </c>
      <c r="BU46">
        <v>-0.1999999999999999</v>
      </c>
      <c r="BV46">
        <v>-4.035874439461877E-2</v>
      </c>
      <c r="BW46">
        <v>-1.6666666666666684E-2</v>
      </c>
      <c r="BX46">
        <v>0</v>
      </c>
      <c r="BY46">
        <v>6.1728395061727073E-3</v>
      </c>
      <c r="BZ46">
        <v>-0.26380368098159523</v>
      </c>
      <c r="CA46">
        <v>0</v>
      </c>
      <c r="CB46">
        <v>-2.6890756302520882E-2</v>
      </c>
      <c r="CC46">
        <v>4.3478260869565251E-2</v>
      </c>
      <c r="CD46">
        <v>-7.0238095238095433E-2</v>
      </c>
      <c r="CE46">
        <v>-4.1958041958041932E-2</v>
      </c>
      <c r="CF46">
        <v>-1.8018018018018035E-2</v>
      </c>
      <c r="CG46">
        <v>-0.11851851851851845</v>
      </c>
      <c r="CH46">
        <v>0</v>
      </c>
      <c r="CI46">
        <v>1.511879049676013E-2</v>
      </c>
      <c r="CJ46">
        <v>-0.32608695652173919</v>
      </c>
      <c r="CK46">
        <v>1.2658227848101276E-2</v>
      </c>
      <c r="CL46">
        <v>-4.4943820224720137E-3</v>
      </c>
      <c r="CM46">
        <v>2.7173913043478284E-2</v>
      </c>
      <c r="CN46">
        <v>0.10526315789473679</v>
      </c>
      <c r="CO46">
        <v>-1.3888888888888902E-2</v>
      </c>
      <c r="CP46">
        <v>8.3333333333333301E-2</v>
      </c>
      <c r="CQ46">
        <v>-9.0909090909090974E-3</v>
      </c>
      <c r="CR46">
        <v>3.3333333333333243E-2</v>
      </c>
      <c r="CS46">
        <v>0</v>
      </c>
      <c r="CT46">
        <v>-2.0887728459530044E-2</v>
      </c>
      <c r="CU46">
        <v>0.1441048034934497</v>
      </c>
      <c r="CV46">
        <v>4.6242774566474028E-2</v>
      </c>
      <c r="CW46">
        <v>-2.0703933747411935E-2</v>
      </c>
      <c r="CX46">
        <v>-4.7619047619047714E-2</v>
      </c>
      <c r="CY46">
        <v>6.0273972602739784E-2</v>
      </c>
      <c r="CZ46">
        <v>0</v>
      </c>
      <c r="DA46">
        <v>-0.13609467455621313</v>
      </c>
      <c r="DB46">
        <v>-7.9051383399209568E-3</v>
      </c>
      <c r="DC46">
        <v>0</v>
      </c>
      <c r="DD46">
        <v>-6.7708333333333287E-2</v>
      </c>
      <c r="DE46">
        <v>-2.0671834625323016E-2</v>
      </c>
      <c r="DF46">
        <v>0.31460674157303375</v>
      </c>
      <c r="DH46">
        <v>-7.1844660194174778E-2</v>
      </c>
      <c r="DI46">
        <v>1.3368983957219322E-2</v>
      </c>
      <c r="DJ46">
        <v>-9.1743119266055814E-3</v>
      </c>
      <c r="DK46">
        <v>-3.2679738562091533E-2</v>
      </c>
      <c r="DL46">
        <v>-4.4052863436122407E-3</v>
      </c>
      <c r="DM46">
        <v>-3.9024390243902474E-2</v>
      </c>
      <c r="DN46">
        <v>4.0000000000000036E-2</v>
      </c>
      <c r="DO46">
        <v>1.9815059445178265E-2</v>
      </c>
    </row>
    <row r="47" spans="1:119" x14ac:dyDescent="0.3">
      <c r="A47" s="64" t="s">
        <v>9089</v>
      </c>
      <c r="B47">
        <v>9.0710382513661203E-2</v>
      </c>
      <c r="D47">
        <v>-8.928571428571435E-3</v>
      </c>
      <c r="E47">
        <v>-6.9696969696969702E-2</v>
      </c>
      <c r="F47">
        <v>0</v>
      </c>
      <c r="H47">
        <v>-9.7087378640776777E-3</v>
      </c>
      <c r="I47">
        <v>-1.5151515151515164E-2</v>
      </c>
      <c r="J47">
        <v>1.6666666666666684E-2</v>
      </c>
      <c r="K47">
        <v>3.7868162692847193E-2</v>
      </c>
      <c r="L47">
        <v>2.8301886792452855E-2</v>
      </c>
      <c r="M47">
        <v>-3.1250000000000104E-2</v>
      </c>
      <c r="N47">
        <v>0</v>
      </c>
      <c r="O47">
        <v>0</v>
      </c>
      <c r="P47">
        <v>-0.33333333333333343</v>
      </c>
      <c r="Q47">
        <v>7.3604060913705485E-2</v>
      </c>
      <c r="R47">
        <v>0.14184397163120566</v>
      </c>
      <c r="S47">
        <v>0.14705882352941171</v>
      </c>
      <c r="T47">
        <v>-2.5316455696202413E-2</v>
      </c>
      <c r="U47">
        <v>0.10675381263616553</v>
      </c>
      <c r="V47">
        <v>-9.3333333333333705E-3</v>
      </c>
      <c r="W47">
        <v>-0.25641025641025644</v>
      </c>
      <c r="X47">
        <v>-2.3076923076923096E-2</v>
      </c>
      <c r="Y47">
        <v>0.12499999999999993</v>
      </c>
      <c r="Z47">
        <v>0</v>
      </c>
      <c r="AA47">
        <v>-7.6804915514592665E-3</v>
      </c>
      <c r="AB47">
        <v>3.7230948225712657E-2</v>
      </c>
      <c r="AC47">
        <v>-6.6265060240963777E-2</v>
      </c>
      <c r="AD47">
        <v>0.28888888888888892</v>
      </c>
      <c r="AE47">
        <v>0</v>
      </c>
      <c r="AF47">
        <v>-7.932263814616744E-2</v>
      </c>
      <c r="AG47">
        <v>-4.4795783926218691E-2</v>
      </c>
      <c r="AH47">
        <v>0</v>
      </c>
      <c r="AI47">
        <v>-2.0066889632107041E-2</v>
      </c>
      <c r="AJ47">
        <v>2.4707412223667149E-2</v>
      </c>
      <c r="AK47">
        <v>5.8823529411764594E-2</v>
      </c>
      <c r="AL47">
        <v>0</v>
      </c>
      <c r="AM47">
        <v>-1.2345679012345599E-2</v>
      </c>
      <c r="AN47">
        <v>-0.12280701754385957</v>
      </c>
      <c r="AO47">
        <v>0</v>
      </c>
      <c r="AP47">
        <v>-1.6000000000000014E-2</v>
      </c>
      <c r="AQ47">
        <v>5.2132701421800889E-2</v>
      </c>
      <c r="AR47">
        <v>-3.6065573770491764E-2</v>
      </c>
      <c r="AS47">
        <v>-5.0847457627118564E-2</v>
      </c>
      <c r="AT47">
        <v>6.8965517241379379E-2</v>
      </c>
      <c r="AU47">
        <v>-1.0101010101010034E-2</v>
      </c>
      <c r="AV47">
        <v>0</v>
      </c>
      <c r="AW47">
        <v>-0.17241379310344826</v>
      </c>
      <c r="AX47">
        <v>7.0921985815602905E-3</v>
      </c>
      <c r="AY47">
        <v>4.1666666666666706E-2</v>
      </c>
      <c r="AZ47">
        <v>-1.3622818220519382E-2</v>
      </c>
      <c r="BA47">
        <v>0</v>
      </c>
      <c r="BB47">
        <v>1.2820512820512832E-2</v>
      </c>
      <c r="BC47">
        <v>-0.1149425287356322</v>
      </c>
      <c r="BD47">
        <v>-2.9411764705882214E-2</v>
      </c>
      <c r="BE47">
        <v>1.2048192771084348E-2</v>
      </c>
      <c r="BF47">
        <v>0</v>
      </c>
      <c r="BG47">
        <v>-7.3170731707317013E-2</v>
      </c>
      <c r="BH47">
        <v>0.29197080291970795</v>
      </c>
      <c r="BI47">
        <v>1.7921146953404955E-2</v>
      </c>
      <c r="BJ47">
        <v>3.5087719298245647E-2</v>
      </c>
      <c r="BK47">
        <v>0</v>
      </c>
      <c r="BL47">
        <v>-6.6265060240963916E-2</v>
      </c>
      <c r="BM47">
        <v>-0.14285714285714279</v>
      </c>
      <c r="BN47">
        <v>-0.22222222222222227</v>
      </c>
      <c r="BO47">
        <v>5.4945054945054993E-2</v>
      </c>
      <c r="BP47">
        <v>-8.8495575221239024E-3</v>
      </c>
      <c r="BQ47">
        <v>-7.0588235294117715E-2</v>
      </c>
      <c r="BR47">
        <v>-5.882352941176465E-2</v>
      </c>
      <c r="BS47">
        <v>0</v>
      </c>
      <c r="BT47">
        <v>-5.1724137931034531E-2</v>
      </c>
      <c r="BU47">
        <v>0</v>
      </c>
      <c r="BV47">
        <v>5.1569506726457298E-2</v>
      </c>
      <c r="BW47">
        <v>-2.4390243902439046E-2</v>
      </c>
      <c r="BX47">
        <v>0</v>
      </c>
      <c r="BY47">
        <v>-1.2269938650306624E-2</v>
      </c>
      <c r="BZ47">
        <v>8.8757396449704221E-2</v>
      </c>
      <c r="CA47">
        <v>-0.33333333333333331</v>
      </c>
      <c r="CB47">
        <v>-1.2841091492776896E-2</v>
      </c>
      <c r="CC47">
        <v>4.3478260869565251E-2</v>
      </c>
      <c r="CD47">
        <v>-4.463208685162838E-2</v>
      </c>
      <c r="CE47">
        <v>-1.5827338129496448E-2</v>
      </c>
      <c r="CF47">
        <v>2.9940119760478406E-3</v>
      </c>
      <c r="CG47">
        <v>7.7922077922077851E-2</v>
      </c>
      <c r="CH47">
        <v>0</v>
      </c>
      <c r="CI47">
        <v>-4.5258620689655166E-2</v>
      </c>
      <c r="CJ47">
        <v>-9.9999999999999867E-2</v>
      </c>
      <c r="CK47">
        <v>-1.1764705882352951E-2</v>
      </c>
      <c r="CL47">
        <v>7.1604938271605065E-2</v>
      </c>
      <c r="CM47">
        <v>0.16666666666666669</v>
      </c>
      <c r="CN47">
        <v>-0.31578947368421051</v>
      </c>
      <c r="CO47">
        <v>5.7142857142857037E-2</v>
      </c>
      <c r="CP47">
        <v>0</v>
      </c>
      <c r="CQ47">
        <v>2.1186440677966028E-2</v>
      </c>
      <c r="CR47">
        <v>-4.7217537942664312E-2</v>
      </c>
      <c r="CS47">
        <v>0.28571428571428575</v>
      </c>
      <c r="CT47">
        <v>2.6455026455025894E-3</v>
      </c>
      <c r="CU47">
        <v>0</v>
      </c>
      <c r="CV47">
        <v>-1.1560693641618507E-2</v>
      </c>
      <c r="CW47">
        <v>-5.6842105263157992E-2</v>
      </c>
      <c r="CX47">
        <v>-9.4117647058823403E-2</v>
      </c>
      <c r="CY47">
        <v>-7.4999999999999997E-2</v>
      </c>
      <c r="CZ47">
        <v>-1.4705882352941025E-2</v>
      </c>
      <c r="DA47">
        <v>-0.31909547738693456</v>
      </c>
      <c r="DB47">
        <v>-2.8571428571428505E-2</v>
      </c>
      <c r="DC47">
        <v>0</v>
      </c>
      <c r="DD47">
        <v>6.9892473118279508E-2</v>
      </c>
      <c r="DE47">
        <v>-6.9047619047619052E-2</v>
      </c>
      <c r="DF47">
        <v>4.8076923076923121E-2</v>
      </c>
      <c r="DH47">
        <v>6.9981583793738478E-2</v>
      </c>
      <c r="DI47">
        <v>2.2222222222222119E-2</v>
      </c>
      <c r="DJ47">
        <v>3.5928143712574884E-2</v>
      </c>
      <c r="DK47">
        <v>0.11724137931034478</v>
      </c>
      <c r="DL47">
        <v>0</v>
      </c>
      <c r="DM47">
        <v>4.8780487804877017E-3</v>
      </c>
      <c r="DN47">
        <v>0.19999999999999996</v>
      </c>
      <c r="DO47">
        <v>2.5348542458809207E-3</v>
      </c>
    </row>
    <row r="48" spans="1:119" x14ac:dyDescent="0.3">
      <c r="A48" s="64" t="s">
        <v>9090</v>
      </c>
      <c r="B48">
        <v>2.9673590504450406E-3</v>
      </c>
      <c r="D48">
        <v>8.0000000000000071E-3</v>
      </c>
      <c r="E48">
        <v>6.8452380952380945E-2</v>
      </c>
      <c r="F48">
        <v>0.11111111111111106</v>
      </c>
      <c r="H48">
        <v>9.6153846153846229E-3</v>
      </c>
      <c r="I48">
        <v>6.2992125984252023E-2</v>
      </c>
      <c r="J48">
        <v>1.6666666666666684E-2</v>
      </c>
      <c r="K48">
        <v>3.3141210374639699E-2</v>
      </c>
      <c r="L48">
        <v>0</v>
      </c>
      <c r="M48">
        <v>0.11111111111111113</v>
      </c>
      <c r="N48">
        <v>1.6949152542372899E-2</v>
      </c>
      <c r="O48">
        <v>0</v>
      </c>
      <c r="P48">
        <v>0.33333333333333343</v>
      </c>
      <c r="Q48">
        <v>8.2089552238805999E-2</v>
      </c>
      <c r="R48">
        <v>7.0921985815602905E-3</v>
      </c>
      <c r="S48">
        <v>-0.15151515151515146</v>
      </c>
      <c r="T48">
        <v>1.2499999999999872E-2</v>
      </c>
      <c r="U48">
        <v>9.0293453724605045E-3</v>
      </c>
      <c r="V48">
        <v>-3.2765399737876802E-2</v>
      </c>
      <c r="W48">
        <v>8.2644628099173261E-3</v>
      </c>
      <c r="X48">
        <v>5.5658627087197335E-3</v>
      </c>
      <c r="Y48">
        <v>-0.12499999999999993</v>
      </c>
      <c r="Z48">
        <v>-1</v>
      </c>
      <c r="AA48">
        <v>0</v>
      </c>
      <c r="AB48">
        <v>1.2777777777777801E-2</v>
      </c>
      <c r="AC48">
        <v>4.999999999999994E-2</v>
      </c>
      <c r="AD48">
        <v>-6.5217391304347755E-2</v>
      </c>
      <c r="AE48">
        <v>0</v>
      </c>
      <c r="AF48">
        <v>-6.1041292639138371E-2</v>
      </c>
      <c r="AG48">
        <v>4.6936114732724826E-2</v>
      </c>
      <c r="AH48">
        <v>-3.0769230769230795E-2</v>
      </c>
      <c r="AI48">
        <v>-8.2372322899505468E-3</v>
      </c>
      <c r="AJ48">
        <v>0</v>
      </c>
      <c r="AK48">
        <v>0</v>
      </c>
      <c r="AL48">
        <v>0</v>
      </c>
      <c r="AM48">
        <v>2.8806584362139849E-2</v>
      </c>
      <c r="AN48">
        <v>8.9285714285714357E-2</v>
      </c>
      <c r="AO48">
        <v>0</v>
      </c>
      <c r="AP48">
        <v>-8.0000000000000071E-3</v>
      </c>
      <c r="AQ48">
        <v>-1.7937219730941721E-2</v>
      </c>
      <c r="AR48">
        <v>-2.8571428571428668E-2</v>
      </c>
      <c r="AS48">
        <v>4.999999999999992E-2</v>
      </c>
      <c r="AT48">
        <v>9.6774193548387011E-2</v>
      </c>
      <c r="AU48">
        <v>1.2820512820512832E-2</v>
      </c>
      <c r="AV48">
        <v>2.2058823529411783E-2</v>
      </c>
      <c r="AW48">
        <v>0</v>
      </c>
      <c r="AX48">
        <v>7.3529411764705942E-3</v>
      </c>
      <c r="AY48">
        <v>0</v>
      </c>
      <c r="AZ48">
        <v>-7.3529411764705769E-3</v>
      </c>
      <c r="BA48">
        <v>0.16666666666666663</v>
      </c>
      <c r="BB48">
        <v>1.2500000000000011E-2</v>
      </c>
      <c r="BC48">
        <v>-1.0526315789473648E-2</v>
      </c>
      <c r="BD48">
        <v>0</v>
      </c>
      <c r="BE48">
        <v>1.1594202898550735E-2</v>
      </c>
      <c r="BF48">
        <v>1.7241379310344768E-2</v>
      </c>
      <c r="BG48">
        <v>4.9122807017543901E-2</v>
      </c>
      <c r="BH48">
        <v>8.0000000000000071E-2</v>
      </c>
      <c r="BI48">
        <v>-1.0791366906474751E-2</v>
      </c>
      <c r="BJ48">
        <v>6.122448979591831E-2</v>
      </c>
      <c r="BK48">
        <v>0</v>
      </c>
      <c r="BL48">
        <v>-1.1834319526627229E-2</v>
      </c>
      <c r="BM48">
        <v>-6.5573770491803338E-2</v>
      </c>
      <c r="BN48">
        <v>-0.24999999999999986</v>
      </c>
      <c r="BO48">
        <v>0</v>
      </c>
      <c r="BP48">
        <v>-8.6206896551724223E-3</v>
      </c>
      <c r="BQ48">
        <v>9.1836734693877639E-2</v>
      </c>
      <c r="BR48">
        <v>4.4444444444444363E-2</v>
      </c>
      <c r="BT48">
        <v>5.0847457627118689E-2</v>
      </c>
      <c r="BU48">
        <v>-8.3333333333333412E-2</v>
      </c>
      <c r="BV48">
        <v>1.077586206896548E-2</v>
      </c>
      <c r="BW48">
        <v>8.0000000000000071E-3</v>
      </c>
      <c r="BX48">
        <v>0</v>
      </c>
      <c r="BY48">
        <v>-1.8518518518518535E-2</v>
      </c>
      <c r="BZ48">
        <v>-0.23584905660377367</v>
      </c>
      <c r="CA48">
        <v>5.5555555555555455E-2</v>
      </c>
      <c r="CB48">
        <v>-5.1643192488262928E-2</v>
      </c>
      <c r="CC48">
        <v>9.090909090909087E-2</v>
      </c>
      <c r="CD48">
        <v>-3.3783783783783061E-3</v>
      </c>
      <c r="CE48">
        <v>-7.4482758620689662E-2</v>
      </c>
      <c r="CF48">
        <v>-9.1176470588235317E-2</v>
      </c>
      <c r="CG48">
        <v>1.7647058823529429E-2</v>
      </c>
      <c r="CH48">
        <v>0</v>
      </c>
      <c r="CI48">
        <v>2.1881838074398363E-2</v>
      </c>
      <c r="CJ48">
        <v>9.2307692307692216E-2</v>
      </c>
      <c r="CK48">
        <v>5.9523809523809581E-3</v>
      </c>
      <c r="CL48">
        <v>4.9140049140049182E-3</v>
      </c>
      <c r="CM48">
        <v>1.1834319526627229E-2</v>
      </c>
      <c r="CN48">
        <v>0</v>
      </c>
      <c r="CO48">
        <v>4.2253521126760604E-2</v>
      </c>
      <c r="CP48">
        <v>0.27272727272727271</v>
      </c>
      <c r="CQ48">
        <v>0.13865546218487398</v>
      </c>
      <c r="CR48">
        <v>2.0905923344947598E-2</v>
      </c>
      <c r="CS48">
        <v>0</v>
      </c>
      <c r="CT48">
        <v>6.9948186528497422E-2</v>
      </c>
      <c r="CU48">
        <v>3.0150753768844248E-2</v>
      </c>
      <c r="CV48">
        <v>2.4242424242424267E-2</v>
      </c>
      <c r="CW48">
        <v>8.2474226804123783E-3</v>
      </c>
      <c r="CX48">
        <v>-0.43018018018018017</v>
      </c>
      <c r="CY48">
        <v>7.3964497041420121E-2</v>
      </c>
      <c r="CZ48">
        <v>1.4705882352941025E-2</v>
      </c>
      <c r="DA48">
        <v>-0.2162162162162162</v>
      </c>
      <c r="DB48">
        <v>-4.0485829959513303E-3</v>
      </c>
      <c r="DC48">
        <v>0.20078740157480324</v>
      </c>
      <c r="DD48">
        <v>0</v>
      </c>
      <c r="DE48">
        <v>-7.0093457943925186E-2</v>
      </c>
      <c r="DF48">
        <v>6.5789473684210439E-2</v>
      </c>
      <c r="DH48">
        <v>-1.3793103448275874E-2</v>
      </c>
      <c r="DI48">
        <v>6.7605633802816964E-2</v>
      </c>
      <c r="DJ48">
        <v>-8.9020771513352529E-3</v>
      </c>
      <c r="DK48">
        <v>-8.3333333333333329E-2</v>
      </c>
      <c r="DL48">
        <v>1.3333333333333246E-2</v>
      </c>
      <c r="DM48">
        <v>-3.7558685446009425E-2</v>
      </c>
      <c r="DN48">
        <v>0</v>
      </c>
      <c r="DO48">
        <v>4.521963824289401E-2</v>
      </c>
    </row>
    <row r="49" spans="1:119" x14ac:dyDescent="0.3">
      <c r="A49" s="64" t="s">
        <v>9091</v>
      </c>
      <c r="B49">
        <v>-5.9267241379310429E-2</v>
      </c>
      <c r="D49">
        <v>3.1746031746031772E-2</v>
      </c>
      <c r="E49">
        <v>3.8997214484679577E-2</v>
      </c>
      <c r="F49">
        <v>-0.11111111111111106</v>
      </c>
      <c r="H49">
        <v>9.5238095238095316E-3</v>
      </c>
      <c r="I49">
        <v>1.5503875968992262E-2</v>
      </c>
      <c r="J49">
        <v>-1.6949152542372899E-2</v>
      </c>
      <c r="K49">
        <v>5.0974512743628297E-2</v>
      </c>
      <c r="L49">
        <v>9.5238095238095316E-3</v>
      </c>
      <c r="M49">
        <v>0</v>
      </c>
      <c r="N49">
        <v>-1.6949152542372899E-2</v>
      </c>
      <c r="O49">
        <v>0</v>
      </c>
      <c r="P49">
        <v>0.24999999999999994</v>
      </c>
      <c r="Q49">
        <v>3.2171581769437026E-2</v>
      </c>
      <c r="R49">
        <v>0.16528925619834708</v>
      </c>
      <c r="S49">
        <v>-0.39285714285714279</v>
      </c>
      <c r="T49">
        <v>-2.4390243902438911E-2</v>
      </c>
      <c r="U49">
        <v>0</v>
      </c>
      <c r="V49">
        <v>4.2857142857142864E-2</v>
      </c>
      <c r="W49">
        <v>-6.6225165562913912E-2</v>
      </c>
      <c r="X49">
        <v>-5.0816696914700428E-2</v>
      </c>
      <c r="Y49">
        <v>0</v>
      </c>
      <c r="Z49">
        <v>0</v>
      </c>
      <c r="AA49">
        <v>-4.4117647058823505E-2</v>
      </c>
      <c r="AB49">
        <v>-8.0645161290322908E-3</v>
      </c>
      <c r="AC49">
        <v>-0.23809523809523803</v>
      </c>
      <c r="AD49">
        <v>3.0303030303030328E-2</v>
      </c>
      <c r="AE49">
        <v>0</v>
      </c>
      <c r="AF49">
        <v>-4.9044056525353277E-2</v>
      </c>
      <c r="AG49">
        <v>0.10736579275905123</v>
      </c>
      <c r="AH49">
        <v>-4.6153846153846025E-2</v>
      </c>
      <c r="AI49">
        <v>-2.7463651050080761E-2</v>
      </c>
      <c r="AJ49">
        <v>1.2870012870012826E-2</v>
      </c>
      <c r="AK49">
        <v>0</v>
      </c>
      <c r="AL49">
        <v>-1.9999999999999996</v>
      </c>
      <c r="AM49">
        <v>-2.0325203252032447E-2</v>
      </c>
      <c r="AN49">
        <v>-3.1746031746031772E-2</v>
      </c>
      <c r="AO49">
        <v>0.32558139534883723</v>
      </c>
      <c r="AP49">
        <v>-2.3622047244094509E-2</v>
      </c>
      <c r="AQ49">
        <v>0.12264150943396236</v>
      </c>
      <c r="AR49">
        <v>6.1349693251533804E-3</v>
      </c>
      <c r="AS49">
        <v>-3.703703703703707E-2</v>
      </c>
      <c r="AT49">
        <v>-0.17241379310344826</v>
      </c>
      <c r="AU49">
        <v>-4.7619047619047596E-2</v>
      </c>
      <c r="AV49">
        <v>-7.3529411764705942E-3</v>
      </c>
      <c r="AW49">
        <v>-0.28571428571428581</v>
      </c>
      <c r="AX49">
        <v>1.4814814814814828E-2</v>
      </c>
      <c r="AY49">
        <v>0</v>
      </c>
      <c r="AZ49">
        <v>2.0161290322580645E-2</v>
      </c>
      <c r="BA49">
        <v>0</v>
      </c>
      <c r="BB49">
        <v>-5.0632911392404965E-2</v>
      </c>
      <c r="BC49">
        <v>-4.7619047619047616E-2</v>
      </c>
      <c r="BD49">
        <v>-2.8571428571428598E-2</v>
      </c>
      <c r="BE49">
        <v>2.9325513196481615E-3</v>
      </c>
      <c r="BF49">
        <v>0</v>
      </c>
      <c r="BG49">
        <v>8.2101806239736983E-3</v>
      </c>
      <c r="BH49">
        <v>3.636363636363639E-2</v>
      </c>
      <c r="BI49">
        <v>-1.8315018315018413E-2</v>
      </c>
      <c r="BJ49">
        <v>0</v>
      </c>
      <c r="BK49">
        <v>0</v>
      </c>
      <c r="BL49">
        <v>-0.24999999999999997</v>
      </c>
      <c r="BM49">
        <v>2.8571428571428598E-2</v>
      </c>
      <c r="BN49">
        <v>-0.10000000000000009</v>
      </c>
      <c r="BO49">
        <v>0</v>
      </c>
      <c r="BP49">
        <v>0</v>
      </c>
      <c r="BQ49">
        <v>9.6153846153846229E-3</v>
      </c>
      <c r="BR49">
        <v>0.16666666666666671</v>
      </c>
      <c r="BT49">
        <v>4.8387096774193415E-2</v>
      </c>
      <c r="BU49">
        <v>0.16666666666666671</v>
      </c>
      <c r="BV49">
        <v>-4.5351473922902334E-2</v>
      </c>
      <c r="BW49">
        <v>-2.3437500000000021E-2</v>
      </c>
      <c r="BX49">
        <v>0</v>
      </c>
      <c r="BY49">
        <v>2.4390243902439046E-2</v>
      </c>
      <c r="BZ49">
        <v>-0.30964467005076135</v>
      </c>
      <c r="CA49">
        <v>8.3333333333333412E-2</v>
      </c>
      <c r="CB49">
        <v>0</v>
      </c>
      <c r="CC49">
        <v>0</v>
      </c>
      <c r="CD49">
        <v>8.6486486486486557E-3</v>
      </c>
      <c r="CE49">
        <v>0</v>
      </c>
      <c r="CF49">
        <v>-2.3598820058996939E-2</v>
      </c>
      <c r="CG49">
        <v>-0.12658227848101261</v>
      </c>
      <c r="CH49">
        <v>0</v>
      </c>
      <c r="CI49">
        <v>-8.7866108786610858E-2</v>
      </c>
      <c r="CJ49">
        <v>-0.60000000000000009</v>
      </c>
      <c r="CK49">
        <v>-7.0588235294117715E-2</v>
      </c>
      <c r="CL49">
        <v>-5.2910052910052963E-2</v>
      </c>
      <c r="CM49">
        <v>0.10714285714285708</v>
      </c>
      <c r="CN49">
        <v>4.3478260869565251E-2</v>
      </c>
      <c r="CO49">
        <v>0.14925373134328354</v>
      </c>
      <c r="CP49">
        <v>0</v>
      </c>
      <c r="CQ49">
        <v>0</v>
      </c>
      <c r="CR49">
        <v>-1.6611295681063065E-2</v>
      </c>
      <c r="CS49">
        <v>0</v>
      </c>
      <c r="CT49">
        <v>-3.8961038961038939E-2</v>
      </c>
      <c r="CU49">
        <v>4.0201005025125552E-2</v>
      </c>
      <c r="CV49">
        <v>5.9880239520956812E-3</v>
      </c>
      <c r="CW49">
        <v>4.4921875000000083E-2</v>
      </c>
      <c r="CX49">
        <v>-0.19628099173553723</v>
      </c>
      <c r="CY49">
        <v>1.3698630136986254E-2</v>
      </c>
      <c r="CZ49">
        <v>-0.11594202898550719</v>
      </c>
      <c r="DA49">
        <v>-0.22241681260945717</v>
      </c>
      <c r="DB49">
        <v>1.5748031496063006E-2</v>
      </c>
      <c r="DC49">
        <v>-1.2007874015748032</v>
      </c>
      <c r="DD49">
        <v>4.8387096774193589E-2</v>
      </c>
      <c r="DE49">
        <v>-4.8140043763676088E-2</v>
      </c>
      <c r="DF49">
        <v>1.4084507042253534E-2</v>
      </c>
      <c r="DH49">
        <v>-6.0885608856088576E-2</v>
      </c>
      <c r="DI49">
        <v>3.4582132564841529E-2</v>
      </c>
      <c r="DJ49">
        <v>-3.0769230769230795E-2</v>
      </c>
      <c r="DK49">
        <v>0.11278195488721814</v>
      </c>
      <c r="DL49">
        <v>4.4444444444445468E-3</v>
      </c>
      <c r="DM49">
        <v>4.7169811320754755E-2</v>
      </c>
      <c r="DN49">
        <v>5.2631578947368467E-2</v>
      </c>
      <c r="DO49">
        <v>1.6839378238341956E-2</v>
      </c>
    </row>
    <row r="50" spans="1:119" x14ac:dyDescent="0.3">
      <c r="A50" s="64" t="s">
        <v>9092</v>
      </c>
      <c r="B50">
        <v>1.4054054054054138E-2</v>
      </c>
      <c r="D50">
        <v>-1.6000000000000014E-2</v>
      </c>
      <c r="E50">
        <v>1.7857142857142873E-2</v>
      </c>
      <c r="F50">
        <v>0</v>
      </c>
      <c r="H50">
        <v>-2.8846153846153872E-2</v>
      </c>
      <c r="I50">
        <v>-4.1322314049586813E-2</v>
      </c>
      <c r="J50">
        <v>-1.7241379310344845E-2</v>
      </c>
      <c r="K50">
        <v>-5.4347826086956603E-2</v>
      </c>
      <c r="L50">
        <v>-9.5238095238095316E-3</v>
      </c>
      <c r="M50">
        <v>7.8838174273858891E-2</v>
      </c>
      <c r="N50">
        <v>-3.4482758620689689E-2</v>
      </c>
      <c r="O50">
        <v>0</v>
      </c>
      <c r="P50">
        <v>0</v>
      </c>
      <c r="Q50">
        <v>-5.8823529411764757E-3</v>
      </c>
      <c r="R50">
        <v>5.0000000000000044E-2</v>
      </c>
      <c r="S50">
        <v>6.0606060606060656E-2</v>
      </c>
      <c r="T50">
        <v>-4.9382716049382755E-2</v>
      </c>
      <c r="U50">
        <v>-7.6923076923077561E-3</v>
      </c>
      <c r="V50">
        <v>1.5094339622641522E-2</v>
      </c>
      <c r="W50">
        <v>7.3333333333333306E-2</v>
      </c>
      <c r="X50">
        <v>5.6569343065693355E-2</v>
      </c>
      <c r="Y50">
        <v>0.12499999999999993</v>
      </c>
      <c r="Z50">
        <v>0</v>
      </c>
      <c r="AA50">
        <v>-5.0000000000000114E-2</v>
      </c>
      <c r="AB50">
        <v>-8.7565674255693018E-3</v>
      </c>
      <c r="AC50">
        <v>-0.16363636363636358</v>
      </c>
      <c r="AD50">
        <v>-5.5555555555555608E-2</v>
      </c>
      <c r="AE50">
        <v>0</v>
      </c>
      <c r="AF50">
        <v>1.1801730920535039E-2</v>
      </c>
      <c r="AG50">
        <v>1.3071895424836555E-2</v>
      </c>
      <c r="AH50">
        <v>-8.9552238805970227E-2</v>
      </c>
      <c r="AI50">
        <v>1.6025641025640682E-3</v>
      </c>
      <c r="AJ50">
        <v>-1.6731016731016717E-2</v>
      </c>
      <c r="AK50">
        <v>7.142857142857148E-2</v>
      </c>
      <c r="AL50">
        <v>0</v>
      </c>
      <c r="AM50">
        <v>2.5104602510460271E-2</v>
      </c>
      <c r="AN50">
        <v>-6.8965517241379379E-2</v>
      </c>
      <c r="AO50">
        <v>0.11627906976744183</v>
      </c>
      <c r="AP50">
        <v>-3.9062500000000035E-2</v>
      </c>
      <c r="AQ50">
        <v>8.7962962962962937E-2</v>
      </c>
      <c r="AR50">
        <v>-6.8656716417910435E-2</v>
      </c>
      <c r="AS50">
        <v>-8.3333333333333287E-2</v>
      </c>
      <c r="AT50">
        <v>0</v>
      </c>
      <c r="AU50">
        <v>0</v>
      </c>
      <c r="AV50">
        <v>-6.7669172932330712E-2</v>
      </c>
      <c r="AW50">
        <v>0</v>
      </c>
      <c r="AX50">
        <v>-3.7313432835820927E-2</v>
      </c>
      <c r="AY50">
        <v>0</v>
      </c>
      <c r="AZ50">
        <v>-1.8815052041633262E-2</v>
      </c>
      <c r="BA50">
        <v>0</v>
      </c>
      <c r="BB50">
        <v>-5.1282051282051329E-2</v>
      </c>
      <c r="BC50">
        <v>1.886792452830182E-2</v>
      </c>
      <c r="BD50">
        <v>-0.11428571428571439</v>
      </c>
      <c r="BE50">
        <v>8.9020771513352529E-3</v>
      </c>
      <c r="BF50">
        <v>-1.7543859649122744E-2</v>
      </c>
      <c r="BG50">
        <v>-3.2702237521514702E-2</v>
      </c>
      <c r="BH50">
        <v>2.0408163265306027E-2</v>
      </c>
      <c r="BI50">
        <v>7.2463768115942099E-3</v>
      </c>
      <c r="BJ50">
        <v>4.5454545454545497E-2</v>
      </c>
      <c r="BK50">
        <v>0</v>
      </c>
      <c r="BL50">
        <v>5.4945054945056216E-3</v>
      </c>
      <c r="BM50">
        <v>1.3513513513513526E-2</v>
      </c>
      <c r="BN50">
        <v>0</v>
      </c>
      <c r="BO50">
        <v>-1.1363636363636374E-2</v>
      </c>
      <c r="BP50">
        <v>5.0847457627118502E-2</v>
      </c>
      <c r="BQ50">
        <v>-3.1578947368421081E-2</v>
      </c>
      <c r="BR50">
        <v>6.521739130434788E-2</v>
      </c>
      <c r="BT50">
        <v>-1.6949152542372708E-2</v>
      </c>
      <c r="BU50">
        <v>-0.15384615384615388</v>
      </c>
      <c r="BV50">
        <v>-4.1284403669724905E-2</v>
      </c>
      <c r="BW50">
        <v>0</v>
      </c>
      <c r="BX50">
        <v>0</v>
      </c>
      <c r="BY50">
        <v>1.796407185628731E-2</v>
      </c>
      <c r="BZ50">
        <v>-0.17004048582995948</v>
      </c>
      <c r="CA50">
        <v>0</v>
      </c>
      <c r="CB50">
        <v>-2.3529411764705903E-2</v>
      </c>
      <c r="CC50">
        <v>0</v>
      </c>
      <c r="CD50">
        <v>-0.14008620689655182</v>
      </c>
      <c r="CE50">
        <v>-2.1518987341772142E-2</v>
      </c>
      <c r="CF50">
        <v>-2.4324324324324405E-2</v>
      </c>
      <c r="CG50">
        <v>-3.2258064516129059E-2</v>
      </c>
      <c r="CH50">
        <v>0</v>
      </c>
      <c r="CI50">
        <v>-1.709401709401711E-2</v>
      </c>
      <c r="CJ50">
        <v>-1.0156249999999998</v>
      </c>
      <c r="CK50">
        <v>-2.9585798816568074E-2</v>
      </c>
      <c r="CL50">
        <v>-2.6595744680851679E-3</v>
      </c>
      <c r="CM50">
        <v>-3.6231884057971852E-3</v>
      </c>
      <c r="CN50">
        <v>-4.3478260869565251E-2</v>
      </c>
      <c r="CO50">
        <v>-1.5625000000000014E-2</v>
      </c>
      <c r="CP50">
        <v>-0.12499999999999993</v>
      </c>
      <c r="CQ50">
        <v>0</v>
      </c>
      <c r="CR50">
        <v>0</v>
      </c>
      <c r="CS50">
        <v>0</v>
      </c>
      <c r="CT50">
        <v>2.2346368715083817E-2</v>
      </c>
      <c r="CU50">
        <v>-5.1813471502590719E-3</v>
      </c>
      <c r="CV50">
        <v>-9.8159509202453948E-2</v>
      </c>
      <c r="CW50">
        <v>-6.6929133858267861E-2</v>
      </c>
      <c r="CX50">
        <v>4.4444444444444418E-2</v>
      </c>
      <c r="CY50">
        <v>-2.941176470588238E-2</v>
      </c>
      <c r="CZ50">
        <v>4.4117647058823567E-2</v>
      </c>
      <c r="DA50">
        <v>-5.247376311844059E-2</v>
      </c>
      <c r="DB50">
        <v>-3.9215686274510714E-3</v>
      </c>
      <c r="DC50">
        <v>0</v>
      </c>
      <c r="DD50">
        <v>-4.8387096774193589E-2</v>
      </c>
      <c r="DE50">
        <v>-3.0800821355236211E-2</v>
      </c>
      <c r="DF50">
        <v>-4.5454545454545491E-2</v>
      </c>
      <c r="DH50">
        <v>-3.6363636363635587E-3</v>
      </c>
      <c r="DI50">
        <v>-1.8575851393188871E-2</v>
      </c>
      <c r="DJ50">
        <v>-6.0975609756097615E-3</v>
      </c>
      <c r="DK50">
        <v>-4.4673539518900456E-2</v>
      </c>
      <c r="DL50">
        <v>9.0090090090090159E-3</v>
      </c>
      <c r="DM50">
        <v>2.2727272727272846E-2</v>
      </c>
      <c r="DN50">
        <v>5.2631578947368321E-2</v>
      </c>
      <c r="DO50">
        <v>-5.2917232021709587E-2</v>
      </c>
    </row>
    <row r="51" spans="1:119" x14ac:dyDescent="0.3">
      <c r="A51" s="64" t="s">
        <v>9093</v>
      </c>
      <c r="B51">
        <v>-3.367346938775511E-2</v>
      </c>
      <c r="D51">
        <v>6.61157024793389E-2</v>
      </c>
      <c r="E51">
        <v>-9.3167701863353432E-3</v>
      </c>
      <c r="F51">
        <v>-0.11111111111111122</v>
      </c>
      <c r="H51">
        <v>-2.9126213592233035E-2</v>
      </c>
      <c r="I51">
        <v>-2.521008403361347E-2</v>
      </c>
      <c r="J51">
        <v>0</v>
      </c>
      <c r="K51">
        <v>-4.9180327868852871E-3</v>
      </c>
      <c r="L51">
        <v>-2.8846153846153872E-2</v>
      </c>
      <c r="M51">
        <v>-4.5643153526970903E-2</v>
      </c>
      <c r="N51">
        <v>0</v>
      </c>
      <c r="O51">
        <v>0</v>
      </c>
      <c r="P51">
        <v>0</v>
      </c>
      <c r="Q51">
        <v>-4.5731707317073281E-2</v>
      </c>
      <c r="R51">
        <v>6.9999999999999951E-2</v>
      </c>
      <c r="S51">
        <v>2.2727272727272749E-2</v>
      </c>
      <c r="T51">
        <v>-2.4096385542168697E-2</v>
      </c>
      <c r="U51">
        <v>-6.9230769230769235E-2</v>
      </c>
      <c r="V51">
        <v>-1.3123359580052446E-2</v>
      </c>
      <c r="W51">
        <v>-0.10750000000000004</v>
      </c>
      <c r="X51">
        <v>-1.9097222222222123E-2</v>
      </c>
      <c r="Y51">
        <v>0.25000000000000006</v>
      </c>
      <c r="Z51">
        <v>0</v>
      </c>
      <c r="AA51">
        <v>-8.5915492957746531E-2</v>
      </c>
      <c r="AB51">
        <v>-6.5431383902721421E-2</v>
      </c>
      <c r="AC51">
        <v>-0.17090909090909098</v>
      </c>
      <c r="AD51">
        <v>0</v>
      </c>
      <c r="AE51">
        <v>0</v>
      </c>
      <c r="AF51">
        <v>-9.0225563909774376E-2</v>
      </c>
      <c r="AG51">
        <v>-8.5419734904270864E-2</v>
      </c>
      <c r="AH51">
        <v>1.4285714285714299E-2</v>
      </c>
      <c r="AI51">
        <v>1.5600624024962051E-3</v>
      </c>
      <c r="AJ51">
        <v>1.6949152542372867E-2</v>
      </c>
      <c r="AK51">
        <v>0</v>
      </c>
      <c r="AL51">
        <v>0</v>
      </c>
      <c r="AM51">
        <v>-5.7377049180327919E-2</v>
      </c>
      <c r="AN51">
        <v>0</v>
      </c>
      <c r="AO51">
        <v>3.4482758620689592E-2</v>
      </c>
      <c r="AP51">
        <v>-1.5267175572518927E-2</v>
      </c>
      <c r="AQ51">
        <v>2.6315789473684237E-2</v>
      </c>
      <c r="AR51">
        <v>-0.11711711711711716</v>
      </c>
      <c r="AS51">
        <v>-3.2085561497326227E-2</v>
      </c>
      <c r="AT51">
        <v>-0.35483870967741932</v>
      </c>
      <c r="AU51">
        <v>-1.8404907975460141E-2</v>
      </c>
      <c r="AV51">
        <v>-4.4776119402985114E-2</v>
      </c>
      <c r="AW51">
        <v>-0.15555555555555556</v>
      </c>
      <c r="AX51">
        <v>-2.2727272727272579E-2</v>
      </c>
      <c r="AY51">
        <v>0</v>
      </c>
      <c r="AZ51">
        <v>-1.7973856209150377E-2</v>
      </c>
      <c r="BA51">
        <v>0</v>
      </c>
      <c r="BB51">
        <v>1.2195121951219523E-2</v>
      </c>
      <c r="BC51">
        <v>3.6036036036036869E-3</v>
      </c>
      <c r="BD51">
        <v>-0.27777777777777773</v>
      </c>
      <c r="BE51">
        <v>-1.1904761904761916E-2</v>
      </c>
      <c r="BF51">
        <v>-1.0526315789473771E-2</v>
      </c>
      <c r="BG51">
        <v>-2.6041666666666574E-2</v>
      </c>
      <c r="BH51">
        <v>-8.5106382978723361E-2</v>
      </c>
      <c r="BI51">
        <v>2.1352313167259804E-2</v>
      </c>
      <c r="BJ51">
        <v>-0.18181818181818185</v>
      </c>
      <c r="BK51">
        <v>-0.5</v>
      </c>
      <c r="BL51">
        <v>-2.202643171806179E-2</v>
      </c>
      <c r="BM51">
        <v>1.3888888888888902E-2</v>
      </c>
      <c r="BN51">
        <v>-0.15384615384615377</v>
      </c>
      <c r="BO51">
        <v>1.1363636363636374E-2</v>
      </c>
      <c r="BP51">
        <v>0</v>
      </c>
      <c r="BQ51">
        <v>-8.5106382978723485E-2</v>
      </c>
      <c r="BR51">
        <v>-0.10526315789473693</v>
      </c>
      <c r="BT51">
        <v>-5.3571428571428617E-2</v>
      </c>
      <c r="BU51">
        <v>-0.18181818181818174</v>
      </c>
      <c r="BV51">
        <v>-4.3859649122807064E-2</v>
      </c>
      <c r="BW51">
        <v>-4.6153846153846191E-2</v>
      </c>
      <c r="BX51">
        <v>0</v>
      </c>
      <c r="BY51">
        <v>-4.9079754601226905E-2</v>
      </c>
      <c r="BZ51">
        <v>-0.21753246753246749</v>
      </c>
      <c r="CA51">
        <v>-9.523809523809533E-2</v>
      </c>
      <c r="CB51">
        <v>-4.9999999999999982E-2</v>
      </c>
      <c r="CC51">
        <v>0</v>
      </c>
      <c r="CD51">
        <v>-9.7826086956521591E-3</v>
      </c>
      <c r="CE51">
        <v>-2.9113924050632962E-2</v>
      </c>
      <c r="CF51">
        <v>-0.24074074074074078</v>
      </c>
      <c r="CG51">
        <v>1.1428571428571439E-2</v>
      </c>
      <c r="CH51">
        <v>0</v>
      </c>
      <c r="CI51">
        <v>-0.13333333333333347</v>
      </c>
      <c r="CJ51">
        <v>-0.45283018867924524</v>
      </c>
      <c r="CK51">
        <v>5.5248618784530436E-3</v>
      </c>
      <c r="CL51">
        <v>-4.5454545454545497E-2</v>
      </c>
      <c r="CM51">
        <v>-0.13821138211382109</v>
      </c>
      <c r="CN51">
        <v>0.18181818181818185</v>
      </c>
      <c r="CO51">
        <v>-9.2592592592592463E-2</v>
      </c>
      <c r="CP51">
        <v>0.24999999999999986</v>
      </c>
      <c r="CQ51">
        <v>0</v>
      </c>
      <c r="CR51">
        <v>0</v>
      </c>
      <c r="CS51">
        <v>0</v>
      </c>
      <c r="CT51">
        <v>5.3619302949061707E-3</v>
      </c>
      <c r="CU51">
        <v>-4.3243243243243162E-2</v>
      </c>
      <c r="CV51">
        <v>6.1728395061728444E-3</v>
      </c>
      <c r="CW51">
        <v>-6.3917525773195802E-2</v>
      </c>
      <c r="CX51">
        <v>2.5974025974025997E-2</v>
      </c>
      <c r="CY51">
        <v>4.4776119402985176E-2</v>
      </c>
      <c r="CZ51">
        <v>-5.2631578947368467E-2</v>
      </c>
      <c r="DA51">
        <v>2.7707808564231592E-2</v>
      </c>
      <c r="DB51">
        <v>-5.1792828685258925E-2</v>
      </c>
      <c r="DC51">
        <v>0</v>
      </c>
      <c r="DD51">
        <v>-5.649717514124299E-3</v>
      </c>
      <c r="DE51">
        <v>-0.15913555992141445</v>
      </c>
      <c r="DF51">
        <v>0</v>
      </c>
      <c r="DH51">
        <v>-2.2298456260720547E-2</v>
      </c>
      <c r="DI51">
        <v>-2.8938906752411533E-2</v>
      </c>
      <c r="DJ51">
        <v>-2.0710059171597718E-2</v>
      </c>
      <c r="DK51">
        <v>-5.3639846743294896E-2</v>
      </c>
      <c r="DL51">
        <v>-9.0497737556561163E-3</v>
      </c>
      <c r="DM51">
        <v>-1.4285714285714403E-2</v>
      </c>
      <c r="DN51">
        <v>5.5555555555555608E-2</v>
      </c>
      <c r="DO51">
        <v>-5.5248618784530436E-3</v>
      </c>
    </row>
    <row r="52" spans="1:119" x14ac:dyDescent="0.3">
      <c r="A52" s="64" t="s">
        <v>9094</v>
      </c>
      <c r="B52">
        <v>2.5853154084798345E-2</v>
      </c>
      <c r="D52">
        <v>-0.14227642276422767</v>
      </c>
      <c r="E52">
        <v>4.4303797468354465E-2</v>
      </c>
      <c r="F52">
        <v>-0.11111111111111106</v>
      </c>
      <c r="H52">
        <v>2.8301886792452855E-2</v>
      </c>
      <c r="I52">
        <v>-8.0645161290322648E-3</v>
      </c>
      <c r="J52">
        <v>-1.6666666666666684E-2</v>
      </c>
      <c r="K52">
        <v>-2.4806201550387482E-2</v>
      </c>
      <c r="L52">
        <v>9.5238095238095316E-3</v>
      </c>
      <c r="M52">
        <v>0</v>
      </c>
      <c r="N52">
        <v>1.6393442622950834E-2</v>
      </c>
      <c r="O52">
        <v>0</v>
      </c>
      <c r="P52">
        <v>0</v>
      </c>
      <c r="Q52">
        <v>1.5151515151515233E-2</v>
      </c>
      <c r="R52">
        <v>0</v>
      </c>
      <c r="S52">
        <v>-2.3809523809523832E-2</v>
      </c>
      <c r="T52">
        <v>-6.896551724137924E-2</v>
      </c>
      <c r="U52">
        <v>2.5445292620865274E-2</v>
      </c>
      <c r="V52">
        <v>-1.3333333333333404E-2</v>
      </c>
      <c r="W52">
        <v>-0.10604026845637572</v>
      </c>
      <c r="X52">
        <v>1.8348623853210944E-2</v>
      </c>
      <c r="Y52">
        <v>-0.14285714285714277</v>
      </c>
      <c r="Z52">
        <v>0</v>
      </c>
      <c r="AA52">
        <v>6.7204301075269772E-3</v>
      </c>
      <c r="AB52">
        <v>9.1848450057405353E-3</v>
      </c>
      <c r="AC52">
        <v>-6.7524115755627001E-2</v>
      </c>
      <c r="AD52">
        <v>-2.7027027027027053E-2</v>
      </c>
      <c r="AE52">
        <v>-1.9999999999999928E-2</v>
      </c>
      <c r="AF52">
        <v>8.745247148288976E-2</v>
      </c>
      <c r="AG52">
        <v>-2.98953662182362E-2</v>
      </c>
      <c r="AH52">
        <v>-3.2894736842105289E-2</v>
      </c>
      <c r="AI52">
        <v>2.0312499999999983E-2</v>
      </c>
      <c r="AJ52">
        <v>-3.0769230769230799E-2</v>
      </c>
      <c r="AK52">
        <v>0.23076923076923075</v>
      </c>
      <c r="AL52">
        <v>-0.16666666666666666</v>
      </c>
      <c r="AM52">
        <v>1.6806722689075647E-2</v>
      </c>
      <c r="AN52">
        <v>1.5625000000000014E-2</v>
      </c>
      <c r="AO52">
        <v>8.3333333333333412E-2</v>
      </c>
      <c r="AP52">
        <v>2.205882352941162E-2</v>
      </c>
      <c r="AQ52">
        <v>-0.19298245614035092</v>
      </c>
      <c r="AR52">
        <v>-9.2696629213483164E-2</v>
      </c>
      <c r="AS52">
        <v>1.980198019801982E-2</v>
      </c>
      <c r="AT52">
        <v>0</v>
      </c>
      <c r="AU52">
        <v>3.0674846625766763E-2</v>
      </c>
      <c r="AV52">
        <v>2.7972027972028E-2</v>
      </c>
      <c r="AW52">
        <v>4.4444444444444481E-2</v>
      </c>
      <c r="AX52">
        <v>1.4598540145985413E-2</v>
      </c>
      <c r="AY52">
        <v>2.1739130434782532E-2</v>
      </c>
      <c r="AZ52">
        <v>-2.4849699398797637E-2</v>
      </c>
      <c r="BA52">
        <v>0</v>
      </c>
      <c r="BB52">
        <v>-1.1627906976744196E-2</v>
      </c>
      <c r="BC52">
        <v>2.3853211009174292E-2</v>
      </c>
      <c r="BD52">
        <v>9.999999999999995E-2</v>
      </c>
      <c r="BE52">
        <v>-6.0060060060060112E-3</v>
      </c>
      <c r="BF52">
        <v>2.7586206896551748E-2</v>
      </c>
      <c r="BG52">
        <v>-1.0084033613445462E-2</v>
      </c>
      <c r="BH52">
        <v>6.521739130434788E-2</v>
      </c>
      <c r="BI52">
        <v>-6.0931899641577032E-2</v>
      </c>
      <c r="BJ52">
        <v>0</v>
      </c>
      <c r="BK52">
        <v>0</v>
      </c>
      <c r="BL52">
        <v>-2.2123893805309658E-2</v>
      </c>
      <c r="BM52">
        <v>1.4084507042253534E-2</v>
      </c>
      <c r="BN52">
        <v>-0.15384615384615397</v>
      </c>
      <c r="BO52">
        <v>4.4943820224719142E-2</v>
      </c>
      <c r="BP52">
        <v>-8.9285714285712373E-3</v>
      </c>
      <c r="BQ52">
        <v>3.0927835051546421E-2</v>
      </c>
      <c r="BR52">
        <v>-0.11428571428571424</v>
      </c>
      <c r="BT52">
        <v>3.5087719298245647E-2</v>
      </c>
      <c r="BU52">
        <v>-0.30769230769230776</v>
      </c>
      <c r="BV52">
        <v>-4.0084388185653901E-2</v>
      </c>
      <c r="BW52">
        <v>3.0769230769230795E-2</v>
      </c>
      <c r="BX52">
        <v>0</v>
      </c>
      <c r="BY52">
        <v>1.2500000000000011E-2</v>
      </c>
      <c r="BZ52">
        <v>8.571428571428643E-3</v>
      </c>
      <c r="CA52">
        <v>0</v>
      </c>
      <c r="CB52">
        <v>-3.0172413793103443E-2</v>
      </c>
      <c r="CC52">
        <v>-0.15789473684210525</v>
      </c>
      <c r="CD52">
        <v>-2.952380952380957E-2</v>
      </c>
      <c r="CE52">
        <v>4.2131350681536645E-2</v>
      </c>
      <c r="CF52">
        <v>0</v>
      </c>
      <c r="CG52">
        <v>2.7777777777778421E-3</v>
      </c>
      <c r="CH52">
        <v>0</v>
      </c>
      <c r="CI52">
        <v>4.2471042471042594E-2</v>
      </c>
      <c r="CJ52">
        <v>0.16959064327485382</v>
      </c>
      <c r="CK52">
        <v>1.612903225806453E-2</v>
      </c>
      <c r="CL52">
        <v>2.0151133501259463E-2</v>
      </c>
      <c r="CM52">
        <v>-2.8340080971659853E-2</v>
      </c>
      <c r="CN52">
        <v>-4.3478260869565251E-2</v>
      </c>
      <c r="CO52">
        <v>0</v>
      </c>
      <c r="CP52">
        <v>0.11111111111111122</v>
      </c>
      <c r="CQ52">
        <v>0</v>
      </c>
      <c r="CR52">
        <v>-1.6666666666666607E-2</v>
      </c>
      <c r="CS52">
        <v>0</v>
      </c>
      <c r="CT52">
        <v>2.1917808219178103E-2</v>
      </c>
      <c r="CU52">
        <v>-2.6881720430107548E-2</v>
      </c>
      <c r="CV52">
        <v>1.1235955056179785E-2</v>
      </c>
      <c r="CW52">
        <v>-2.5048169556840055E-2</v>
      </c>
      <c r="CX52">
        <v>2.7027027027027049E-2</v>
      </c>
      <c r="CY52">
        <v>5.7971014492753676E-3</v>
      </c>
      <c r="CZ52">
        <v>-0.16438356164383561</v>
      </c>
      <c r="DA52">
        <v>-0.143546441495778</v>
      </c>
      <c r="DB52">
        <v>5.1587301587301543E-2</v>
      </c>
      <c r="DC52">
        <v>1.9685039370078757E-2</v>
      </c>
      <c r="DD52">
        <v>2.6881720430107548E-2</v>
      </c>
      <c r="DE52">
        <v>5.5343511450381681E-2</v>
      </c>
      <c r="DF52">
        <v>0</v>
      </c>
      <c r="DH52">
        <v>0.10598290598290601</v>
      </c>
      <c r="DI52">
        <v>1.892744479495256E-2</v>
      </c>
      <c r="DJ52">
        <v>1.4705882352941256E-2</v>
      </c>
      <c r="DK52">
        <v>1.0948905109488979E-2</v>
      </c>
      <c r="DL52">
        <v>1.8264840182648418E-2</v>
      </c>
      <c r="DM52">
        <v>1.4634146341463537E-2</v>
      </c>
      <c r="DN52">
        <v>-0.11764705882352934</v>
      </c>
      <c r="DO52">
        <v>1.3106159895150675E-2</v>
      </c>
    </row>
    <row r="53" spans="1:119" x14ac:dyDescent="0.3">
      <c r="A53" s="64" t="s">
        <v>9095</v>
      </c>
      <c r="B53">
        <v>4.1999999999999996E-2</v>
      </c>
      <c r="D53">
        <v>0.17391304347826084</v>
      </c>
      <c r="E53">
        <v>-8.1504702194357445E-2</v>
      </c>
      <c r="F53">
        <v>9.999999999999995E-2</v>
      </c>
      <c r="H53">
        <v>3.6697247706422048E-2</v>
      </c>
      <c r="I53">
        <v>5.511811023622052E-2</v>
      </c>
      <c r="J53">
        <v>3.3333333333333368E-2</v>
      </c>
      <c r="K53">
        <v>3.7037037037036931E-2</v>
      </c>
      <c r="L53">
        <v>9.2592592592592674E-3</v>
      </c>
      <c r="M53">
        <v>0.13304721030042921</v>
      </c>
      <c r="N53">
        <v>0</v>
      </c>
      <c r="O53">
        <v>0</v>
      </c>
      <c r="P53">
        <v>0</v>
      </c>
      <c r="Q53">
        <v>-2.6086956521739216E-2</v>
      </c>
      <c r="R53">
        <v>8.0459770114942472E-2</v>
      </c>
      <c r="S53">
        <v>-0.17073170731707318</v>
      </c>
      <c r="T53">
        <v>5.6179775280898799E-2</v>
      </c>
      <c r="U53">
        <v>8.8095238095238004E-2</v>
      </c>
      <c r="V53">
        <v>0</v>
      </c>
      <c r="W53">
        <v>0.15643802647412752</v>
      </c>
      <c r="X53">
        <v>3.5971223021582767E-2</v>
      </c>
      <c r="Y53">
        <v>-1.4000000000000001</v>
      </c>
      <c r="Z53">
        <v>0</v>
      </c>
      <c r="AA53">
        <v>-1.2422360248447159E-2</v>
      </c>
      <c r="AB53">
        <v>3.450134770889491E-2</v>
      </c>
      <c r="AC53">
        <v>8.1005586592178783E-2</v>
      </c>
      <c r="AD53">
        <v>0.32432432432432434</v>
      </c>
      <c r="AE53">
        <v>3.9999999999999151E-3</v>
      </c>
      <c r="AF53">
        <v>-3.8327526132404234E-2</v>
      </c>
      <c r="AG53">
        <v>0.1815680880330123</v>
      </c>
      <c r="AH53">
        <v>2.6666666666666689E-2</v>
      </c>
      <c r="AI53">
        <v>4.3818466353677525E-2</v>
      </c>
      <c r="AJ53">
        <v>7.3011734028683245E-2</v>
      </c>
      <c r="AK53">
        <v>-0.30769230769230776</v>
      </c>
      <c r="AL53">
        <v>-1.5</v>
      </c>
      <c r="AM53">
        <v>5.5555555555555601E-2</v>
      </c>
      <c r="AN53">
        <v>0</v>
      </c>
      <c r="AO53">
        <v>0.34782608695652167</v>
      </c>
      <c r="AP53">
        <v>1.449275362318842E-2</v>
      </c>
      <c r="AQ53">
        <v>0.23493975903614453</v>
      </c>
      <c r="AR53">
        <v>-8.6075949367088567E-2</v>
      </c>
      <c r="AS53">
        <v>0.10576923076923075</v>
      </c>
      <c r="AT53">
        <v>9.5238095238095191E-2</v>
      </c>
      <c r="AU53">
        <v>3.6144578313253045E-2</v>
      </c>
      <c r="AV53">
        <v>5.3691275167785137E-2</v>
      </c>
      <c r="AW53">
        <v>-1.9230769230769246E-2</v>
      </c>
      <c r="AX53">
        <v>2.8571428571428439E-2</v>
      </c>
      <c r="AY53">
        <v>0</v>
      </c>
      <c r="AZ53">
        <v>7.5226467113036627E-2</v>
      </c>
      <c r="BA53">
        <v>0</v>
      </c>
      <c r="BB53">
        <v>1.1764705882352951E-2</v>
      </c>
      <c r="BC53">
        <v>-5.5248618784530357E-2</v>
      </c>
      <c r="BD53">
        <v>0.14000000000000001</v>
      </c>
      <c r="BE53">
        <v>5.6379821958456956E-2</v>
      </c>
      <c r="BF53">
        <v>2.3890784982935249E-2</v>
      </c>
      <c r="BG53">
        <v>4.5901639344262342E-2</v>
      </c>
      <c r="BH53">
        <v>9.9999999999999978E-2</v>
      </c>
      <c r="BI53">
        <v>7.3260073260073329E-3</v>
      </c>
      <c r="BJ53">
        <v>9.9999999999999978E-2</v>
      </c>
      <c r="BK53">
        <v>0</v>
      </c>
      <c r="BL53">
        <v>0.1818181818181818</v>
      </c>
      <c r="BM53">
        <v>5.7142857142857037E-2</v>
      </c>
      <c r="BN53">
        <v>0.33333333333333348</v>
      </c>
      <c r="BO53">
        <v>7.9545454545454489E-2</v>
      </c>
      <c r="BP53">
        <v>5.3571428571428416E-2</v>
      </c>
      <c r="BQ53">
        <v>2.8571428571428595E-2</v>
      </c>
      <c r="BR53">
        <v>0.12820512820512817</v>
      </c>
      <c r="BT53">
        <v>-5.0000000000000044E-2</v>
      </c>
      <c r="BU53">
        <v>6.6666666666666735E-2</v>
      </c>
      <c r="BV53">
        <v>8.097165991902841E-3</v>
      </c>
      <c r="BW53">
        <v>3.676470588235297E-2</v>
      </c>
      <c r="BX53">
        <v>0</v>
      </c>
      <c r="BY53">
        <v>1.1904761904761916E-2</v>
      </c>
      <c r="BZ53">
        <v>6.714628297362106E-2</v>
      </c>
      <c r="CA53">
        <v>0.17391304347826089</v>
      </c>
      <c r="CB53">
        <v>4.2465753424657485E-2</v>
      </c>
      <c r="CC53">
        <v>5.2631578947368467E-2</v>
      </c>
      <c r="CD53">
        <v>1.9830028328611977E-2</v>
      </c>
      <c r="CE53">
        <v>3.1325301204819252E-2</v>
      </c>
      <c r="CF53">
        <v>6.0669456066945612E-2</v>
      </c>
      <c r="CG53">
        <v>1.4044943820224668E-2</v>
      </c>
      <c r="CH53">
        <v>-1</v>
      </c>
      <c r="CI53">
        <v>-7.6791808873720169E-2</v>
      </c>
      <c r="CJ53">
        <v>-9.1324200913242087E-2</v>
      </c>
      <c r="CK53">
        <v>-3.2432432432432337E-2</v>
      </c>
      <c r="CL53">
        <v>6.024096385542179E-2</v>
      </c>
      <c r="CM53">
        <v>0.14946619217081847</v>
      </c>
      <c r="CN53">
        <v>0.15789473684210525</v>
      </c>
      <c r="CO53">
        <v>8.3333333333333232E-2</v>
      </c>
      <c r="CP53">
        <v>0</v>
      </c>
      <c r="CQ53">
        <v>0</v>
      </c>
      <c r="CR53">
        <v>0</v>
      </c>
      <c r="CS53">
        <v>0</v>
      </c>
      <c r="CT53">
        <v>5.5096418732782294E-2</v>
      </c>
      <c r="CU53">
        <v>3.0927835051546421E-2</v>
      </c>
      <c r="CV53">
        <v>3.389830508474579E-2</v>
      </c>
      <c r="CW53">
        <v>-0.12545454545454551</v>
      </c>
      <c r="CX53">
        <v>-0.10833333333333336</v>
      </c>
      <c r="CY53">
        <v>1.8181818181818063E-2</v>
      </c>
      <c r="CZ53">
        <v>5.1948051948051993E-2</v>
      </c>
      <c r="DA53">
        <v>-0.47459727385377942</v>
      </c>
      <c r="DB53">
        <v>4.9056603773584867E-2</v>
      </c>
      <c r="DC53">
        <v>4.5454545454545491E-2</v>
      </c>
      <c r="DD53">
        <v>6.4171122994652455E-2</v>
      </c>
      <c r="DE53">
        <v>-3.9669421487603343E-2</v>
      </c>
      <c r="DF53">
        <v>-2.9411764705882214E-2</v>
      </c>
      <c r="DH53">
        <v>2.3411371237458286E-2</v>
      </c>
      <c r="DI53">
        <v>9.8159509202454087E-2</v>
      </c>
      <c r="DJ53">
        <v>3.4582132564841529E-2</v>
      </c>
      <c r="DK53">
        <v>5.2083333333333301E-2</v>
      </c>
      <c r="DL53">
        <v>2.7149321266968351E-2</v>
      </c>
      <c r="DM53">
        <v>1.9230769230769246E-2</v>
      </c>
      <c r="DN53">
        <v>0.12499999999999993</v>
      </c>
      <c r="DO53">
        <v>7.5619295958279015E-2</v>
      </c>
    </row>
    <row r="54" spans="1:119" x14ac:dyDescent="0.3">
      <c r="A54" s="64" t="s">
        <v>9096</v>
      </c>
      <c r="B54">
        <v>4.4102564102564072E-2</v>
      </c>
      <c r="D54">
        <v>-9.4339622641509441E-2</v>
      </c>
      <c r="E54">
        <v>2.6229508196721336E-2</v>
      </c>
      <c r="F54">
        <v>0.18181818181818185</v>
      </c>
      <c r="H54">
        <v>1.8867924528301903E-2</v>
      </c>
      <c r="I54">
        <v>2.3437500000000021E-2</v>
      </c>
      <c r="J54">
        <v>1.6393442622950834E-2</v>
      </c>
      <c r="K54">
        <v>4.2168674698795219E-2</v>
      </c>
      <c r="L54">
        <v>0</v>
      </c>
      <c r="M54">
        <v>5.1502145922746823E-2</v>
      </c>
      <c r="N54">
        <v>3.3333333333333368E-2</v>
      </c>
      <c r="O54">
        <v>0</v>
      </c>
      <c r="P54">
        <v>0</v>
      </c>
      <c r="Q54">
        <v>-2.3529411764705774E-2</v>
      </c>
      <c r="R54">
        <v>-9.1954022988505704E-2</v>
      </c>
      <c r="S54">
        <v>-0.21428571428571422</v>
      </c>
      <c r="T54">
        <v>-2.1052631578947389E-2</v>
      </c>
      <c r="U54">
        <v>-6.5853658536585383E-2</v>
      </c>
      <c r="V54">
        <v>3.8961038961039282E-3</v>
      </c>
      <c r="W54">
        <v>9.1208791208791218E-2</v>
      </c>
      <c r="X54">
        <v>1.8315018315017925E-3</v>
      </c>
      <c r="Y54">
        <v>0</v>
      </c>
      <c r="Z54">
        <v>0</v>
      </c>
      <c r="AA54">
        <v>-4.7500000000000098E-2</v>
      </c>
      <c r="AB54">
        <v>-1.0875475802066301E-2</v>
      </c>
      <c r="AC54">
        <v>-8.7071240105540917E-2</v>
      </c>
      <c r="AD54">
        <v>5.2631578947368467E-2</v>
      </c>
      <c r="AE54">
        <v>1.5686274509803935E-2</v>
      </c>
      <c r="AF54">
        <v>4.166666666666672E-2</v>
      </c>
      <c r="AG54">
        <v>5.087014725568953E-2</v>
      </c>
      <c r="AH54">
        <v>1.2903225806451623E-2</v>
      </c>
      <c r="AI54">
        <v>1.1182108626198129E-2</v>
      </c>
      <c r="AJ54">
        <v>-2.7812895069532318E-2</v>
      </c>
      <c r="AK54">
        <v>0.20000000000000018</v>
      </c>
      <c r="AL54">
        <v>0</v>
      </c>
      <c r="AM54">
        <v>-1.612903225806453E-2</v>
      </c>
      <c r="AN54">
        <v>3.1746031746031772E-2</v>
      </c>
      <c r="AO54">
        <v>0</v>
      </c>
      <c r="AP54">
        <v>0</v>
      </c>
      <c r="AQ54">
        <v>0</v>
      </c>
      <c r="AR54">
        <v>-0.1004672897196261</v>
      </c>
      <c r="AS54">
        <v>2.9411764705882377E-2</v>
      </c>
      <c r="AT54">
        <v>-9.5238095238095191E-2</v>
      </c>
      <c r="AU54">
        <v>0</v>
      </c>
      <c r="AV54">
        <v>-2.0689655172413658E-2</v>
      </c>
      <c r="AW54">
        <v>2.0000000000000018E-2</v>
      </c>
      <c r="AX54">
        <v>0</v>
      </c>
      <c r="AY54">
        <v>-0.33333333333333331</v>
      </c>
      <c r="AZ54">
        <v>-1.9223375624759707E-2</v>
      </c>
      <c r="BA54">
        <v>0</v>
      </c>
      <c r="BB54">
        <v>1.1627906976744196E-2</v>
      </c>
      <c r="BC54">
        <v>4.716981132075472E-2</v>
      </c>
      <c r="BD54">
        <v>8.6956521739130502E-2</v>
      </c>
      <c r="BE54">
        <v>-5.8997050147492677E-3</v>
      </c>
      <c r="BF54">
        <v>-2.456140350877203E-2</v>
      </c>
      <c r="BG54">
        <v>4.8701298701299108E-3</v>
      </c>
      <c r="BH54">
        <v>0.10638297872340424</v>
      </c>
      <c r="BI54">
        <v>6.896551724137937E-3</v>
      </c>
      <c r="BJ54">
        <v>-3.9999999999999925E-2</v>
      </c>
      <c r="BK54">
        <v>0</v>
      </c>
      <c r="BL54">
        <v>-8.4745762711864486E-2</v>
      </c>
      <c r="BM54">
        <v>4.3478260869565258E-2</v>
      </c>
      <c r="BN54">
        <v>-5.8823529411764754E-2</v>
      </c>
      <c r="BO54">
        <v>-0.13095238095238093</v>
      </c>
      <c r="BP54">
        <v>0</v>
      </c>
      <c r="BQ54">
        <v>9.8039215686274595E-3</v>
      </c>
      <c r="BR54">
        <v>0</v>
      </c>
      <c r="BS54">
        <v>-1</v>
      </c>
      <c r="BT54">
        <v>1.7241379310344845E-2</v>
      </c>
      <c r="BU54">
        <v>-0.15789473684210525</v>
      </c>
      <c r="BV54">
        <v>5.8479532163742659E-2</v>
      </c>
      <c r="BW54">
        <v>-7.575757575757582E-3</v>
      </c>
      <c r="BX54">
        <v>0</v>
      </c>
      <c r="BY54">
        <v>0</v>
      </c>
      <c r="BZ54">
        <v>-0.10628019323671498</v>
      </c>
      <c r="CA54">
        <v>-4.3478260869565251E-2</v>
      </c>
      <c r="CB54">
        <v>3.9946737683089545E-3</v>
      </c>
      <c r="CC54">
        <v>-0.18181818181818185</v>
      </c>
      <c r="CD54">
        <v>9.1743119266054721E-3</v>
      </c>
      <c r="CE54">
        <v>3.3919597989949805E-2</v>
      </c>
      <c r="CF54">
        <v>-4.1841004184099521E-3</v>
      </c>
      <c r="CG54">
        <v>5.3521126760563364E-2</v>
      </c>
      <c r="CI54">
        <v>4.7872340425531845E-2</v>
      </c>
      <c r="CJ54">
        <v>-0.18421052631578952</v>
      </c>
      <c r="CK54">
        <v>3.2967032967032871E-2</v>
      </c>
      <c r="CL54">
        <v>-1.9656019656019673E-2</v>
      </c>
      <c r="CM54">
        <v>5.9027777777777755E-2</v>
      </c>
      <c r="CN54">
        <v>-0.15</v>
      </c>
      <c r="CO54">
        <v>8.3333333333333412E-2</v>
      </c>
      <c r="CP54">
        <v>0.1666666666666666</v>
      </c>
      <c r="CQ54">
        <v>-2.4999999999999911E-2</v>
      </c>
      <c r="CR54">
        <v>-4.0983606557377053E-2</v>
      </c>
      <c r="CT54">
        <v>2.8169014084507694E-3</v>
      </c>
      <c r="CU54">
        <v>3.0150753768844137E-2</v>
      </c>
      <c r="CV54">
        <v>-5.7142857142857195E-3</v>
      </c>
      <c r="CW54">
        <v>-0.11012433392539966</v>
      </c>
      <c r="CX54">
        <v>-8.7142857142857189E-2</v>
      </c>
      <c r="CY54">
        <v>6.0975609756097615E-3</v>
      </c>
      <c r="CZ54">
        <v>-2.2471910112359571E-2</v>
      </c>
      <c r="DA54">
        <v>7.4514038876889802E-2</v>
      </c>
      <c r="DB54">
        <v>3.9682539682539715E-2</v>
      </c>
      <c r="DC54">
        <v>1.4285714285714297E-2</v>
      </c>
      <c r="DD54">
        <v>3.2967032967032996E-2</v>
      </c>
      <c r="DE54">
        <v>-1.7361111111111049E-2</v>
      </c>
      <c r="DF54">
        <v>-0.16176470588235306</v>
      </c>
      <c r="DH54">
        <v>-6.9029850746268676E-2</v>
      </c>
      <c r="DI54">
        <v>-4.3750000000000039E-2</v>
      </c>
      <c r="DJ54">
        <v>4.3859649122806994E-2</v>
      </c>
      <c r="DK54">
        <v>-5.6140350877192872E-2</v>
      </c>
      <c r="DL54">
        <v>9.2165898617511607E-3</v>
      </c>
      <c r="DM54">
        <v>0</v>
      </c>
      <c r="DN54">
        <v>0</v>
      </c>
      <c r="DO54">
        <v>-1.3210039630118609E-3</v>
      </c>
    </row>
    <row r="55" spans="1:119" x14ac:dyDescent="0.3">
      <c r="A55" s="64" t="s">
        <v>9097</v>
      </c>
      <c r="B55">
        <v>4.5016077170418001E-2</v>
      </c>
      <c r="D55">
        <v>4.8888888888888836E-2</v>
      </c>
      <c r="E55">
        <v>-9.0634441087612694E-3</v>
      </c>
      <c r="F55">
        <v>0</v>
      </c>
      <c r="H55">
        <v>-1.9607843137254919E-2</v>
      </c>
      <c r="I55">
        <v>-8.2644628099173625E-3</v>
      </c>
      <c r="J55">
        <v>-1.6949152542372899E-2</v>
      </c>
      <c r="K55">
        <v>-4.2187499999999933E-2</v>
      </c>
      <c r="L55">
        <v>1.8867924528301903E-2</v>
      </c>
      <c r="M55">
        <v>6.4356435643564303E-2</v>
      </c>
      <c r="N55">
        <v>-1.6666666666666684E-2</v>
      </c>
      <c r="O55">
        <v>0</v>
      </c>
      <c r="P55">
        <v>0</v>
      </c>
      <c r="Q55">
        <v>2.0057306590257833E-2</v>
      </c>
      <c r="R55">
        <v>0.21250000000000005</v>
      </c>
      <c r="S55">
        <v>0.16326530612244891</v>
      </c>
      <c r="T55">
        <v>-1.111111111111112E-2</v>
      </c>
      <c r="U55">
        <v>-1.3404825737265367E-2</v>
      </c>
      <c r="V55">
        <v>-1.6883116883116868E-2</v>
      </c>
      <c r="W55">
        <v>-1.6666666666666653E-2</v>
      </c>
      <c r="X55">
        <v>-3.4220532319391581E-2</v>
      </c>
      <c r="Y55">
        <v>7.6923076923076983E-2</v>
      </c>
      <c r="Z55">
        <v>0</v>
      </c>
      <c r="AA55">
        <v>1.6049382716049481E-2</v>
      </c>
      <c r="AB55">
        <v>1.1267605633802778E-2</v>
      </c>
      <c r="AC55">
        <v>8.8571428571428593E-2</v>
      </c>
      <c r="AD55">
        <v>3.8461538461538387E-2</v>
      </c>
      <c r="AE55">
        <v>0</v>
      </c>
      <c r="AF55">
        <v>2.9818181818181827E-2</v>
      </c>
      <c r="AG55">
        <v>-6.9918699186991964E-2</v>
      </c>
      <c r="AH55">
        <v>4.6357615894039778E-2</v>
      </c>
      <c r="AI55">
        <v>2.8428093645484934E-2</v>
      </c>
      <c r="AJ55">
        <v>1.6326530612244913E-2</v>
      </c>
      <c r="AK55">
        <v>-7.142857142857148E-2</v>
      </c>
      <c r="AL55">
        <v>0</v>
      </c>
      <c r="AM55">
        <v>4.2735042735042778E-2</v>
      </c>
      <c r="AN55">
        <v>4.7619047619047658E-2</v>
      </c>
      <c r="AO55">
        <v>0</v>
      </c>
      <c r="AP55">
        <v>-2.2556390977443629E-2</v>
      </c>
      <c r="AQ55">
        <v>6.8750000000000061E-2</v>
      </c>
      <c r="AR55">
        <v>9.0909090909090898E-2</v>
      </c>
      <c r="AS55">
        <v>-2.1978021978021997E-2</v>
      </c>
      <c r="AT55">
        <v>-0.36842105263157915</v>
      </c>
      <c r="AU55">
        <v>-2.9032258064516082E-2</v>
      </c>
      <c r="AV55">
        <v>-1.4598540145985413E-2</v>
      </c>
      <c r="AW55">
        <v>0.15686274509803924</v>
      </c>
      <c r="AX55">
        <v>0</v>
      </c>
      <c r="AY55">
        <v>0</v>
      </c>
      <c r="AZ55">
        <v>-6.2240663900414344E-3</v>
      </c>
      <c r="BA55">
        <v>0</v>
      </c>
      <c r="BB55">
        <v>-2.3529411764705903E-2</v>
      </c>
      <c r="BC55">
        <v>3.5714285714284954E-3</v>
      </c>
      <c r="BD55">
        <v>0.15384615384615383</v>
      </c>
      <c r="BE55">
        <v>9.3750000000000777E-3</v>
      </c>
      <c r="BF55">
        <v>-4.676258992805752E-2</v>
      </c>
      <c r="BG55">
        <v>2.2108843537414949E-2</v>
      </c>
      <c r="BH55">
        <v>-0.15476190476190477</v>
      </c>
      <c r="BI55">
        <v>1.0416666666666598E-2</v>
      </c>
      <c r="BJ55">
        <v>-6.6666666666666721E-2</v>
      </c>
      <c r="BK55">
        <v>0</v>
      </c>
      <c r="BL55">
        <v>-8.762886597938141E-2</v>
      </c>
      <c r="BM55">
        <v>3.0769230769230795E-2</v>
      </c>
      <c r="BN55">
        <v>8.3333333333333412E-2</v>
      </c>
      <c r="BO55">
        <v>6.4935064935064984E-2</v>
      </c>
      <c r="BP55">
        <v>0</v>
      </c>
      <c r="BQ55">
        <v>-1.0101010101010111E-2</v>
      </c>
      <c r="BR55">
        <v>0.13157894736842102</v>
      </c>
      <c r="BT55">
        <v>0</v>
      </c>
      <c r="BU55">
        <v>0.16666666666666666</v>
      </c>
      <c r="BV55">
        <v>-1.9646365422396787E-2</v>
      </c>
      <c r="BW55">
        <v>7.8740157480315029E-3</v>
      </c>
      <c r="BY55">
        <v>-6.0975609756097615E-3</v>
      </c>
      <c r="BZ55">
        <v>7.7720207253885967E-2</v>
      </c>
      <c r="CA55">
        <v>5.2631578947368467E-2</v>
      </c>
      <c r="CB55">
        <v>-3.055555555555552E-2</v>
      </c>
      <c r="CC55">
        <v>4.7619047619047665E-2</v>
      </c>
      <c r="CD55">
        <v>8.4190832553788456E-3</v>
      </c>
      <c r="CE55">
        <v>-2.2077922077922068E-2</v>
      </c>
      <c r="CF55">
        <v>0</v>
      </c>
      <c r="CG55">
        <v>2.8571428571429231E-3</v>
      </c>
      <c r="CH55">
        <v>0</v>
      </c>
      <c r="CI55">
        <v>-1.4778325123152686E-2</v>
      </c>
      <c r="CJ55">
        <v>-8.5714285714285576E-2</v>
      </c>
      <c r="CK55">
        <v>1.0638297872340436E-2</v>
      </c>
      <c r="CL55">
        <v>-3.6649214659685896E-2</v>
      </c>
      <c r="CM55">
        <v>1.6260162601626032E-2</v>
      </c>
      <c r="CN55">
        <v>0</v>
      </c>
      <c r="CO55">
        <v>9.0909090909090884E-2</v>
      </c>
      <c r="CP55">
        <v>0.16666666666666671</v>
      </c>
      <c r="CQ55">
        <v>-2.5000000000000133E-2</v>
      </c>
      <c r="CR55">
        <v>-1.6393442622950907E-2</v>
      </c>
      <c r="CT55">
        <v>-3.2835820895522484E-2</v>
      </c>
      <c r="CU55">
        <v>5.1813471502590719E-3</v>
      </c>
      <c r="CV55">
        <v>-1.7751479289940846E-2</v>
      </c>
      <c r="CW55">
        <v>6.329113924050638E-3</v>
      </c>
      <c r="CX55">
        <v>-0.20694087403598962</v>
      </c>
      <c r="CY55">
        <v>2.4844720496894429E-2</v>
      </c>
      <c r="CZ55">
        <v>1.1764705882352951E-2</v>
      </c>
      <c r="DA55">
        <v>2.1390374331550888E-2</v>
      </c>
      <c r="DB55">
        <v>-3.347280334728036E-2</v>
      </c>
      <c r="DC55">
        <v>3.5000000000000031E-2</v>
      </c>
      <c r="DD55">
        <v>-7.0588235294117715E-2</v>
      </c>
      <c r="DE55">
        <v>3.3333333333332624E-3</v>
      </c>
      <c r="DF55">
        <v>0</v>
      </c>
      <c r="DH55">
        <v>-2.8735632183908115E-2</v>
      </c>
      <c r="DI55">
        <v>1.0416666666666598E-2</v>
      </c>
      <c r="DJ55">
        <v>-1.2121212121212133E-2</v>
      </c>
      <c r="DK55">
        <v>-5.5555555555555518E-2</v>
      </c>
      <c r="DL55">
        <v>1.4218009478672893E-2</v>
      </c>
      <c r="DM55">
        <v>0</v>
      </c>
      <c r="DN55">
        <v>0.12499999999999993</v>
      </c>
      <c r="DO55">
        <v>-3.5765379113018594E-2</v>
      </c>
    </row>
    <row r="56" spans="1:119" x14ac:dyDescent="0.3">
      <c r="A56" s="64" t="s">
        <v>9098</v>
      </c>
      <c r="B56">
        <v>-4.1573033707865081E-2</v>
      </c>
      <c r="D56">
        <v>4.000000000000092E-3</v>
      </c>
      <c r="E56">
        <v>3.0959752321980762E-3</v>
      </c>
      <c r="F56">
        <v>0</v>
      </c>
      <c r="H56">
        <v>-5.0000000000000044E-2</v>
      </c>
      <c r="I56">
        <v>-5.9322033898305142E-2</v>
      </c>
      <c r="J56">
        <v>0</v>
      </c>
      <c r="K56">
        <v>-3.7581699346405296E-2</v>
      </c>
      <c r="L56">
        <v>-3.7735849056603807E-2</v>
      </c>
      <c r="M56">
        <v>-6.8421052631578896E-2</v>
      </c>
      <c r="N56">
        <v>-3.4482758620689689E-2</v>
      </c>
      <c r="O56">
        <v>-1</v>
      </c>
      <c r="P56">
        <v>0</v>
      </c>
      <c r="Q56">
        <v>-5.6022408963585487E-3</v>
      </c>
      <c r="R56">
        <v>-3.4090909090909123E-2</v>
      </c>
      <c r="S56">
        <v>-8.6206896551724227E-2</v>
      </c>
      <c r="T56">
        <v>-1.0869565217391193E-2</v>
      </c>
      <c r="U56">
        <v>-5.0000000000001155E-3</v>
      </c>
      <c r="V56">
        <v>1.3037809647979093E-2</v>
      </c>
      <c r="W56">
        <v>0.18220946915351502</v>
      </c>
      <c r="X56">
        <v>-6.0952380952381008E-2</v>
      </c>
      <c r="Y56">
        <v>-0.14285714285714296</v>
      </c>
      <c r="Z56">
        <v>0</v>
      </c>
      <c r="AA56">
        <v>-4.7169811320754755E-2</v>
      </c>
      <c r="AB56">
        <v>-9.4707520891365859E-3</v>
      </c>
      <c r="AC56">
        <v>1.5665796344647532E-2</v>
      </c>
      <c r="AD56">
        <v>-0.16666666666666671</v>
      </c>
      <c r="AE56">
        <v>0.11999999999999993</v>
      </c>
      <c r="AF56">
        <v>-5.2272727272727373E-2</v>
      </c>
      <c r="AG56">
        <v>-6.5857885615251285E-2</v>
      </c>
      <c r="AH56">
        <v>-5.3691275167785282E-2</v>
      </c>
      <c r="AI56">
        <v>8.7986463620981462E-2</v>
      </c>
      <c r="AJ56">
        <v>-4.4914134742404209E-2</v>
      </c>
      <c r="AK56">
        <v>0</v>
      </c>
      <c r="AL56">
        <v>0</v>
      </c>
      <c r="AM56">
        <v>-5.0420168067226941E-2</v>
      </c>
      <c r="AN56">
        <v>-6.5573770491803338E-2</v>
      </c>
      <c r="AO56">
        <v>-0.38461538461538453</v>
      </c>
      <c r="AP56">
        <v>-5.26315789473683E-2</v>
      </c>
      <c r="AQ56">
        <v>-7.5000000000000067E-2</v>
      </c>
      <c r="AR56">
        <v>4.5544554455445453E-2</v>
      </c>
      <c r="AS56">
        <v>5.6818181818181872E-3</v>
      </c>
      <c r="AT56">
        <v>0.14285714285714299</v>
      </c>
      <c r="AU56">
        <v>-3.5483870967741894E-2</v>
      </c>
      <c r="AV56">
        <v>-5.0000000000000044E-2</v>
      </c>
      <c r="AW56">
        <v>2.0000000000000018E-2</v>
      </c>
      <c r="AX56">
        <v>-3.731343283582076E-2</v>
      </c>
      <c r="AY56">
        <v>1.6666666666666607E-2</v>
      </c>
      <c r="AZ56">
        <v>-9.1463414634146339E-2</v>
      </c>
      <c r="BA56">
        <v>4.0000000000000036E-2</v>
      </c>
      <c r="BB56">
        <v>0</v>
      </c>
      <c r="BC56">
        <v>-3.7383177570092662E-3</v>
      </c>
      <c r="BD56">
        <v>0.19999999999999996</v>
      </c>
      <c r="BE56">
        <v>-1.2422360248447215E-2</v>
      </c>
      <c r="BF56">
        <v>-2.8070175438596516E-2</v>
      </c>
      <c r="BG56">
        <v>-5.1282051282051253E-2</v>
      </c>
      <c r="BH56">
        <v>-1.3513513513513526E-2</v>
      </c>
      <c r="BI56">
        <v>-7.6923076923076844E-2</v>
      </c>
      <c r="BJ56">
        <v>4.2553191489361743E-2</v>
      </c>
      <c r="BK56">
        <v>0</v>
      </c>
      <c r="BL56">
        <v>1.4018691588785163E-2</v>
      </c>
      <c r="BM56">
        <v>0</v>
      </c>
      <c r="BN56">
        <v>-7.6923076923076983E-2</v>
      </c>
      <c r="BO56">
        <v>0</v>
      </c>
      <c r="BP56">
        <v>-4.6728971962616862E-2</v>
      </c>
      <c r="BQ56">
        <v>-4.0816326530612283E-2</v>
      </c>
      <c r="BR56">
        <v>0.18421052631578949</v>
      </c>
      <c r="BS56">
        <v>0</v>
      </c>
      <c r="BT56">
        <v>-0.16666666666666663</v>
      </c>
      <c r="BU56">
        <v>-0.14285714285714285</v>
      </c>
      <c r="BV56">
        <v>-3.3402922755741159E-2</v>
      </c>
      <c r="BW56">
        <v>-2.3437500000000021E-2</v>
      </c>
      <c r="BY56">
        <v>-3.0487804878048811E-2</v>
      </c>
      <c r="BZ56">
        <v>-7.6744186046511648E-2</v>
      </c>
      <c r="CA56">
        <v>-9.999999999999995E-2</v>
      </c>
      <c r="CB56">
        <v>-4.0446304044630413E-2</v>
      </c>
      <c r="CC56">
        <v>-4.0000000000000036E-2</v>
      </c>
      <c r="CD56">
        <v>-9.3484419263456117E-2</v>
      </c>
      <c r="CE56">
        <v>-1.3458950201884326E-2</v>
      </c>
      <c r="CF56">
        <v>-3.3259423503326023E-2</v>
      </c>
      <c r="CG56">
        <v>-3.021148036253779E-2</v>
      </c>
      <c r="CI56">
        <v>-4.6391752577319513E-2</v>
      </c>
      <c r="CJ56">
        <v>-0.15102040816326534</v>
      </c>
      <c r="CK56">
        <v>-0.10989010989010986</v>
      </c>
      <c r="CL56">
        <v>2.5641025641025664E-2</v>
      </c>
      <c r="CM56">
        <v>-3.056768558951958E-2</v>
      </c>
      <c r="CN56">
        <v>5.0000000000000044E-2</v>
      </c>
      <c r="CO56">
        <v>0.14000000000000001</v>
      </c>
      <c r="CP56">
        <v>-0.79999999999999993</v>
      </c>
      <c r="CQ56">
        <v>0</v>
      </c>
      <c r="CR56">
        <v>-5.5118110236220416E-2</v>
      </c>
      <c r="CT56">
        <v>-5.9880239520958008E-2</v>
      </c>
      <c r="CU56">
        <v>0.29946524064171126</v>
      </c>
      <c r="CV56">
        <v>-3.5294117647058858E-2</v>
      </c>
      <c r="CW56">
        <v>-6.0518731988472609E-2</v>
      </c>
      <c r="CX56">
        <v>-0.11442193087008352</v>
      </c>
      <c r="CY56">
        <v>6.2500000000000056E-3</v>
      </c>
      <c r="CZ56">
        <v>-3.4482758620689689E-2</v>
      </c>
      <c r="DA56">
        <v>0.13467741935483871</v>
      </c>
      <c r="DB56">
        <v>-4.8034934497816539E-2</v>
      </c>
      <c r="DC56">
        <v>7.6142131979695382E-2</v>
      </c>
      <c r="DD56">
        <v>-6.7073170731707377E-2</v>
      </c>
      <c r="DE56">
        <v>-5.0819672131147478E-2</v>
      </c>
      <c r="DF56">
        <v>6.1728395061728447E-2</v>
      </c>
      <c r="DH56">
        <v>3.0411449016100166E-2</v>
      </c>
      <c r="DI56">
        <v>6.6225165562913968E-3</v>
      </c>
      <c r="DJ56">
        <v>-5.396825396825395E-2</v>
      </c>
      <c r="DK56">
        <v>-0.17832167832167842</v>
      </c>
      <c r="DL56">
        <v>4.7846889952154218E-3</v>
      </c>
      <c r="DM56">
        <v>-9.9502487562189157E-3</v>
      </c>
      <c r="DN56">
        <v>-0.1875</v>
      </c>
      <c r="DO56">
        <v>-1.000000000000004E-2</v>
      </c>
    </row>
    <row r="57" spans="1:119" x14ac:dyDescent="0.3">
      <c r="A57" s="64" t="s">
        <v>9099</v>
      </c>
      <c r="B57">
        <v>1.768867924528306E-2</v>
      </c>
      <c r="D57">
        <v>-8.3682008368200899E-3</v>
      </c>
      <c r="E57">
        <v>1.5337423312883382E-2</v>
      </c>
      <c r="F57">
        <v>0.12499999999999993</v>
      </c>
      <c r="H57">
        <v>0</v>
      </c>
      <c r="I57">
        <v>-1.6806722689075647E-2</v>
      </c>
      <c r="J57">
        <v>1.6949152542372899E-2</v>
      </c>
      <c r="K57">
        <v>-2.3474178403755788E-2</v>
      </c>
      <c r="L57">
        <v>0</v>
      </c>
      <c r="M57">
        <v>-6.2146892655367159E-2</v>
      </c>
      <c r="N57">
        <v>0</v>
      </c>
      <c r="O57">
        <v>0</v>
      </c>
      <c r="P57">
        <v>0</v>
      </c>
      <c r="Q57">
        <v>-8.5714285714285163E-3</v>
      </c>
      <c r="R57">
        <v>9.8591549295774586E-2</v>
      </c>
      <c r="S57">
        <v>-0.1399999999999999</v>
      </c>
      <c r="T57">
        <v>3.2258064516128941E-2</v>
      </c>
      <c r="U57">
        <v>-3.209876543209874E-2</v>
      </c>
      <c r="V57">
        <v>-3.8461538461538443E-2</v>
      </c>
      <c r="W57">
        <v>-7.0422535211267356E-3</v>
      </c>
      <c r="X57">
        <v>-2.2099447513812175E-2</v>
      </c>
      <c r="Y57">
        <v>0</v>
      </c>
      <c r="Z57">
        <v>0</v>
      </c>
      <c r="AA57">
        <v>1.1976047904191574E-2</v>
      </c>
      <c r="AB57">
        <v>-7.4929577464788635E-2</v>
      </c>
      <c r="AC57">
        <v>-2.8409090909090936E-2</v>
      </c>
      <c r="AD57">
        <v>4.3478260869565251E-2</v>
      </c>
      <c r="AE57">
        <v>0</v>
      </c>
      <c r="AF57">
        <v>-0.11649726348709932</v>
      </c>
      <c r="AG57">
        <v>-6.4516129032258118E-2</v>
      </c>
      <c r="AH57">
        <v>1.4084507042253534E-2</v>
      </c>
      <c r="AI57">
        <v>-1.3937282229965169E-2</v>
      </c>
      <c r="AJ57">
        <v>1.3422818791946022E-3</v>
      </c>
      <c r="AK57">
        <v>7.6923076923076983E-2</v>
      </c>
      <c r="AL57">
        <v>0</v>
      </c>
      <c r="AM57">
        <v>-1.7543859649122823E-2</v>
      </c>
      <c r="AN57">
        <v>-0.10344827586206906</v>
      </c>
      <c r="AO57">
        <v>0.15384615384615377</v>
      </c>
      <c r="AP57">
        <v>-2.9411764705882377E-2</v>
      </c>
      <c r="AQ57">
        <v>2.6845637583892641E-2</v>
      </c>
      <c r="AR57">
        <v>-6.6954643628509641E-2</v>
      </c>
      <c r="AS57">
        <v>3.3333333333333361E-2</v>
      </c>
      <c r="AT57">
        <v>-7.142857142857148E-2</v>
      </c>
      <c r="AU57">
        <v>-2.8213166144200722E-2</v>
      </c>
      <c r="AV57">
        <v>0</v>
      </c>
      <c r="AW57">
        <v>7.1428571428571369E-2</v>
      </c>
      <c r="AX57">
        <v>2.238805970149239E-2</v>
      </c>
      <c r="AY57">
        <v>6.6666666666666721E-2</v>
      </c>
      <c r="AZ57">
        <v>-3.0707070707070769E-2</v>
      </c>
      <c r="BA57">
        <v>0</v>
      </c>
      <c r="BB57">
        <v>-2.3255813953488393E-2</v>
      </c>
      <c r="BC57">
        <v>1.8761726078799182E-2</v>
      </c>
      <c r="BD57">
        <v>0</v>
      </c>
      <c r="BE57">
        <v>-3.7617554858934206E-2</v>
      </c>
      <c r="BF57">
        <v>-6.7114093959731603E-3</v>
      </c>
      <c r="BG57">
        <v>-3.4965034965034995E-2</v>
      </c>
      <c r="BH57">
        <v>-8.0459770114942472E-2</v>
      </c>
      <c r="BI57">
        <v>-3.5335689045936425E-2</v>
      </c>
      <c r="BJ57">
        <v>3.9999999999999925E-2</v>
      </c>
      <c r="BK57">
        <v>0</v>
      </c>
      <c r="BL57">
        <v>-4.7619047619047755E-2</v>
      </c>
      <c r="BM57">
        <v>0</v>
      </c>
      <c r="BN57">
        <v>0</v>
      </c>
      <c r="BO57">
        <v>1.2048192771084348E-2</v>
      </c>
      <c r="BP57">
        <v>0</v>
      </c>
      <c r="BQ57">
        <v>-0.11111111111111098</v>
      </c>
      <c r="BR57">
        <v>-9.0909090909090814E-2</v>
      </c>
      <c r="BS57">
        <v>0</v>
      </c>
      <c r="BT57">
        <v>6.6666666666666541E-2</v>
      </c>
      <c r="BU57">
        <v>0</v>
      </c>
      <c r="BV57">
        <v>-1.0224948875255588E-2</v>
      </c>
      <c r="BW57">
        <v>-3.9370078740157514E-2</v>
      </c>
      <c r="BY57">
        <v>-1.8181818181818198E-2</v>
      </c>
      <c r="BZ57">
        <v>4.2499999999999982E-2</v>
      </c>
      <c r="CA57">
        <v>-0.42105263157894729</v>
      </c>
      <c r="CB57">
        <v>-1.6238159675236823E-2</v>
      </c>
      <c r="CC57">
        <v>-0.1666666666666666</v>
      </c>
      <c r="CD57">
        <v>-2.952380952380957E-2</v>
      </c>
      <c r="CE57">
        <v>0</v>
      </c>
      <c r="CF57">
        <v>6.651884700665244E-3</v>
      </c>
      <c r="CG57">
        <v>-3.0303030303030332E-2</v>
      </c>
      <c r="CI57">
        <v>1.5228426395939063E-2</v>
      </c>
      <c r="CJ57">
        <v>2.2813688212927778E-2</v>
      </c>
      <c r="CK57">
        <v>1.111111111111112E-2</v>
      </c>
      <c r="CL57">
        <v>-3.2178217821782262E-2</v>
      </c>
      <c r="CM57">
        <v>-0.12444444444444455</v>
      </c>
      <c r="CN57">
        <v>5.0000000000000044E-2</v>
      </c>
      <c r="CO57">
        <v>-2.222222222222224E-2</v>
      </c>
      <c r="CP57">
        <v>-0.24999999999999986</v>
      </c>
      <c r="CQ57">
        <v>0.14285714285714288</v>
      </c>
      <c r="CR57">
        <v>-2.3255813953488427E-2</v>
      </c>
      <c r="CT57">
        <v>-1.7391304347826101E-2</v>
      </c>
      <c r="CU57">
        <v>-4.3010752688171956E-2</v>
      </c>
      <c r="CV57">
        <v>-4.0462427745664775E-2</v>
      </c>
      <c r="CW57">
        <v>-4.0579710144927443E-2</v>
      </c>
      <c r="CX57">
        <v>-4.2999999999999969E-2</v>
      </c>
      <c r="CY57">
        <v>0</v>
      </c>
      <c r="CZ57">
        <v>1.1627906976744196E-2</v>
      </c>
      <c r="DA57">
        <v>-8.0858085808580893E-2</v>
      </c>
      <c r="DB57">
        <v>2.1097046413502032E-2</v>
      </c>
      <c r="DC57">
        <v>-5.2631578947368472E-3</v>
      </c>
      <c r="DD57">
        <v>-1.1363636363636248E-2</v>
      </c>
      <c r="DE57">
        <v>-5.098684210526324E-2</v>
      </c>
      <c r="DF57">
        <v>0</v>
      </c>
      <c r="DH57">
        <v>-1.5679442508710777E-2</v>
      </c>
      <c r="DI57">
        <v>-7.6923076923076913E-2</v>
      </c>
      <c r="DJ57">
        <v>-1.2539184952978068E-2</v>
      </c>
      <c r="DK57">
        <v>-9.3023255813953432E-2</v>
      </c>
      <c r="DL57">
        <v>1.9417475728155355E-2</v>
      </c>
      <c r="DM57">
        <v>-4.975124378109568E-3</v>
      </c>
      <c r="DN57">
        <v>0.14285714285714296</v>
      </c>
      <c r="DO57">
        <v>-3.7241379310344769E-2</v>
      </c>
    </row>
    <row r="58" spans="1:119" x14ac:dyDescent="0.3">
      <c r="A58" s="64" t="s">
        <v>9100</v>
      </c>
      <c r="B58">
        <v>-3.3898305084745846E-2</v>
      </c>
      <c r="D58">
        <v>4.2016806722689114E-2</v>
      </c>
      <c r="E58">
        <v>-1.2307692307692318E-2</v>
      </c>
      <c r="F58">
        <v>-0.12499999999999993</v>
      </c>
      <c r="H58">
        <v>-9.3457943925233725E-3</v>
      </c>
      <c r="I58">
        <v>-7.936507936507943E-3</v>
      </c>
      <c r="J58">
        <v>-5.0847457627118689E-2</v>
      </c>
      <c r="K58">
        <v>1.3595166163141973E-2</v>
      </c>
      <c r="L58">
        <v>0</v>
      </c>
      <c r="M58">
        <v>4.210526315789466E-2</v>
      </c>
      <c r="N58">
        <v>-1.6393442622950834E-2</v>
      </c>
      <c r="O58">
        <v>0</v>
      </c>
      <c r="P58">
        <v>-0.5</v>
      </c>
      <c r="Q58">
        <v>5.6818181818181872E-3</v>
      </c>
      <c r="R58">
        <v>2.7027027027027053E-2</v>
      </c>
      <c r="S58">
        <v>3.636363636363639E-2</v>
      </c>
      <c r="T58">
        <v>1.0638297872340436E-2</v>
      </c>
      <c r="U58">
        <v>-1.9656019656019673E-2</v>
      </c>
      <c r="V58">
        <v>0</v>
      </c>
      <c r="W58">
        <v>2.2298456260720394E-2</v>
      </c>
      <c r="X58">
        <v>2.2608695652173893E-2</v>
      </c>
      <c r="Y58">
        <v>-0.14285714285714277</v>
      </c>
      <c r="Z58">
        <v>0</v>
      </c>
      <c r="AA58">
        <v>-6.2857142857142737E-2</v>
      </c>
      <c r="AB58">
        <v>-5.8593750000000035E-2</v>
      </c>
      <c r="AC58">
        <v>7.2254335260115612E-2</v>
      </c>
      <c r="AD58">
        <v>0</v>
      </c>
      <c r="AE58">
        <v>0</v>
      </c>
      <c r="AF58">
        <v>2.8931750741839804E-2</v>
      </c>
      <c r="AG58">
        <v>1.5197568389058776E-3</v>
      </c>
      <c r="AH58">
        <v>0</v>
      </c>
      <c r="AI58">
        <v>3.8314176245210767E-2</v>
      </c>
      <c r="AJ58">
        <v>-2.1822849807445435E-2</v>
      </c>
      <c r="AK58">
        <v>-0.15384615384615397</v>
      </c>
      <c r="AL58">
        <v>0.1666666666666666</v>
      </c>
      <c r="AM58">
        <v>-2.9166666666666601E-2</v>
      </c>
      <c r="AN58">
        <v>0.11290322580645172</v>
      </c>
      <c r="AO58">
        <v>-0.11111111111111106</v>
      </c>
      <c r="AP58">
        <v>-6.9930069930069999E-3</v>
      </c>
      <c r="AQ58">
        <v>9.3167701863354116E-2</v>
      </c>
      <c r="AR58">
        <v>-9.3181818181818213E-2</v>
      </c>
      <c r="AS58">
        <v>1.1173184357541908E-2</v>
      </c>
      <c r="AT58">
        <v>0</v>
      </c>
      <c r="AU58">
        <v>-3.0303030303029657E-3</v>
      </c>
      <c r="AV58">
        <v>-2.6845637583892641E-2</v>
      </c>
      <c r="AW58">
        <v>-0.17073170731707318</v>
      </c>
      <c r="AX58">
        <v>0</v>
      </c>
      <c r="AY58">
        <v>0</v>
      </c>
      <c r="AZ58">
        <v>8.1481481481482376E-3</v>
      </c>
      <c r="BA58">
        <v>0</v>
      </c>
      <c r="BB58">
        <v>-2.3255813953488393E-2</v>
      </c>
      <c r="BC58">
        <v>9.3457943925233326E-3</v>
      </c>
      <c r="BD58">
        <v>0.18181818181818185</v>
      </c>
      <c r="BE58">
        <v>0</v>
      </c>
      <c r="BF58">
        <v>-1.3071895424836612E-2</v>
      </c>
      <c r="BG58">
        <v>3.3222591362126276E-2</v>
      </c>
      <c r="BH58">
        <v>0.1136363636363636</v>
      </c>
      <c r="BI58">
        <v>-5.5737704918032767E-2</v>
      </c>
      <c r="BJ58">
        <v>4.1666666666666706E-2</v>
      </c>
      <c r="BK58">
        <v>0</v>
      </c>
      <c r="BL58">
        <v>-0.17982456140350866</v>
      </c>
      <c r="BM58">
        <v>3.3333333333333368E-2</v>
      </c>
      <c r="BN58">
        <v>0</v>
      </c>
      <c r="BO58">
        <v>-2.4096385542168697E-2</v>
      </c>
      <c r="BP58">
        <v>2.6785714285714309E-2</v>
      </c>
      <c r="BQ58">
        <v>9.7087378640776777E-3</v>
      </c>
      <c r="BR58">
        <v>3.8461538461538283E-2</v>
      </c>
      <c r="BS58">
        <v>0</v>
      </c>
      <c r="BT58">
        <v>1.4285714285714299E-2</v>
      </c>
      <c r="BU58">
        <v>4.7619047619047533E-2</v>
      </c>
      <c r="BV58">
        <v>2.9702970297029598E-2</v>
      </c>
      <c r="BW58">
        <v>-2.3076923076922926E-2</v>
      </c>
      <c r="BY58">
        <v>0</v>
      </c>
      <c r="BZ58">
        <v>7.390300230946889E-2</v>
      </c>
      <c r="CA58">
        <v>0.14285714285714274</v>
      </c>
      <c r="CB58">
        <v>2.9947916666666609E-2</v>
      </c>
      <c r="CC58">
        <v>0</v>
      </c>
      <c r="CD58">
        <v>-4.0905134899912869E-2</v>
      </c>
      <c r="CE58">
        <v>1.0389610389610398E-2</v>
      </c>
      <c r="CF58">
        <v>4.2918454935621398E-3</v>
      </c>
      <c r="CG58">
        <v>5.5882352941176459E-2</v>
      </c>
      <c r="CI58">
        <v>2.9126213592232966E-2</v>
      </c>
      <c r="CJ58">
        <v>3.3333333333333361E-2</v>
      </c>
      <c r="CK58">
        <v>-3.0000000000000027E-2</v>
      </c>
      <c r="CL58">
        <v>3.0456852791878201E-2</v>
      </c>
      <c r="CM58">
        <v>-4.7413793103448225E-2</v>
      </c>
      <c r="CN58">
        <v>-0.15789473684210525</v>
      </c>
      <c r="CO58">
        <v>2.6315789473684233E-2</v>
      </c>
      <c r="CP58">
        <v>0.375</v>
      </c>
      <c r="CQ58">
        <v>0</v>
      </c>
      <c r="CR58">
        <v>7.3529411764705621E-3</v>
      </c>
      <c r="CT58">
        <v>-2.4657534246575304E-2</v>
      </c>
      <c r="CU58">
        <v>7.6923076923075279E-3</v>
      </c>
      <c r="CV58">
        <v>1.1173184357541908E-2</v>
      </c>
      <c r="CW58">
        <v>-6.8306010928962718E-3</v>
      </c>
      <c r="CX58">
        <v>5.8394160583941652E-2</v>
      </c>
      <c r="CY58">
        <v>-3.2258064516129059E-2</v>
      </c>
      <c r="CZ58">
        <v>0</v>
      </c>
      <c r="DA58">
        <v>0.10526315789473681</v>
      </c>
      <c r="DB58">
        <v>-8.0645161290322648E-3</v>
      </c>
      <c r="DC58">
        <v>9.1428571428571387E-2</v>
      </c>
      <c r="DD58">
        <v>-3.2085561497326227E-2</v>
      </c>
      <c r="DE58">
        <v>0.10172143974960883</v>
      </c>
      <c r="DF58">
        <v>2.6315789473684233E-2</v>
      </c>
      <c r="DH58">
        <v>-4.4883303411131059E-2</v>
      </c>
      <c r="DI58">
        <v>3.3670033670033697E-2</v>
      </c>
      <c r="DJ58">
        <v>2.9761904761904788E-2</v>
      </c>
      <c r="DK58">
        <v>-9.3750000000000014E-2</v>
      </c>
      <c r="DL58">
        <v>-5.3658536585366012E-2</v>
      </c>
      <c r="DM58">
        <v>0</v>
      </c>
      <c r="DN58">
        <v>-0.11764705882352951</v>
      </c>
      <c r="DO58">
        <v>5.3278688524590119E-2</v>
      </c>
    </row>
    <row r="59" spans="1:119" x14ac:dyDescent="0.3">
      <c r="A59" s="64" t="s">
        <v>9101</v>
      </c>
      <c r="B59">
        <v>2.8735632183908049E-2</v>
      </c>
      <c r="D59">
        <v>3.333333333333318E-2</v>
      </c>
      <c r="E59">
        <v>-2.187499999999995E-2</v>
      </c>
      <c r="F59">
        <v>0</v>
      </c>
      <c r="H59">
        <v>-1.8691588785046745E-2</v>
      </c>
      <c r="I59">
        <v>-3.9062500000000035E-2</v>
      </c>
      <c r="J59">
        <v>1.7241379310344845E-2</v>
      </c>
      <c r="K59">
        <v>-6.2038404726735594E-2</v>
      </c>
      <c r="L59">
        <v>-2.7777777777777801E-2</v>
      </c>
      <c r="M59">
        <v>2.9850746268656636E-2</v>
      </c>
      <c r="N59">
        <v>-4.9180327868852507E-2</v>
      </c>
      <c r="O59">
        <v>0</v>
      </c>
      <c r="P59">
        <v>0</v>
      </c>
      <c r="Q59">
        <v>-1.4084507042253596E-2</v>
      </c>
      <c r="R59">
        <v>-7.4626865671641687E-2</v>
      </c>
      <c r="S59">
        <v>-1.612903225806453E-2</v>
      </c>
      <c r="T59">
        <v>-2.1978021978021997E-2</v>
      </c>
      <c r="U59">
        <v>-8.8095238095238115E-2</v>
      </c>
      <c r="V59">
        <v>-3.0000000000000027E-2</v>
      </c>
      <c r="W59">
        <v>1.7006802721088374E-2</v>
      </c>
      <c r="X59">
        <v>3.2367972742759862E-2</v>
      </c>
      <c r="Y59">
        <v>0</v>
      </c>
      <c r="Z59">
        <v>0</v>
      </c>
      <c r="AA59">
        <v>-0.20809248554913301</v>
      </c>
      <c r="AB59">
        <v>-3.5844155844155727E-2</v>
      </c>
      <c r="AC59">
        <v>-5.3370786516853917E-2</v>
      </c>
      <c r="AD59">
        <v>0</v>
      </c>
      <c r="AE59">
        <v>0</v>
      </c>
      <c r="AF59">
        <v>-7.8156312625250496E-2</v>
      </c>
      <c r="AG59">
        <v>9.1690544412607392E-2</v>
      </c>
      <c r="AH59">
        <v>0</v>
      </c>
      <c r="AI59">
        <v>2.075471698113197E-2</v>
      </c>
      <c r="AJ59">
        <v>4.3701799485861163E-2</v>
      </c>
      <c r="AK59">
        <v>0.16666666666666682</v>
      </c>
      <c r="AL59">
        <v>-0.33333333333333343</v>
      </c>
      <c r="AM59">
        <v>3.2786885245901488E-2</v>
      </c>
      <c r="AN59">
        <v>1.4705882352941188E-2</v>
      </c>
      <c r="AO59">
        <v>6.2499999999999882E-2</v>
      </c>
      <c r="AP59">
        <v>-6.80272108843538E-3</v>
      </c>
      <c r="AQ59">
        <v>-1.2738853503184724E-2</v>
      </c>
      <c r="AR59">
        <v>-0.21443736730360929</v>
      </c>
      <c r="AS59">
        <v>-1.7341040462427761E-2</v>
      </c>
      <c r="AT59">
        <v>1.8518518518518535E-2</v>
      </c>
      <c r="AU59">
        <v>-2.9498525073746993E-3</v>
      </c>
      <c r="AV59">
        <v>0</v>
      </c>
      <c r="AW59">
        <v>0.13157894736842102</v>
      </c>
      <c r="AX59">
        <v>-1.4705882352941025E-2</v>
      </c>
      <c r="AY59">
        <v>7.2727272727272788E-3</v>
      </c>
      <c r="AZ59">
        <v>-2.3775216138328534E-2</v>
      </c>
      <c r="BA59">
        <v>0</v>
      </c>
      <c r="BB59">
        <v>-5.681818181818174E-2</v>
      </c>
      <c r="BC59">
        <v>-1.904761904761898E-2</v>
      </c>
      <c r="BD59">
        <v>0.18181818181818174</v>
      </c>
      <c r="BE59">
        <v>1.7910447761194045E-2</v>
      </c>
      <c r="BF59">
        <v>-4.2207792207792173E-2</v>
      </c>
      <c r="BG59">
        <v>-3.8585209003215472E-2</v>
      </c>
      <c r="BH59">
        <v>4.210526315789466E-2</v>
      </c>
      <c r="BI59">
        <v>3.8095238095237988E-2</v>
      </c>
      <c r="BJ59">
        <v>0</v>
      </c>
      <c r="BK59">
        <v>0</v>
      </c>
      <c r="BL59">
        <v>8.3682008368200899E-3</v>
      </c>
      <c r="BM59">
        <v>0</v>
      </c>
      <c r="BN59">
        <v>0</v>
      </c>
      <c r="BO59">
        <v>0.23170731707317069</v>
      </c>
      <c r="BP59">
        <v>2.6785714285714309E-2</v>
      </c>
      <c r="BQ59">
        <v>0</v>
      </c>
      <c r="BR59">
        <v>-0.17241379310344826</v>
      </c>
      <c r="BS59">
        <v>-1</v>
      </c>
      <c r="BT59">
        <v>0</v>
      </c>
      <c r="BU59">
        <v>4.7619047619047665E-2</v>
      </c>
      <c r="BV59">
        <v>-2.7450980392156803E-2</v>
      </c>
      <c r="BW59">
        <v>-4.4444444444444481E-2</v>
      </c>
      <c r="BY59">
        <v>-2.3121387283237014E-2</v>
      </c>
      <c r="BZ59">
        <v>-9.6153846153846229E-3</v>
      </c>
      <c r="CA59">
        <v>-3.4482758620689689E-2</v>
      </c>
      <c r="CB59">
        <v>-1.7948717948717909E-2</v>
      </c>
      <c r="CC59">
        <v>6.8965517241379184E-2</v>
      </c>
      <c r="CD59">
        <v>-0.13135593220338987</v>
      </c>
      <c r="CE59">
        <v>-1.0389610389610398E-2</v>
      </c>
      <c r="CF59">
        <v>-4.3196544276457728E-2</v>
      </c>
      <c r="CG59">
        <v>4.0000000000000036E-2</v>
      </c>
      <c r="CI59">
        <v>5.911330049261089E-2</v>
      </c>
      <c r="CJ59">
        <v>-2.3809523809523905E-2</v>
      </c>
      <c r="CK59">
        <v>-5.0505050505050553E-2</v>
      </c>
      <c r="CL59">
        <v>-1.9656019656019673E-2</v>
      </c>
      <c r="CM59">
        <v>0.19615384615384607</v>
      </c>
      <c r="CN59">
        <v>-5.5555555555555608E-2</v>
      </c>
      <c r="CO59">
        <v>7.6923076923076983E-2</v>
      </c>
      <c r="CP59">
        <v>0.11111111111111106</v>
      </c>
      <c r="CQ59">
        <v>0</v>
      </c>
      <c r="CR59">
        <v>1.0071942446043206E-2</v>
      </c>
      <c r="CT59">
        <v>-3.7735849056603807E-2</v>
      </c>
      <c r="CU59">
        <v>0.10869565217391315</v>
      </c>
      <c r="CV59">
        <v>-4.8387096774193471E-2</v>
      </c>
      <c r="CW59">
        <v>-3.9473684210525476E-3</v>
      </c>
      <c r="CX59">
        <v>-0.19754170324846357</v>
      </c>
      <c r="CY59">
        <v>3.8709677419354875E-2</v>
      </c>
      <c r="CZ59">
        <v>3.4090909090909123E-2</v>
      </c>
      <c r="DA59">
        <v>-0.21609798775153111</v>
      </c>
      <c r="DB59">
        <v>-4.1152263374485451E-2</v>
      </c>
      <c r="DC59">
        <v>0</v>
      </c>
      <c r="DD59">
        <v>-6.8783068783068849E-2</v>
      </c>
      <c r="DE59">
        <v>6.4179104477611895E-2</v>
      </c>
      <c r="DF59">
        <v>-1.3157894736842117E-2</v>
      </c>
      <c r="DH59">
        <v>-1.060070671378085E-2</v>
      </c>
      <c r="DI59">
        <v>4.6874999999999972E-2</v>
      </c>
      <c r="DJ59">
        <v>-5.2941176470588283E-2</v>
      </c>
      <c r="DK59">
        <v>1.8421052631579022E-2</v>
      </c>
      <c r="DL59">
        <v>1.9900497512437831E-2</v>
      </c>
      <c r="DM59">
        <v>0</v>
      </c>
      <c r="DN59">
        <v>0</v>
      </c>
      <c r="DO59">
        <v>1.9762845849802417E-2</v>
      </c>
    </row>
    <row r="60" spans="1:119" x14ac:dyDescent="0.3">
      <c r="A60" s="64" t="s">
        <v>9102</v>
      </c>
      <c r="B60">
        <v>2.7777777777777776E-2</v>
      </c>
      <c r="D60">
        <v>0</v>
      </c>
      <c r="E60">
        <v>8.6419753086419818E-2</v>
      </c>
      <c r="F60">
        <v>0.12499999999999993</v>
      </c>
      <c r="H60">
        <v>0</v>
      </c>
      <c r="I60">
        <v>0</v>
      </c>
      <c r="J60">
        <v>-1.6393442622950834E-2</v>
      </c>
      <c r="K60">
        <v>-2.994011976047907E-2</v>
      </c>
      <c r="L60">
        <v>0</v>
      </c>
      <c r="M60">
        <v>4.6632124352331647E-2</v>
      </c>
      <c r="N60">
        <v>1.612903225806453E-2</v>
      </c>
      <c r="O60">
        <v>0</v>
      </c>
      <c r="P60">
        <v>0</v>
      </c>
      <c r="Q60">
        <v>-2.8328611898016396E-3</v>
      </c>
      <c r="R60">
        <v>-1.5384615384615398E-2</v>
      </c>
      <c r="S60">
        <v>-5.0000000000000044E-2</v>
      </c>
      <c r="T60">
        <v>0</v>
      </c>
      <c r="U60">
        <v>-4.6728971962616654E-2</v>
      </c>
      <c r="V60">
        <v>-4.4999999999999929E-2</v>
      </c>
      <c r="W60">
        <v>-8.6956521739130432E-2</v>
      </c>
      <c r="X60">
        <v>-5.7491289198606285E-2</v>
      </c>
      <c r="Y60">
        <v>0</v>
      </c>
      <c r="Z60">
        <v>0</v>
      </c>
      <c r="AA60">
        <v>0.10869565217391305</v>
      </c>
      <c r="AB60">
        <v>-8.128078817734001E-2</v>
      </c>
      <c r="AC60">
        <v>4.8338368580060465E-2</v>
      </c>
      <c r="AD60">
        <v>0.15384615384615388</v>
      </c>
      <c r="AE60">
        <v>0</v>
      </c>
      <c r="AF60">
        <v>3.6351165980795568E-2</v>
      </c>
      <c r="AG60">
        <v>-2.7259684361549429E-2</v>
      </c>
      <c r="AH60">
        <v>2.0270270270270289E-2</v>
      </c>
      <c r="AI60">
        <v>2.1568627450980458E-2</v>
      </c>
      <c r="AJ60">
        <v>-2.3899371069182326E-2</v>
      </c>
      <c r="AK60">
        <v>0</v>
      </c>
      <c r="AL60">
        <v>0</v>
      </c>
      <c r="AM60">
        <v>-5.5776892430278759E-2</v>
      </c>
      <c r="AN60">
        <v>8.1967213114753995E-2</v>
      </c>
      <c r="AO60">
        <v>0</v>
      </c>
      <c r="AP60">
        <v>-4.0540540540540577E-2</v>
      </c>
      <c r="AQ60">
        <v>-7.0422535211267668E-3</v>
      </c>
      <c r="AR60">
        <v>4.1015624999999993E-2</v>
      </c>
      <c r="AS60">
        <v>1.7543859649122823E-2</v>
      </c>
      <c r="AT60">
        <v>-7.4074074074073931E-2</v>
      </c>
      <c r="AU60">
        <v>-3.8235294117647027E-2</v>
      </c>
      <c r="AV60">
        <v>-6.5359477124183061E-3</v>
      </c>
      <c r="AW60">
        <v>-0.19999999999999993</v>
      </c>
      <c r="AX60">
        <v>-1.4705882352941188E-2</v>
      </c>
      <c r="AY60">
        <v>4.0000000000000036E-2</v>
      </c>
      <c r="AZ60">
        <v>-5.9912854030501166E-2</v>
      </c>
      <c r="BA60">
        <v>4.1666666666666588E-2</v>
      </c>
      <c r="BB60">
        <v>0</v>
      </c>
      <c r="BC60">
        <v>9.6153846153845812E-3</v>
      </c>
      <c r="BD60">
        <v>-0.44444444444444442</v>
      </c>
      <c r="BE60">
        <v>-1.7910447761194045E-2</v>
      </c>
      <c r="BF60">
        <v>3.2051282051281365E-3</v>
      </c>
      <c r="BG60">
        <v>-3.9867109634551534E-2</v>
      </c>
      <c r="BH60">
        <v>-3.5294117647058726E-2</v>
      </c>
      <c r="BI60">
        <v>6.0240963855421742E-3</v>
      </c>
      <c r="BJ60">
        <v>2.2727272727272749E-2</v>
      </c>
      <c r="BK60">
        <v>-0.5</v>
      </c>
      <c r="BL60">
        <v>3.2142857142857091E-2</v>
      </c>
      <c r="BM60">
        <v>0</v>
      </c>
      <c r="BN60">
        <v>0</v>
      </c>
      <c r="BO60">
        <v>-2.3809523809523832E-2</v>
      </c>
      <c r="BP60">
        <v>-1.8348623853211024E-2</v>
      </c>
      <c r="BQ60">
        <v>-7.0796460176991219E-2</v>
      </c>
      <c r="BR60">
        <v>3.571428571428574E-2</v>
      </c>
      <c r="BS60">
        <v>0</v>
      </c>
      <c r="BT60">
        <v>6.153846153846159E-2</v>
      </c>
      <c r="BU60">
        <v>5.0000000000000044E-2</v>
      </c>
      <c r="BV60">
        <v>-2.8282828282828396E-2</v>
      </c>
      <c r="BW60">
        <v>1.449275362318842E-2</v>
      </c>
      <c r="BY60">
        <v>-1.7341040462427761E-2</v>
      </c>
      <c r="BZ60">
        <v>-4.9479166666666768E-2</v>
      </c>
      <c r="CA60">
        <v>-7.6923076923076775E-2</v>
      </c>
      <c r="CB60">
        <v>-1.7173051519154544E-2</v>
      </c>
      <c r="CC60">
        <v>3.4482758620689689E-2</v>
      </c>
      <c r="CD60">
        <v>5.704971475142648E-3</v>
      </c>
      <c r="CE60">
        <v>-3.2808398950131233E-2</v>
      </c>
      <c r="CF60">
        <v>-1.9522776572668273E-2</v>
      </c>
      <c r="CG60">
        <v>3.32326283987915E-2</v>
      </c>
      <c r="CI60">
        <v>0</v>
      </c>
      <c r="CJ60">
        <v>-0.15845070422535204</v>
      </c>
      <c r="CK60">
        <v>0</v>
      </c>
      <c r="CL60">
        <v>-2.531645569620199E-3</v>
      </c>
      <c r="CM60">
        <v>3.3210332103321145E-2</v>
      </c>
      <c r="CN60">
        <v>0.19047619047619052</v>
      </c>
      <c r="CO60">
        <v>0.13157894736842102</v>
      </c>
      <c r="CP60">
        <v>0</v>
      </c>
      <c r="CQ60">
        <v>5.5555555555555601E-2</v>
      </c>
      <c r="CR60">
        <v>-2.7536231884057898E-2</v>
      </c>
      <c r="CT60">
        <v>-7.8947368421053293E-3</v>
      </c>
      <c r="CU60">
        <v>-6.5693430656934365E-2</v>
      </c>
      <c r="CV60">
        <v>-5.4347826086956564E-3</v>
      </c>
      <c r="CW60">
        <v>-1.0457516339869289E-2</v>
      </c>
      <c r="CX60">
        <v>0.20930232558139536</v>
      </c>
      <c r="CY60">
        <v>9.3750000000000777E-3</v>
      </c>
      <c r="CZ60">
        <v>6.8181818181818121E-2</v>
      </c>
      <c r="DA60">
        <v>0.13552758954501457</v>
      </c>
      <c r="DB60">
        <v>-2.0408163265306228E-2</v>
      </c>
      <c r="DC60">
        <v>-3.7499999999999895E-2</v>
      </c>
      <c r="DD60">
        <v>-2.564102564102555E-2</v>
      </c>
      <c r="DE60">
        <v>9.9173553719009086E-3</v>
      </c>
      <c r="DF60">
        <v>-4.0540540540540577E-2</v>
      </c>
      <c r="DH60">
        <v>-4.9069373942470393E-2</v>
      </c>
      <c r="DI60">
        <v>3.2258064516129778E-3</v>
      </c>
      <c r="DJ60">
        <v>9.0909090909090315E-3</v>
      </c>
      <c r="DK60">
        <v>3.8740920096852226E-2</v>
      </c>
      <c r="DL60">
        <v>-1.4150943396226322E-2</v>
      </c>
      <c r="DM60">
        <v>-9.8039215686274595E-3</v>
      </c>
      <c r="DN60">
        <v>5.8823529411764754E-2</v>
      </c>
      <c r="DO60">
        <v>-2.6388888888888941E-2</v>
      </c>
    </row>
    <row r="61" spans="1:119" x14ac:dyDescent="0.3">
      <c r="A61" s="64" t="s">
        <v>9103</v>
      </c>
      <c r="B61">
        <v>0.13714285714285715</v>
      </c>
      <c r="D61">
        <v>-1.8018018018017834E-2</v>
      </c>
      <c r="E61">
        <v>2.1148036253776387E-2</v>
      </c>
      <c r="F61">
        <v>0</v>
      </c>
      <c r="H61">
        <v>2.7272727272727296E-2</v>
      </c>
      <c r="I61">
        <v>2.2388059701492557E-2</v>
      </c>
      <c r="J61">
        <v>1.6666666666666684E-2</v>
      </c>
      <c r="K61">
        <v>3.3802816901408482E-2</v>
      </c>
      <c r="L61">
        <v>1.8018018018018032E-2</v>
      </c>
      <c r="M61">
        <v>-1.0695187165775409E-2</v>
      </c>
      <c r="N61">
        <v>3.0769230769230795E-2</v>
      </c>
      <c r="O61">
        <v>0</v>
      </c>
      <c r="P61">
        <v>0</v>
      </c>
      <c r="Q61">
        <v>6.7039106145251326E-2</v>
      </c>
      <c r="R61">
        <v>7.1428571428571341E-2</v>
      </c>
      <c r="S61">
        <v>9.8360655737705013E-2</v>
      </c>
      <c r="T61">
        <v>5.4347826086956569E-2</v>
      </c>
      <c r="U61">
        <v>2.5806451612903056E-2</v>
      </c>
      <c r="V61">
        <v>7.2815533980582478E-2</v>
      </c>
      <c r="W61">
        <v>4.4247787610619468E-2</v>
      </c>
      <c r="X61">
        <v>3.603603603603607E-2</v>
      </c>
      <c r="Y61">
        <v>0.12499999999999993</v>
      </c>
      <c r="Z61">
        <v>0</v>
      </c>
      <c r="AA61">
        <v>5.0909090909090952E-2</v>
      </c>
      <c r="AB61">
        <v>8.623153882801346E-2</v>
      </c>
      <c r="AC61">
        <v>0.16571428571428573</v>
      </c>
      <c r="AD61">
        <v>3.8461538461538491E-2</v>
      </c>
      <c r="AE61">
        <v>0.15454545454545457</v>
      </c>
      <c r="AF61">
        <v>8.6349206349206425E-2</v>
      </c>
      <c r="AG61">
        <v>8.8467614533965178E-2</v>
      </c>
      <c r="AH61">
        <v>8.7837837837837773E-2</v>
      </c>
      <c r="AI61">
        <v>2.0040080160320215E-3</v>
      </c>
      <c r="AJ61">
        <v>4.4678055190538746E-2</v>
      </c>
      <c r="AK61">
        <v>8.3333333333333301E-2</v>
      </c>
      <c r="AL61">
        <v>-0.28571428571428553</v>
      </c>
      <c r="AM61">
        <v>7.8189300411522611E-2</v>
      </c>
      <c r="AN61">
        <v>-6.6666666666666541E-2</v>
      </c>
      <c r="AO61">
        <v>0.1764705882352941</v>
      </c>
      <c r="AP61">
        <v>3.35570469798658E-2</v>
      </c>
      <c r="AQ61">
        <v>0.11805555555555551</v>
      </c>
      <c r="AR61">
        <v>3.5889070146818886E-2</v>
      </c>
      <c r="AS61">
        <v>8.0459770114942472E-2</v>
      </c>
      <c r="AT61">
        <v>-9.433962264150951E-2</v>
      </c>
      <c r="AU61">
        <v>2.63929618768328E-2</v>
      </c>
      <c r="AV61">
        <v>1.9607843137254919E-2</v>
      </c>
      <c r="AW61">
        <v>5.0000000000000044E-2</v>
      </c>
      <c r="AX61">
        <v>6.5217391304347727E-2</v>
      </c>
      <c r="AY61">
        <v>-2.7397260273972629E-2</v>
      </c>
      <c r="AZ61">
        <v>3.7234042553191515E-2</v>
      </c>
      <c r="BA61">
        <v>0</v>
      </c>
      <c r="BB61">
        <v>4.210526315789466E-2</v>
      </c>
      <c r="BC61">
        <v>-9.4339622641509101E-3</v>
      </c>
      <c r="BD61">
        <v>0.21428571428571425</v>
      </c>
      <c r="BE61">
        <v>-2.1276595744680802E-2</v>
      </c>
      <c r="BF61">
        <v>2.7692307692307787E-2</v>
      </c>
      <c r="BG61">
        <v>0.10862619808306705</v>
      </c>
      <c r="BH61">
        <v>2.4691358024691377E-2</v>
      </c>
      <c r="BI61">
        <v>1.5625000000000083E-2</v>
      </c>
      <c r="BJ61">
        <v>4.5454545454545497E-2</v>
      </c>
      <c r="BK61">
        <v>0</v>
      </c>
      <c r="BL61">
        <v>1.0791366906474751E-2</v>
      </c>
      <c r="BM61">
        <v>-8.6206896551724227E-2</v>
      </c>
      <c r="BN61">
        <v>-0.15384615384615377</v>
      </c>
      <c r="BO61">
        <v>0</v>
      </c>
      <c r="BP61">
        <v>9.4339622641509517E-3</v>
      </c>
      <c r="BQ61">
        <v>4.424778761061951E-2</v>
      </c>
      <c r="BR61">
        <v>-0.24242424242424246</v>
      </c>
      <c r="BS61">
        <v>0</v>
      </c>
      <c r="BT61">
        <v>7.6923076923076816E-2</v>
      </c>
      <c r="BU61">
        <v>-0.2631578947368422</v>
      </c>
      <c r="BV61">
        <v>1.5717092337917498E-2</v>
      </c>
      <c r="BW61">
        <v>1.3888888888888902E-2</v>
      </c>
      <c r="BY61">
        <v>3.9548022598870095E-2</v>
      </c>
      <c r="BZ61">
        <v>0.12113402061855676</v>
      </c>
      <c r="CA61">
        <v>-7.4074074074074139E-2</v>
      </c>
      <c r="CB61">
        <v>-8.9494163424124445E-2</v>
      </c>
      <c r="CC61">
        <v>3.703703703703707E-2</v>
      </c>
      <c r="CD61">
        <v>6.5123010130246045E-2</v>
      </c>
      <c r="CE61">
        <v>7.2727272727272793E-2</v>
      </c>
      <c r="CF61">
        <v>5.6133056133056233E-2</v>
      </c>
      <c r="CG61">
        <v>-4.4164037854889628E-2</v>
      </c>
      <c r="CI61">
        <v>7.3873873873873896E-2</v>
      </c>
      <c r="CJ61">
        <v>3.7800687285223324E-2</v>
      </c>
      <c r="CK61">
        <v>3.2710280373831904E-2</v>
      </c>
      <c r="CL61">
        <v>3.2258064516129004E-2</v>
      </c>
      <c r="CM61">
        <v>-6.8181818181818135E-2</v>
      </c>
      <c r="CN61">
        <v>-4.5454545454545497E-2</v>
      </c>
      <c r="CO61">
        <v>0</v>
      </c>
      <c r="CP61">
        <v>0.20000000000000004</v>
      </c>
      <c r="CQ61">
        <v>8.3333333333333287E-2</v>
      </c>
      <c r="CR61">
        <v>-4.6852122986822883E-2</v>
      </c>
      <c r="CT61">
        <v>-2.5380710659897937E-3</v>
      </c>
      <c r="CU61">
        <v>1.6393442622950834E-2</v>
      </c>
      <c r="CV61">
        <v>3.1088082901554431E-2</v>
      </c>
      <c r="CW61">
        <v>0.12109374999999997</v>
      </c>
      <c r="CX61">
        <v>0.15384615384615385</v>
      </c>
      <c r="CY61">
        <v>1.6233766233766177E-2</v>
      </c>
      <c r="CZ61">
        <v>1.1764705882352951E-2</v>
      </c>
      <c r="DA61">
        <v>5.4687500000000083E-2</v>
      </c>
      <c r="DB61">
        <v>9.4117647058823625E-2</v>
      </c>
      <c r="DC61">
        <v>2.4999999999999883E-2</v>
      </c>
      <c r="DD61">
        <v>1.4423076923076828E-2</v>
      </c>
      <c r="DE61">
        <v>0.1138790035587188</v>
      </c>
      <c r="DF61">
        <v>2.6666666666666689E-2</v>
      </c>
      <c r="DH61">
        <v>1.5075376884422087E-2</v>
      </c>
      <c r="DI61">
        <v>5.0847457627118613E-2</v>
      </c>
      <c r="DJ61">
        <v>0</v>
      </c>
      <c r="DK61">
        <v>2.9556650246305449E-2</v>
      </c>
      <c r="DL61">
        <v>1.9230769230769246E-2</v>
      </c>
      <c r="DM61">
        <v>-9.8039215686274595E-3</v>
      </c>
      <c r="DN61">
        <v>-0.11764705882352934</v>
      </c>
      <c r="DO61">
        <v>0.24255319148936169</v>
      </c>
    </row>
    <row r="62" spans="1:119" x14ac:dyDescent="0.3">
      <c r="A62" s="64" t="s">
        <v>9104</v>
      </c>
      <c r="B62">
        <v>2.9411764705882353E-2</v>
      </c>
      <c r="D62">
        <v>2.7027027027026848E-2</v>
      </c>
      <c r="E62">
        <v>-4.620462046204625E-2</v>
      </c>
      <c r="F62">
        <v>0</v>
      </c>
      <c r="H62">
        <v>-9.0909090909090787E-2</v>
      </c>
      <c r="I62">
        <v>7.462686567164185E-3</v>
      </c>
      <c r="J62">
        <v>0</v>
      </c>
      <c r="K62">
        <v>-1.6438356164383577E-2</v>
      </c>
      <c r="L62">
        <v>0</v>
      </c>
      <c r="M62">
        <v>6.7415730337078705E-2</v>
      </c>
      <c r="N62">
        <v>0</v>
      </c>
      <c r="O62">
        <v>0</v>
      </c>
      <c r="P62">
        <v>0</v>
      </c>
      <c r="Q62">
        <v>-3.6211699164345378E-2</v>
      </c>
      <c r="R62">
        <v>-2.8169014084507067E-2</v>
      </c>
      <c r="S62">
        <v>-3.1250000000000028E-2</v>
      </c>
      <c r="T62">
        <v>-4.3478260869565251E-2</v>
      </c>
      <c r="U62">
        <v>-6.1855670103091471E-3</v>
      </c>
      <c r="V62">
        <v>-2.9069767441860465E-2</v>
      </c>
      <c r="W62">
        <v>3.414634146341463E-2</v>
      </c>
      <c r="X62">
        <v>-3.7414965986394669E-2</v>
      </c>
      <c r="Y62">
        <v>0</v>
      </c>
      <c r="Z62">
        <v>0</v>
      </c>
      <c r="AA62">
        <v>-3.2000000000000028E-2</v>
      </c>
      <c r="AB62">
        <v>-4.7261484098939939E-2</v>
      </c>
      <c r="AC62">
        <v>1.796407185628731E-2</v>
      </c>
      <c r="AD62">
        <v>0.22727272727272721</v>
      </c>
      <c r="AE62">
        <v>0</v>
      </c>
      <c r="AF62">
        <v>4.0078843626806797E-2</v>
      </c>
      <c r="AG62">
        <v>0.17791411042944788</v>
      </c>
      <c r="AH62">
        <v>-8.9655172413793033E-2</v>
      </c>
      <c r="AI62">
        <v>3.0737704918032859E-2</v>
      </c>
      <c r="AJ62">
        <v>3.8461538461538443E-2</v>
      </c>
      <c r="AK62">
        <v>0</v>
      </c>
      <c r="AL62">
        <v>0</v>
      </c>
      <c r="AM62">
        <v>-5.0583657587548597E-2</v>
      </c>
      <c r="AN62">
        <v>3.636363636363639E-2</v>
      </c>
      <c r="AO62">
        <v>-5.8823529411764594E-2</v>
      </c>
      <c r="AP62">
        <v>-3.8709677419354875E-2</v>
      </c>
      <c r="AQ62">
        <v>-1.3793103448275874E-2</v>
      </c>
      <c r="AR62">
        <v>4.2229729729729729E-2</v>
      </c>
      <c r="AS62">
        <v>2.9239766081871371E-2</v>
      </c>
      <c r="AT62">
        <v>-8.7719298245614127E-2</v>
      </c>
      <c r="AU62">
        <v>-5.3672316384180775E-2</v>
      </c>
      <c r="AV62">
        <v>6.4935064935064991E-3</v>
      </c>
      <c r="AW62">
        <v>0.14285714285714277</v>
      </c>
      <c r="AX62">
        <v>-3.5714285714285747E-2</v>
      </c>
      <c r="AY62">
        <v>0</v>
      </c>
      <c r="AZ62">
        <v>-6.030150753768846E-2</v>
      </c>
      <c r="BA62">
        <v>0</v>
      </c>
      <c r="BB62">
        <v>2.1052631578947389E-2</v>
      </c>
      <c r="BC62">
        <v>1.904761904761898E-2</v>
      </c>
      <c r="BD62">
        <v>-4.5454545454545497E-2</v>
      </c>
      <c r="BE62">
        <v>-2.3880597014925394E-2</v>
      </c>
      <c r="BF62">
        <v>-4.6296296296296266E-2</v>
      </c>
      <c r="BG62">
        <v>5.0769230769230782E-2</v>
      </c>
      <c r="BH62">
        <v>0.3571428571428571</v>
      </c>
      <c r="BI62">
        <v>2.8301886792452786E-2</v>
      </c>
      <c r="BJ62">
        <v>-6.9767441860465185E-2</v>
      </c>
      <c r="BK62">
        <v>0</v>
      </c>
      <c r="BL62">
        <v>7.8066914498141252E-2</v>
      </c>
      <c r="BM62">
        <v>0.17241379310344826</v>
      </c>
      <c r="BN62">
        <v>0</v>
      </c>
      <c r="BO62">
        <v>0.25373134328358216</v>
      </c>
      <c r="BP62">
        <v>3.703703703703707E-2</v>
      </c>
      <c r="BQ62">
        <v>8.2644628099173625E-3</v>
      </c>
      <c r="BR62">
        <v>0.12500000000000011</v>
      </c>
      <c r="BS62">
        <v>0</v>
      </c>
      <c r="BT62">
        <v>1.6393442622950834E-2</v>
      </c>
      <c r="BU62">
        <v>0</v>
      </c>
      <c r="BV62">
        <v>1.5296367112810719E-2</v>
      </c>
      <c r="BW62">
        <v>-2.8169014084507067E-2</v>
      </c>
      <c r="BY62">
        <v>5.5555555555555601E-3</v>
      </c>
      <c r="BZ62">
        <v>6.8796068796068852E-2</v>
      </c>
      <c r="CA62">
        <v>0.10344827586206887</v>
      </c>
      <c r="CB62">
        <v>3.8265306122448163E-3</v>
      </c>
      <c r="CC62">
        <v>7.6923076923076886E-2</v>
      </c>
      <c r="CD62">
        <v>7.9272727272727259E-2</v>
      </c>
      <c r="CE62">
        <v>8.6792452830188618E-2</v>
      </c>
      <c r="CF62">
        <v>3.265306122448982E-2</v>
      </c>
      <c r="CG62">
        <v>6.5359477124183066E-2</v>
      </c>
      <c r="CI62">
        <v>9.7297297297297303E-2</v>
      </c>
      <c r="CJ62">
        <v>6.2499999999999993E-2</v>
      </c>
      <c r="CK62">
        <v>4.6728971962615821E-3</v>
      </c>
      <c r="CL62">
        <v>7.178217821782179E-2</v>
      </c>
      <c r="CM62">
        <v>-1.8957345971564E-2</v>
      </c>
      <c r="CN62">
        <v>-5.5555555555555608E-2</v>
      </c>
      <c r="CO62">
        <v>3.3333333333333368E-2</v>
      </c>
      <c r="CP62">
        <v>-0.20000000000000004</v>
      </c>
      <c r="CQ62">
        <v>-2.941176470588238E-2</v>
      </c>
      <c r="CR62">
        <v>5.1282051282051204E-2</v>
      </c>
      <c r="CT62">
        <v>-7.3047858942065391E-2</v>
      </c>
      <c r="CU62">
        <v>3.0534351145038195E-2</v>
      </c>
      <c r="CV62">
        <v>1.030927835051536E-2</v>
      </c>
      <c r="CW62">
        <v>4.2525773195876297E-2</v>
      </c>
      <c r="CX62">
        <v>-5.0232558139534804E-2</v>
      </c>
      <c r="CY62">
        <v>-1.6393442622950762E-2</v>
      </c>
      <c r="CZ62">
        <v>7.5949367088607653E-2</v>
      </c>
      <c r="DA62">
        <v>-1.8421052631579022E-2</v>
      </c>
      <c r="DB62">
        <v>3.846153846153764E-3</v>
      </c>
      <c r="DC62">
        <v>0</v>
      </c>
      <c r="DD62">
        <v>-4.6948356807510741E-3</v>
      </c>
      <c r="DE62">
        <v>-1.4388489208633108E-2</v>
      </c>
      <c r="DF62">
        <v>0</v>
      </c>
      <c r="DH62">
        <v>1.43769968051118E-2</v>
      </c>
      <c r="DI62">
        <v>8.5034013605442174E-2</v>
      </c>
      <c r="DJ62">
        <v>4.0579710144927568E-2</v>
      </c>
      <c r="DK62">
        <v>3.3333333333333305E-2</v>
      </c>
      <c r="DL62">
        <v>-2.3696682464455103E-2</v>
      </c>
      <c r="DM62">
        <v>0</v>
      </c>
      <c r="DN62">
        <v>0</v>
      </c>
      <c r="DO62">
        <v>-2.6243093922651863E-2</v>
      </c>
    </row>
    <row r="63" spans="1:119" x14ac:dyDescent="0.3">
      <c r="A63" s="64" t="s">
        <v>9105</v>
      </c>
      <c r="B63">
        <v>0</v>
      </c>
      <c r="D63">
        <v>0</v>
      </c>
      <c r="E63">
        <v>0</v>
      </c>
      <c r="F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-24.5</v>
      </c>
      <c r="BT63">
        <v>0</v>
      </c>
      <c r="BU63">
        <v>-1.347826086956522</v>
      </c>
      <c r="BV63">
        <v>0</v>
      </c>
      <c r="BW63">
        <v>-2.092857142857143</v>
      </c>
      <c r="BY63">
        <v>0</v>
      </c>
      <c r="BZ63">
        <v>0.48333333333333328</v>
      </c>
      <c r="CA63">
        <v>-5.193548387096774</v>
      </c>
      <c r="CB63">
        <v>0</v>
      </c>
      <c r="CC63">
        <v>-20.119999999999997</v>
      </c>
      <c r="CD63">
        <v>0</v>
      </c>
      <c r="CE63">
        <v>-0.30040595399188091</v>
      </c>
      <c r="CF63">
        <v>-0.65442764578833701</v>
      </c>
      <c r="CG63">
        <v>-0.14062500000000006</v>
      </c>
      <c r="CI63">
        <v>0</v>
      </c>
      <c r="CJ63">
        <v>-0.43384615384615388</v>
      </c>
      <c r="CK63">
        <v>0</v>
      </c>
      <c r="CL63">
        <v>0</v>
      </c>
      <c r="CM63">
        <v>-0.77876106194690264</v>
      </c>
      <c r="CN63">
        <v>-18.94736842105263</v>
      </c>
      <c r="CO63">
        <v>0.29999999999999993</v>
      </c>
      <c r="CP63">
        <v>-15.999999999999996</v>
      </c>
      <c r="CQ63">
        <v>0</v>
      </c>
      <c r="CR63">
        <v>0</v>
      </c>
      <c r="CT63">
        <v>0</v>
      </c>
      <c r="CU63">
        <v>-1.7906976744186047</v>
      </c>
      <c r="CV63">
        <v>-0.21276595744680835</v>
      </c>
      <c r="CW63">
        <v>0</v>
      </c>
      <c r="CX63">
        <v>0.45599999999999991</v>
      </c>
      <c r="CY63">
        <v>-3.3333333333333361E-2</v>
      </c>
      <c r="CZ63">
        <v>-3.5641025641025643</v>
      </c>
      <c r="DA63">
        <v>0</v>
      </c>
      <c r="DB63">
        <v>4.2372881355933183E-3</v>
      </c>
      <c r="DC63">
        <v>-0.64814814814814803</v>
      </c>
      <c r="DD63">
        <v>3.8095238095238126E-2</v>
      </c>
      <c r="DE63">
        <v>0</v>
      </c>
      <c r="DF63">
        <v>-4.1315789473684204</v>
      </c>
      <c r="DH63">
        <v>0</v>
      </c>
      <c r="DI63">
        <v>-0.7383512544802866</v>
      </c>
      <c r="DJ63">
        <v>-0.1420289855072463</v>
      </c>
      <c r="DK63">
        <v>0.10052910052910051</v>
      </c>
      <c r="DL63">
        <v>-0.29468599033816423</v>
      </c>
      <c r="DM63">
        <v>4.807692307692419E-3</v>
      </c>
      <c r="DN63">
        <v>-13.555555555555555</v>
      </c>
      <c r="DO6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5E4B5-EA2F-4297-AF25-05E70ACC54FA}">
  <sheetPr codeName="Sheet1"/>
  <dimension ref="A1:DP85"/>
  <sheetViews>
    <sheetView topLeftCell="A46" workbookViewId="0">
      <selection activeCell="A64" sqref="A64"/>
    </sheetView>
  </sheetViews>
  <sheetFormatPr defaultRowHeight="14.4" x14ac:dyDescent="0.3"/>
  <cols>
    <col min="1" max="1" width="18" style="62" customWidth="1"/>
    <col min="2" max="16384" width="8.88671875" style="62"/>
  </cols>
  <sheetData>
    <row r="1" spans="1:120" x14ac:dyDescent="0.3">
      <c r="A1" s="63" t="s">
        <v>0</v>
      </c>
      <c r="B1" s="62" t="s">
        <v>8965</v>
      </c>
      <c r="C1" s="62" t="s">
        <v>8966</v>
      </c>
      <c r="D1" s="62" t="s">
        <v>8967</v>
      </c>
      <c r="E1" s="62" t="s">
        <v>8894</v>
      </c>
      <c r="F1" s="62" t="s">
        <v>8895</v>
      </c>
      <c r="G1" s="62" t="s">
        <v>8968</v>
      </c>
      <c r="H1" s="62" t="s">
        <v>8896</v>
      </c>
      <c r="I1" s="62" t="s">
        <v>8969</v>
      </c>
      <c r="J1" s="62" t="s">
        <v>8970</v>
      </c>
      <c r="K1" s="62" t="s">
        <v>8897</v>
      </c>
      <c r="L1" s="62" t="s">
        <v>8898</v>
      </c>
      <c r="M1" s="62" t="s">
        <v>8899</v>
      </c>
      <c r="N1" s="62" t="s">
        <v>8971</v>
      </c>
      <c r="O1" s="62" t="s">
        <v>8972</v>
      </c>
      <c r="P1" s="62" t="s">
        <v>8973</v>
      </c>
      <c r="Q1" s="62" t="s">
        <v>8974</v>
      </c>
      <c r="R1" s="62" t="s">
        <v>8975</v>
      </c>
      <c r="S1" s="62" t="s">
        <v>8900</v>
      </c>
      <c r="T1" s="62" t="s">
        <v>8901</v>
      </c>
      <c r="U1" s="62" t="s">
        <v>8902</v>
      </c>
      <c r="V1" s="62" t="s">
        <v>8903</v>
      </c>
      <c r="W1" s="62" t="s">
        <v>8904</v>
      </c>
      <c r="X1" s="62" t="s">
        <v>8905</v>
      </c>
      <c r="Y1" s="62" t="s">
        <v>8976</v>
      </c>
      <c r="Z1" s="62" t="s">
        <v>8977</v>
      </c>
      <c r="AA1" s="62" t="s">
        <v>8906</v>
      </c>
      <c r="AB1" s="62" t="s">
        <v>8907</v>
      </c>
      <c r="AC1" s="62" t="s">
        <v>8978</v>
      </c>
      <c r="AD1" s="62" t="s">
        <v>8979</v>
      </c>
      <c r="AE1" s="62" t="s">
        <v>8908</v>
      </c>
      <c r="AF1" s="62" t="s">
        <v>8909</v>
      </c>
      <c r="AG1" s="62" t="s">
        <v>8910</v>
      </c>
      <c r="AH1" s="62" t="s">
        <v>8980</v>
      </c>
      <c r="AI1" s="62" t="s">
        <v>8981</v>
      </c>
      <c r="AJ1" s="62" t="s">
        <v>8911</v>
      </c>
      <c r="AK1" s="62" t="s">
        <v>8912</v>
      </c>
      <c r="AL1" s="62" t="s">
        <v>8982</v>
      </c>
      <c r="AM1" s="62" t="s">
        <v>8983</v>
      </c>
      <c r="AN1" s="62" t="s">
        <v>8984</v>
      </c>
      <c r="AO1" s="62" t="s">
        <v>8985</v>
      </c>
      <c r="AP1" s="62" t="s">
        <v>8986</v>
      </c>
      <c r="AQ1" s="62" t="s">
        <v>8913</v>
      </c>
      <c r="AR1" s="62" t="s">
        <v>8914</v>
      </c>
      <c r="AS1" s="62" t="s">
        <v>8915</v>
      </c>
      <c r="AT1" s="62" t="s">
        <v>8987</v>
      </c>
      <c r="AU1" s="62" t="s">
        <v>8988</v>
      </c>
      <c r="AV1" s="62" t="s">
        <v>8916</v>
      </c>
      <c r="AW1" s="62" t="s">
        <v>8989</v>
      </c>
      <c r="AX1" s="62" t="s">
        <v>8990</v>
      </c>
      <c r="AY1" s="62" t="s">
        <v>8917</v>
      </c>
      <c r="AZ1" s="62" t="s">
        <v>8991</v>
      </c>
      <c r="BA1" s="62" t="s">
        <v>8918</v>
      </c>
      <c r="BB1" s="62" t="s">
        <v>8992</v>
      </c>
      <c r="BC1" s="62" t="s">
        <v>8993</v>
      </c>
      <c r="BD1" s="62" t="s">
        <v>8919</v>
      </c>
      <c r="BE1" s="62" t="s">
        <v>8920</v>
      </c>
      <c r="BF1" s="62" t="s">
        <v>8994</v>
      </c>
      <c r="BG1" s="62" t="s">
        <v>8995</v>
      </c>
      <c r="BH1" s="62" t="s">
        <v>8921</v>
      </c>
      <c r="BI1" s="62" t="s">
        <v>8996</v>
      </c>
      <c r="BJ1" s="62" t="s">
        <v>8922</v>
      </c>
      <c r="BK1" s="62" t="s">
        <v>8997</v>
      </c>
      <c r="BL1" s="62" t="s">
        <v>8998</v>
      </c>
      <c r="BM1" s="62" t="s">
        <v>8999</v>
      </c>
      <c r="BN1" s="62" t="s">
        <v>8923</v>
      </c>
      <c r="BO1" s="62" t="s">
        <v>8924</v>
      </c>
      <c r="BP1" s="62" t="s">
        <v>9000</v>
      </c>
      <c r="BQ1" s="62" t="s">
        <v>8925</v>
      </c>
      <c r="BR1" s="62" t="s">
        <v>9001</v>
      </c>
      <c r="BS1" s="62" t="s">
        <v>8926</v>
      </c>
      <c r="BT1" s="62" t="s">
        <v>9002</v>
      </c>
      <c r="BU1" s="62" t="s">
        <v>8927</v>
      </c>
      <c r="BV1" s="62" t="s">
        <v>8928</v>
      </c>
      <c r="BW1" s="62" t="s">
        <v>8929</v>
      </c>
      <c r="BX1" s="62" t="s">
        <v>8930</v>
      </c>
      <c r="BY1" s="62" t="s">
        <v>9003</v>
      </c>
      <c r="BZ1" s="62" t="s">
        <v>8931</v>
      </c>
      <c r="CA1" s="62" t="s">
        <v>9004</v>
      </c>
      <c r="CB1" s="62" t="s">
        <v>8932</v>
      </c>
      <c r="CC1" s="62" t="s">
        <v>8933</v>
      </c>
      <c r="CD1" s="62" t="s">
        <v>8934</v>
      </c>
      <c r="CE1" s="62" t="s">
        <v>8935</v>
      </c>
      <c r="CF1" s="62" t="s">
        <v>8936</v>
      </c>
      <c r="CG1" s="62" t="s">
        <v>9005</v>
      </c>
      <c r="CH1" s="62" t="s">
        <v>8937</v>
      </c>
      <c r="CI1" s="62" t="s">
        <v>9006</v>
      </c>
      <c r="CJ1" s="62" t="s">
        <v>8938</v>
      </c>
      <c r="CK1" s="62" t="s">
        <v>9007</v>
      </c>
      <c r="CL1" s="62" t="s">
        <v>8939</v>
      </c>
      <c r="CM1" s="62" t="s">
        <v>8940</v>
      </c>
      <c r="CN1" s="62" t="s">
        <v>8941</v>
      </c>
      <c r="CO1" s="62" t="s">
        <v>8942</v>
      </c>
      <c r="CP1" s="62" t="s">
        <v>8943</v>
      </c>
      <c r="CQ1" s="62" t="s">
        <v>9008</v>
      </c>
      <c r="CR1" s="62" t="s">
        <v>9009</v>
      </c>
      <c r="CS1" s="62" t="s">
        <v>8944</v>
      </c>
      <c r="CT1" s="62" t="s">
        <v>9010</v>
      </c>
      <c r="CU1" s="62" t="s">
        <v>8945</v>
      </c>
      <c r="CV1" s="62" t="s">
        <v>8946</v>
      </c>
      <c r="CW1" s="62" t="s">
        <v>9011</v>
      </c>
      <c r="CX1" s="62" t="s">
        <v>8947</v>
      </c>
      <c r="CY1" s="62" t="s">
        <v>9012</v>
      </c>
      <c r="CZ1" s="62" t="s">
        <v>8948</v>
      </c>
      <c r="DA1" s="62" t="s">
        <v>8949</v>
      </c>
      <c r="DB1" s="62" t="s">
        <v>9013</v>
      </c>
      <c r="DC1" s="62" t="s">
        <v>9014</v>
      </c>
      <c r="DD1" s="62" t="s">
        <v>9015</v>
      </c>
      <c r="DE1" s="62" t="s">
        <v>9016</v>
      </c>
      <c r="DF1" s="62" t="s">
        <v>8950</v>
      </c>
      <c r="DG1" s="62" t="s">
        <v>8951</v>
      </c>
      <c r="DH1" s="62" t="s">
        <v>9017</v>
      </c>
      <c r="DI1" s="62" t="s">
        <v>9018</v>
      </c>
      <c r="DJ1" s="62" t="s">
        <v>9019</v>
      </c>
      <c r="DK1" s="62" t="s">
        <v>8952</v>
      </c>
      <c r="DL1" s="62" t="s">
        <v>9020</v>
      </c>
      <c r="DM1" s="62" t="s">
        <v>8953</v>
      </c>
      <c r="DN1" s="62" t="s">
        <v>8954</v>
      </c>
      <c r="DO1" s="62" t="s">
        <v>8955</v>
      </c>
      <c r="DP1" s="62" t="s">
        <v>9021</v>
      </c>
    </row>
    <row r="2" spans="1:120" x14ac:dyDescent="0.3">
      <c r="A2" s="64" t="s">
        <v>9044</v>
      </c>
      <c r="B2" s="62">
        <v>6.59</v>
      </c>
      <c r="C2" s="62">
        <v>0</v>
      </c>
      <c r="E2" s="62">
        <v>1.65</v>
      </c>
      <c r="F2" s="62">
        <v>0.05</v>
      </c>
      <c r="G2" s="62">
        <v>0.01</v>
      </c>
      <c r="H2" s="62">
        <v>0.93</v>
      </c>
      <c r="J2" s="62">
        <v>0.6</v>
      </c>
      <c r="K2" s="62">
        <v>3.54</v>
      </c>
      <c r="L2" s="62">
        <v>0.76</v>
      </c>
      <c r="M2" s="62">
        <v>2.96</v>
      </c>
      <c r="N2" s="62">
        <v>0.72</v>
      </c>
      <c r="O2" s="62">
        <v>0.01</v>
      </c>
      <c r="P2" s="62">
        <v>0.02</v>
      </c>
      <c r="Q2" s="62">
        <v>2.38</v>
      </c>
      <c r="R2" s="62">
        <v>1.56</v>
      </c>
      <c r="S2" s="62">
        <v>1.83</v>
      </c>
      <c r="T2" s="62">
        <v>0.55000000000000004</v>
      </c>
      <c r="U2" s="62">
        <v>2.62</v>
      </c>
      <c r="V2" s="62">
        <v>4.9400000000000004</v>
      </c>
      <c r="W2" s="62">
        <v>3.59</v>
      </c>
      <c r="X2" s="62">
        <v>5.2</v>
      </c>
      <c r="Y2" s="62">
        <v>0.2</v>
      </c>
      <c r="Z2" s="62">
        <v>0.01</v>
      </c>
      <c r="AA2" s="62">
        <v>3.75</v>
      </c>
      <c r="AB2" s="62">
        <v>9.64</v>
      </c>
      <c r="AE2" s="62">
        <v>0.42</v>
      </c>
      <c r="AF2" s="62">
        <v>3.71</v>
      </c>
      <c r="AG2" s="62">
        <v>9.41</v>
      </c>
      <c r="AH2" s="62">
        <v>1.6</v>
      </c>
      <c r="AI2" s="62">
        <v>6.9</v>
      </c>
      <c r="AJ2" s="62">
        <v>4.4000000000000004</v>
      </c>
      <c r="AK2" s="62">
        <v>0.18</v>
      </c>
      <c r="AL2" s="62">
        <v>0.24</v>
      </c>
      <c r="AN2" s="62">
        <v>0.3</v>
      </c>
      <c r="AO2" s="62">
        <v>4.83</v>
      </c>
      <c r="AP2" s="62">
        <v>1.02</v>
      </c>
      <c r="AQ2" s="62">
        <v>1.26</v>
      </c>
      <c r="AR2" s="62">
        <v>4.92</v>
      </c>
      <c r="AS2" s="62">
        <v>0.84</v>
      </c>
      <c r="AU2" s="62">
        <v>2.5</v>
      </c>
      <c r="AW2" s="62">
        <v>0.12</v>
      </c>
      <c r="AX2" s="62">
        <v>1.08</v>
      </c>
      <c r="AY2" s="62">
        <v>6.2</v>
      </c>
      <c r="AZ2" s="62">
        <v>11.7</v>
      </c>
      <c r="BB2" s="62">
        <v>0.78</v>
      </c>
      <c r="BC2" s="62">
        <v>2.85</v>
      </c>
      <c r="BD2" s="62">
        <v>4.03</v>
      </c>
      <c r="BE2" s="62">
        <v>2.2400000000000002</v>
      </c>
      <c r="BF2" s="62">
        <v>1.59</v>
      </c>
      <c r="BG2" s="62">
        <v>4.08</v>
      </c>
      <c r="BI2" s="62">
        <v>0.75</v>
      </c>
      <c r="BJ2" s="62">
        <v>0.68</v>
      </c>
      <c r="BK2" s="62">
        <v>0.01</v>
      </c>
      <c r="BM2" s="62">
        <v>2.0699999999999998</v>
      </c>
      <c r="BN2" s="62">
        <v>7.0000000000000007E-2</v>
      </c>
      <c r="BP2" s="62">
        <v>1.28</v>
      </c>
      <c r="BR2" s="62">
        <v>1.1499999999999999</v>
      </c>
      <c r="BS2" s="62">
        <v>0.28999999999999998</v>
      </c>
      <c r="BT2" s="62">
        <v>0.43</v>
      </c>
      <c r="BU2" s="62">
        <v>0.87</v>
      </c>
      <c r="BV2" s="62">
        <v>2.75</v>
      </c>
      <c r="BW2" s="62">
        <v>0.99</v>
      </c>
      <c r="BX2" s="62">
        <v>0.01</v>
      </c>
      <c r="BY2" s="62">
        <v>1.3</v>
      </c>
      <c r="CA2" s="62">
        <v>0.22</v>
      </c>
      <c r="CB2" s="62">
        <v>2.9</v>
      </c>
      <c r="CC2" s="62">
        <v>0.35</v>
      </c>
      <c r="CD2" s="62">
        <v>7.57</v>
      </c>
      <c r="CE2" s="62">
        <v>4.57</v>
      </c>
      <c r="CG2" s="62">
        <v>2.1800000000000002</v>
      </c>
      <c r="CH2" s="62">
        <v>0.02</v>
      </c>
      <c r="CI2" s="62">
        <v>1.64</v>
      </c>
      <c r="CK2" s="62">
        <v>1.71</v>
      </c>
      <c r="CL2" s="62">
        <v>3.85</v>
      </c>
      <c r="CM2" s="62">
        <v>6.16</v>
      </c>
      <c r="CN2" s="62">
        <v>0.35</v>
      </c>
      <c r="CO2" s="62">
        <v>0.64</v>
      </c>
      <c r="CP2" s="62">
        <v>2</v>
      </c>
      <c r="CQ2" s="62">
        <v>0.27</v>
      </c>
      <c r="CR2" s="62">
        <v>3.3</v>
      </c>
      <c r="CT2" s="62">
        <v>2.35</v>
      </c>
      <c r="CU2" s="62">
        <v>2.95</v>
      </c>
      <c r="CV2" s="62">
        <v>1.32</v>
      </c>
      <c r="CW2" s="62">
        <v>3.24</v>
      </c>
      <c r="CX2" s="62">
        <v>3.65</v>
      </c>
      <c r="CY2" s="62">
        <v>1.7</v>
      </c>
      <c r="CZ2" s="62">
        <v>2.2799999999999998</v>
      </c>
      <c r="DA2" s="62">
        <v>0.7</v>
      </c>
      <c r="DB2" s="62">
        <v>2.2999999999999998</v>
      </c>
      <c r="DC2" s="62">
        <v>16.88</v>
      </c>
      <c r="DE2" s="62">
        <v>0.8</v>
      </c>
      <c r="DF2" s="62">
        <v>1.46</v>
      </c>
      <c r="DG2" s="62">
        <v>0</v>
      </c>
      <c r="DI2" s="62">
        <v>2.4</v>
      </c>
      <c r="DJ2" s="62">
        <v>2.62</v>
      </c>
      <c r="DL2" s="62">
        <v>1.29</v>
      </c>
      <c r="DM2" s="62">
        <v>3.66</v>
      </c>
      <c r="DN2" s="62">
        <v>0.2</v>
      </c>
      <c r="DO2" s="62">
        <v>3.86</v>
      </c>
    </row>
    <row r="3" spans="1:120" x14ac:dyDescent="0.3">
      <c r="A3" s="64" t="s">
        <v>9045</v>
      </c>
      <c r="B3" s="62">
        <v>6.31</v>
      </c>
      <c r="C3" s="62">
        <v>0</v>
      </c>
      <c r="E3" s="62">
        <v>1.61</v>
      </c>
      <c r="F3" s="62">
        <v>0.03</v>
      </c>
      <c r="G3" s="62">
        <v>0.01</v>
      </c>
      <c r="H3" s="62">
        <v>0.94</v>
      </c>
      <c r="J3" s="62">
        <v>0.61</v>
      </c>
      <c r="K3" s="62">
        <v>3.61</v>
      </c>
      <c r="L3" s="62">
        <v>0.77</v>
      </c>
      <c r="M3" s="62">
        <v>2.82</v>
      </c>
      <c r="N3" s="62">
        <v>0.73</v>
      </c>
      <c r="O3" s="62">
        <v>0.01</v>
      </c>
      <c r="P3" s="62">
        <v>0.02</v>
      </c>
      <c r="Q3" s="62">
        <v>2.41</v>
      </c>
      <c r="R3" s="62">
        <v>1.5</v>
      </c>
      <c r="S3" s="62">
        <v>1.68</v>
      </c>
      <c r="T3" s="62">
        <v>0.56000000000000005</v>
      </c>
      <c r="U3" s="62">
        <v>1.44</v>
      </c>
      <c r="V3" s="62">
        <v>4.5</v>
      </c>
      <c r="W3" s="62">
        <v>3.54</v>
      </c>
      <c r="X3" s="62">
        <v>4.8099999999999996</v>
      </c>
      <c r="Y3" s="62">
        <v>0.19</v>
      </c>
      <c r="Z3" s="62">
        <v>0.01</v>
      </c>
      <c r="AA3" s="62">
        <v>3.78</v>
      </c>
      <c r="AB3" s="62">
        <v>9.35</v>
      </c>
      <c r="AE3" s="62">
        <v>0.42</v>
      </c>
      <c r="AF3" s="62">
        <v>3.86</v>
      </c>
      <c r="AG3" s="62">
        <v>8.83</v>
      </c>
      <c r="AH3" s="62">
        <v>1.6</v>
      </c>
      <c r="AI3" s="62">
        <v>6.5</v>
      </c>
      <c r="AJ3" s="62">
        <v>4.55</v>
      </c>
      <c r="AK3" s="62">
        <v>0.18</v>
      </c>
      <c r="AL3" s="62">
        <v>0.21</v>
      </c>
      <c r="AN3" s="62">
        <v>0.31</v>
      </c>
      <c r="AO3" s="62">
        <v>3.87</v>
      </c>
      <c r="AP3" s="62">
        <v>1.02</v>
      </c>
      <c r="AQ3" s="62">
        <v>1.27</v>
      </c>
      <c r="AR3" s="62">
        <v>4.17</v>
      </c>
      <c r="AS3" s="62">
        <v>0.86</v>
      </c>
      <c r="AU3" s="62">
        <v>2.4</v>
      </c>
      <c r="AW3" s="62">
        <v>0.12</v>
      </c>
      <c r="AX3" s="62">
        <v>1.0900000000000001</v>
      </c>
      <c r="AY3" s="62">
        <v>6.5</v>
      </c>
      <c r="AZ3" s="62">
        <v>11.6</v>
      </c>
      <c r="BB3" s="62">
        <v>0.79</v>
      </c>
      <c r="BC3" s="62">
        <v>2.93</v>
      </c>
      <c r="BD3" s="62">
        <v>3.19</v>
      </c>
      <c r="BE3" s="62">
        <v>2.1</v>
      </c>
      <c r="BF3" s="62">
        <v>1.47</v>
      </c>
      <c r="BG3" s="62">
        <v>4.28</v>
      </c>
      <c r="BI3" s="62">
        <v>0.75</v>
      </c>
      <c r="BJ3" s="62">
        <v>0.56999999999999995</v>
      </c>
      <c r="BK3" s="62">
        <v>0.01</v>
      </c>
      <c r="BM3" s="62">
        <v>2.0499999999999998</v>
      </c>
      <c r="BN3" s="62">
        <v>7.0000000000000007E-2</v>
      </c>
      <c r="BP3" s="62">
        <v>1.22</v>
      </c>
      <c r="BR3" s="62">
        <v>1.39</v>
      </c>
      <c r="BS3" s="62">
        <v>0.23</v>
      </c>
      <c r="BT3" s="62">
        <v>0.4</v>
      </c>
      <c r="BU3" s="62">
        <v>0.75</v>
      </c>
      <c r="BV3" s="62">
        <v>2.69</v>
      </c>
      <c r="BW3" s="62">
        <v>0.98</v>
      </c>
      <c r="BX3" s="62">
        <v>0.01</v>
      </c>
      <c r="BY3" s="62">
        <v>1.3</v>
      </c>
      <c r="CA3" s="62">
        <v>0.2</v>
      </c>
      <c r="CB3" s="62">
        <v>2.79</v>
      </c>
      <c r="CC3" s="62">
        <v>0.36</v>
      </c>
      <c r="CD3" s="62">
        <v>7.75</v>
      </c>
      <c r="CE3" s="62">
        <v>4.42</v>
      </c>
      <c r="CG3" s="62">
        <v>2.08</v>
      </c>
      <c r="CH3" s="62">
        <v>0.02</v>
      </c>
      <c r="CI3" s="62">
        <v>1.59</v>
      </c>
      <c r="CK3" s="62">
        <v>1.66</v>
      </c>
      <c r="CL3" s="62">
        <v>3.59</v>
      </c>
      <c r="CM3" s="62">
        <v>5.73</v>
      </c>
      <c r="CN3" s="62">
        <v>0.3</v>
      </c>
      <c r="CO3" s="62">
        <v>0.68</v>
      </c>
      <c r="CP3" s="62">
        <v>2.92</v>
      </c>
      <c r="CQ3" s="62">
        <v>0.3</v>
      </c>
      <c r="CR3" s="62">
        <v>3.36</v>
      </c>
      <c r="CT3" s="62">
        <v>2.2999999999999998</v>
      </c>
      <c r="CU3" s="62">
        <v>2.78</v>
      </c>
      <c r="CV3" s="62">
        <v>1.26</v>
      </c>
      <c r="CW3" s="62">
        <v>3.25</v>
      </c>
      <c r="CX3" s="62">
        <v>3.83</v>
      </c>
      <c r="CY3" s="62">
        <v>1.75</v>
      </c>
      <c r="CZ3" s="62">
        <v>2.04</v>
      </c>
      <c r="DA3" s="62">
        <v>0.77</v>
      </c>
      <c r="DB3" s="62">
        <v>2.2000000000000002</v>
      </c>
      <c r="DC3" s="62">
        <v>18.91</v>
      </c>
      <c r="DE3" s="62">
        <v>0.96</v>
      </c>
      <c r="DF3" s="62">
        <v>1.36</v>
      </c>
      <c r="DG3" s="62">
        <v>0</v>
      </c>
      <c r="DI3" s="62">
        <v>2.1</v>
      </c>
      <c r="DJ3" s="62">
        <v>2.62</v>
      </c>
      <c r="DL3" s="62">
        <v>1.26</v>
      </c>
      <c r="DM3" s="62">
        <v>3.7</v>
      </c>
      <c r="DN3" s="62">
        <v>0.21</v>
      </c>
      <c r="DO3" s="62">
        <v>3.7</v>
      </c>
    </row>
    <row r="4" spans="1:120" x14ac:dyDescent="0.3">
      <c r="A4" s="64" t="s">
        <v>9046</v>
      </c>
      <c r="B4" s="62">
        <v>6.13</v>
      </c>
      <c r="C4" s="62">
        <v>0</v>
      </c>
      <c r="E4" s="62">
        <v>1.64</v>
      </c>
      <c r="F4" s="62">
        <v>0.05</v>
      </c>
      <c r="G4" s="62">
        <v>0.01</v>
      </c>
      <c r="H4" s="62">
        <v>0.91</v>
      </c>
      <c r="J4" s="62">
        <v>0.6</v>
      </c>
      <c r="K4" s="62">
        <v>3.57</v>
      </c>
      <c r="L4" s="62">
        <v>0.76</v>
      </c>
      <c r="M4" s="62">
        <v>2.82</v>
      </c>
      <c r="N4" s="62">
        <v>0.69</v>
      </c>
      <c r="O4" s="62">
        <v>0.01</v>
      </c>
      <c r="P4" s="62">
        <v>0.02</v>
      </c>
      <c r="Q4" s="62">
        <v>2.4</v>
      </c>
      <c r="R4" s="62">
        <v>1.6</v>
      </c>
      <c r="S4" s="62">
        <v>1.72</v>
      </c>
      <c r="T4" s="62">
        <v>0.56000000000000005</v>
      </c>
      <c r="U4" s="62">
        <v>1.44</v>
      </c>
      <c r="V4" s="62">
        <v>4.5999999999999996</v>
      </c>
      <c r="W4" s="62">
        <v>3.57</v>
      </c>
      <c r="X4" s="62">
        <v>5.13</v>
      </c>
      <c r="Y4" s="62">
        <v>0.17</v>
      </c>
      <c r="Z4" s="62">
        <v>0.01</v>
      </c>
      <c r="AA4" s="62">
        <v>3.75</v>
      </c>
      <c r="AB4" s="62">
        <v>9.6999999999999993</v>
      </c>
      <c r="AE4" s="62">
        <v>0.42</v>
      </c>
      <c r="AF4" s="62">
        <v>3.85</v>
      </c>
      <c r="AG4" s="62">
        <v>8.14</v>
      </c>
      <c r="AH4" s="62">
        <v>1.65</v>
      </c>
      <c r="AI4" s="62">
        <v>5.79</v>
      </c>
      <c r="AJ4" s="62">
        <v>4.72</v>
      </c>
      <c r="AK4" s="62">
        <v>0.15</v>
      </c>
      <c r="AL4" s="62">
        <v>0.19</v>
      </c>
      <c r="AN4" s="62">
        <v>0.28000000000000003</v>
      </c>
      <c r="AO4" s="62">
        <v>3.6</v>
      </c>
      <c r="AP4" s="62">
        <v>0.98</v>
      </c>
      <c r="AQ4" s="62">
        <v>1.25</v>
      </c>
      <c r="AR4" s="62">
        <v>3.87</v>
      </c>
      <c r="AS4" s="62">
        <v>0.84</v>
      </c>
      <c r="AU4" s="62">
        <v>2.27</v>
      </c>
      <c r="AW4" s="62">
        <v>0.09</v>
      </c>
      <c r="AX4" s="62">
        <v>1.07</v>
      </c>
      <c r="AY4" s="62">
        <v>7</v>
      </c>
      <c r="AZ4" s="62">
        <v>11.97</v>
      </c>
      <c r="BB4" s="62">
        <v>0.81</v>
      </c>
      <c r="BC4" s="62">
        <v>2.81</v>
      </c>
      <c r="BD4" s="62">
        <v>2.69</v>
      </c>
      <c r="BE4" s="62">
        <v>2.13</v>
      </c>
      <c r="BF4" s="62">
        <v>1.54</v>
      </c>
      <c r="BG4" s="62">
        <v>3.96</v>
      </c>
      <c r="BI4" s="62">
        <v>0.8</v>
      </c>
      <c r="BJ4" s="62">
        <v>0.54</v>
      </c>
      <c r="BK4" s="62">
        <v>0.01</v>
      </c>
      <c r="BM4" s="62">
        <v>2.0099999999999998</v>
      </c>
      <c r="BN4" s="62">
        <v>7.0000000000000007E-2</v>
      </c>
      <c r="BP4" s="62">
        <v>1.24</v>
      </c>
      <c r="BR4" s="62">
        <v>1.31</v>
      </c>
      <c r="BS4" s="62">
        <v>0.23</v>
      </c>
      <c r="BT4" s="62">
        <v>0.4</v>
      </c>
      <c r="BU4" s="62">
        <v>0.8</v>
      </c>
      <c r="BV4" s="62">
        <v>2.74</v>
      </c>
      <c r="BW4" s="62">
        <v>0.98</v>
      </c>
      <c r="BX4" s="62">
        <v>0.02</v>
      </c>
      <c r="BY4" s="62">
        <v>1.28</v>
      </c>
      <c r="CA4" s="62">
        <v>0.19</v>
      </c>
      <c r="CB4" s="62">
        <v>2.75</v>
      </c>
      <c r="CC4" s="62">
        <v>0.38</v>
      </c>
      <c r="CD4" s="62">
        <v>7.85</v>
      </c>
      <c r="CE4" s="62">
        <v>4.6500000000000004</v>
      </c>
      <c r="CG4" s="62">
        <v>1.88</v>
      </c>
      <c r="CH4" s="62">
        <v>0.01</v>
      </c>
      <c r="CI4" s="62">
        <v>1.91</v>
      </c>
      <c r="CK4" s="62">
        <v>1.73</v>
      </c>
      <c r="CL4" s="62">
        <v>3.69</v>
      </c>
      <c r="CM4" s="62">
        <v>5.84</v>
      </c>
      <c r="CN4" s="62">
        <v>0.32</v>
      </c>
      <c r="CO4" s="62">
        <v>0.6</v>
      </c>
      <c r="CP4" s="62">
        <v>2.56</v>
      </c>
      <c r="CQ4" s="62">
        <v>0.4</v>
      </c>
      <c r="CR4" s="62">
        <v>3.14</v>
      </c>
      <c r="CT4" s="62">
        <v>2.2999999999999998</v>
      </c>
      <c r="CU4" s="62">
        <v>2.82</v>
      </c>
      <c r="CV4" s="62">
        <v>1.27</v>
      </c>
      <c r="CW4" s="62">
        <v>3.25</v>
      </c>
      <c r="CX4" s="62">
        <v>3.94</v>
      </c>
      <c r="CY4" s="62">
        <v>1.75</v>
      </c>
      <c r="CZ4" s="62">
        <v>2.09</v>
      </c>
      <c r="DA4" s="62">
        <v>0.8</v>
      </c>
      <c r="DB4" s="62">
        <v>2.06</v>
      </c>
      <c r="DC4" s="62">
        <v>14.18</v>
      </c>
      <c r="DE4" s="62">
        <v>0.94</v>
      </c>
      <c r="DF4" s="62">
        <v>1.4</v>
      </c>
      <c r="DG4" s="62">
        <v>0</v>
      </c>
      <c r="DI4" s="62">
        <v>2.2000000000000002</v>
      </c>
      <c r="DJ4" s="62">
        <v>2.57</v>
      </c>
      <c r="DL4" s="62">
        <v>1.27</v>
      </c>
      <c r="DM4" s="62">
        <v>3.74</v>
      </c>
      <c r="DN4" s="62">
        <v>0.2</v>
      </c>
      <c r="DO4" s="62">
        <v>3.7</v>
      </c>
    </row>
    <row r="5" spans="1:120" x14ac:dyDescent="0.3">
      <c r="A5" s="64" t="s">
        <v>9047</v>
      </c>
      <c r="B5" s="62">
        <v>5.78</v>
      </c>
      <c r="C5" s="62">
        <v>0</v>
      </c>
      <c r="E5" s="62">
        <v>1.71</v>
      </c>
      <c r="F5" s="62">
        <v>0.05</v>
      </c>
      <c r="G5" s="62">
        <v>0.01</v>
      </c>
      <c r="H5" s="62">
        <v>0.91</v>
      </c>
      <c r="J5" s="62">
        <v>0.6</v>
      </c>
      <c r="K5" s="62">
        <v>3.67</v>
      </c>
      <c r="L5" s="62">
        <v>0.77</v>
      </c>
      <c r="M5" s="62">
        <v>2.72</v>
      </c>
      <c r="N5" s="62">
        <v>0.69</v>
      </c>
      <c r="O5" s="62">
        <v>0.01</v>
      </c>
      <c r="P5" s="62">
        <v>0.02</v>
      </c>
      <c r="Q5" s="62">
        <v>2.37</v>
      </c>
      <c r="R5" s="62">
        <v>2.4700000000000002</v>
      </c>
      <c r="S5" s="62">
        <v>1.84</v>
      </c>
      <c r="T5" s="62">
        <v>0.56000000000000005</v>
      </c>
      <c r="U5" s="62">
        <v>1.36</v>
      </c>
      <c r="V5" s="62">
        <v>4.62</v>
      </c>
      <c r="W5" s="62">
        <v>3.4</v>
      </c>
      <c r="X5" s="62">
        <v>5.0999999999999996</v>
      </c>
      <c r="Y5" s="62">
        <v>0.15</v>
      </c>
      <c r="Z5" s="62">
        <v>0.01</v>
      </c>
      <c r="AA5" s="62">
        <v>3.51</v>
      </c>
      <c r="AB5" s="62">
        <v>9.6999999999999993</v>
      </c>
      <c r="AE5" s="62">
        <v>0.42</v>
      </c>
      <c r="AF5" s="62">
        <v>4.05</v>
      </c>
      <c r="AG5" s="62">
        <v>8.58</v>
      </c>
      <c r="AH5" s="62">
        <v>1.7</v>
      </c>
      <c r="AI5" s="62">
        <v>6.25</v>
      </c>
      <c r="AJ5" s="62">
        <v>4.6500000000000004</v>
      </c>
      <c r="AK5" s="62">
        <v>0.15</v>
      </c>
      <c r="AL5" s="62">
        <v>0.2</v>
      </c>
      <c r="AN5" s="62">
        <v>0.27</v>
      </c>
      <c r="AO5" s="62">
        <v>5.16</v>
      </c>
      <c r="AP5" s="62">
        <v>0.97</v>
      </c>
      <c r="AQ5" s="62">
        <v>1.25</v>
      </c>
      <c r="AR5" s="62">
        <v>3.11</v>
      </c>
      <c r="AS5" s="62">
        <v>0.86</v>
      </c>
      <c r="AU5" s="62">
        <v>2.2000000000000002</v>
      </c>
      <c r="AW5" s="62">
        <v>0.1</v>
      </c>
      <c r="AX5" s="62">
        <v>1.1100000000000001</v>
      </c>
      <c r="AY5" s="62">
        <v>7.5</v>
      </c>
      <c r="AZ5" s="62">
        <v>12.97</v>
      </c>
      <c r="BB5" s="62">
        <v>0.81</v>
      </c>
      <c r="BC5" s="62">
        <v>2.96</v>
      </c>
      <c r="BD5" s="62">
        <v>4.03</v>
      </c>
      <c r="BE5" s="62">
        <v>1.98</v>
      </c>
      <c r="BF5" s="62">
        <v>1.51</v>
      </c>
      <c r="BG5" s="62">
        <v>4.08</v>
      </c>
      <c r="BI5" s="62">
        <v>0.74</v>
      </c>
      <c r="BJ5" s="62">
        <v>0.53</v>
      </c>
      <c r="BK5" s="62">
        <v>0.01</v>
      </c>
      <c r="BM5" s="62">
        <v>1.93</v>
      </c>
      <c r="BN5" s="62">
        <v>7.0000000000000007E-2</v>
      </c>
      <c r="BP5" s="62">
        <v>1.28</v>
      </c>
      <c r="BR5" s="62">
        <v>1.66</v>
      </c>
      <c r="BS5" s="62">
        <v>0.42</v>
      </c>
      <c r="BT5" s="62">
        <v>0.41</v>
      </c>
      <c r="BU5" s="62">
        <v>1</v>
      </c>
      <c r="BV5" s="62">
        <v>2.89</v>
      </c>
      <c r="BW5" s="62">
        <v>0.99</v>
      </c>
      <c r="BX5" s="62">
        <v>0.02</v>
      </c>
      <c r="BY5" s="62">
        <v>1.26</v>
      </c>
      <c r="CA5" s="62">
        <v>0.21</v>
      </c>
      <c r="CB5" s="62">
        <v>2.68</v>
      </c>
      <c r="CC5" s="62">
        <v>0.41</v>
      </c>
      <c r="CD5" s="62">
        <v>7.89</v>
      </c>
      <c r="CE5" s="62">
        <v>4.55</v>
      </c>
      <c r="CG5" s="62">
        <v>1.83</v>
      </c>
      <c r="CH5" s="62">
        <v>0.02</v>
      </c>
      <c r="CI5" s="62">
        <v>1.64</v>
      </c>
      <c r="CK5" s="62">
        <v>1.73</v>
      </c>
      <c r="CL5" s="62">
        <v>3.76</v>
      </c>
      <c r="CM5" s="62">
        <v>5.77</v>
      </c>
      <c r="CN5" s="62">
        <v>0.36</v>
      </c>
      <c r="CO5" s="62">
        <v>0.62</v>
      </c>
      <c r="CP5" s="62">
        <v>2.04</v>
      </c>
      <c r="CQ5" s="62">
        <v>0.4</v>
      </c>
      <c r="CR5" s="62">
        <v>3.52</v>
      </c>
      <c r="CT5" s="62">
        <v>2.34</v>
      </c>
      <c r="CU5" s="62">
        <v>2.89</v>
      </c>
      <c r="CV5" s="62">
        <v>1.27</v>
      </c>
      <c r="CW5" s="62">
        <v>3.46</v>
      </c>
      <c r="CX5" s="62">
        <v>3.74</v>
      </c>
      <c r="CY5" s="62">
        <v>1.85</v>
      </c>
      <c r="CZ5" s="62">
        <v>1.94</v>
      </c>
      <c r="DA5" s="62">
        <v>0.91</v>
      </c>
      <c r="DB5" s="62">
        <v>2</v>
      </c>
      <c r="DC5" s="62">
        <v>14.18</v>
      </c>
      <c r="DE5" s="62">
        <v>0.95</v>
      </c>
      <c r="DF5" s="62">
        <v>1.4</v>
      </c>
      <c r="DG5" s="62">
        <v>0</v>
      </c>
      <c r="DI5" s="62">
        <v>2.2999999999999998</v>
      </c>
      <c r="DJ5" s="62">
        <v>2.5299999999999998</v>
      </c>
      <c r="DL5" s="62">
        <v>1.26</v>
      </c>
      <c r="DM5" s="62">
        <v>3.57</v>
      </c>
      <c r="DN5" s="62">
        <v>0.14000000000000001</v>
      </c>
      <c r="DO5" s="62">
        <v>3.63</v>
      </c>
    </row>
    <row r="6" spans="1:120" x14ac:dyDescent="0.3">
      <c r="A6" s="64" t="s">
        <v>9048</v>
      </c>
      <c r="B6" s="62">
        <v>6.16</v>
      </c>
      <c r="C6" s="62">
        <v>0</v>
      </c>
      <c r="E6" s="62">
        <v>1.8</v>
      </c>
      <c r="F6" s="62">
        <v>0.04</v>
      </c>
      <c r="G6" s="62">
        <v>0.01</v>
      </c>
      <c r="H6" s="62">
        <v>0.92</v>
      </c>
      <c r="J6" s="62">
        <v>0.6</v>
      </c>
      <c r="K6" s="62">
        <v>3.8</v>
      </c>
      <c r="L6" s="62">
        <v>0.75</v>
      </c>
      <c r="M6" s="62">
        <v>2.4300000000000002</v>
      </c>
      <c r="N6" s="62">
        <v>0.67</v>
      </c>
      <c r="O6" s="62">
        <v>0.01</v>
      </c>
      <c r="P6" s="62">
        <v>0.02</v>
      </c>
      <c r="Q6" s="62">
        <v>2.56</v>
      </c>
      <c r="R6" s="62">
        <v>2.75</v>
      </c>
      <c r="S6" s="62">
        <v>1.7</v>
      </c>
      <c r="T6" s="62">
        <v>0.54</v>
      </c>
      <c r="U6" s="62">
        <v>1.52</v>
      </c>
      <c r="V6" s="62">
        <v>5.0199999999999996</v>
      </c>
      <c r="W6" s="62">
        <v>3.44</v>
      </c>
      <c r="X6" s="62">
        <v>5.33</v>
      </c>
      <c r="Y6" s="62">
        <v>0.16</v>
      </c>
      <c r="Z6" s="62">
        <v>0.01</v>
      </c>
      <c r="AA6" s="62">
        <v>3.8</v>
      </c>
      <c r="AB6" s="62">
        <v>9.9499999999999993</v>
      </c>
      <c r="AE6" s="62">
        <v>0.3</v>
      </c>
      <c r="AF6" s="62">
        <v>4</v>
      </c>
      <c r="AG6" s="62">
        <v>9.0399999999999991</v>
      </c>
      <c r="AH6" s="62">
        <v>1.7</v>
      </c>
      <c r="AI6" s="62">
        <v>6.12</v>
      </c>
      <c r="AJ6" s="62">
        <v>4.84</v>
      </c>
      <c r="AK6" s="62">
        <v>0.15</v>
      </c>
      <c r="AL6" s="62">
        <v>0.24</v>
      </c>
      <c r="AN6" s="62">
        <v>0.27</v>
      </c>
      <c r="AO6" s="62">
        <v>4</v>
      </c>
      <c r="AP6" s="62">
        <v>0.97</v>
      </c>
      <c r="AQ6" s="62">
        <v>1.23</v>
      </c>
      <c r="AR6" s="62">
        <v>3.12</v>
      </c>
      <c r="AS6" s="62">
        <v>0.9</v>
      </c>
      <c r="AU6" s="62">
        <v>2.2400000000000002</v>
      </c>
      <c r="AW6" s="62">
        <v>0.1</v>
      </c>
      <c r="AX6" s="62">
        <v>1.1100000000000001</v>
      </c>
      <c r="AY6" s="62">
        <v>7.6</v>
      </c>
      <c r="AZ6" s="62">
        <v>12.89</v>
      </c>
      <c r="BB6" s="62">
        <v>0.84</v>
      </c>
      <c r="BC6" s="62">
        <v>3.1</v>
      </c>
      <c r="BD6" s="62">
        <v>3.36</v>
      </c>
      <c r="BE6" s="62">
        <v>2.04</v>
      </c>
      <c r="BF6" s="62">
        <v>1.57</v>
      </c>
      <c r="BG6" s="62">
        <v>4.13</v>
      </c>
      <c r="BI6" s="62">
        <v>0.72</v>
      </c>
      <c r="BJ6" s="62">
        <v>0.55000000000000004</v>
      </c>
      <c r="BK6" s="62">
        <v>0.01</v>
      </c>
      <c r="BM6" s="62">
        <v>1.98</v>
      </c>
      <c r="BN6" s="62">
        <v>7.0000000000000007E-2</v>
      </c>
      <c r="BP6" s="62">
        <v>1.27</v>
      </c>
      <c r="BR6" s="62">
        <v>1.58</v>
      </c>
      <c r="BS6" s="62">
        <v>0.38</v>
      </c>
      <c r="BT6" s="62">
        <v>0.45</v>
      </c>
      <c r="BU6" s="62">
        <v>0.75</v>
      </c>
      <c r="BV6" s="62">
        <v>2.83</v>
      </c>
      <c r="BW6" s="62">
        <v>1.01</v>
      </c>
      <c r="BX6" s="62">
        <v>0.01</v>
      </c>
      <c r="BY6" s="62">
        <v>1.27</v>
      </c>
      <c r="CA6" s="62">
        <v>0.2</v>
      </c>
      <c r="CB6" s="62">
        <v>2.86</v>
      </c>
      <c r="CC6" s="62">
        <v>0.42</v>
      </c>
      <c r="CD6" s="62">
        <v>8.0500000000000007</v>
      </c>
      <c r="CE6" s="62">
        <v>4.5</v>
      </c>
      <c r="CG6" s="62">
        <v>1.57</v>
      </c>
      <c r="CH6" s="62">
        <v>0.01</v>
      </c>
      <c r="CI6" s="62">
        <v>2.0699999999999998</v>
      </c>
      <c r="CK6" s="62">
        <v>1.85</v>
      </c>
      <c r="CL6" s="62">
        <v>3.89</v>
      </c>
      <c r="CM6" s="62">
        <v>6.19</v>
      </c>
      <c r="CN6" s="62">
        <v>0.31</v>
      </c>
      <c r="CO6" s="62">
        <v>0.6</v>
      </c>
      <c r="CP6" s="62">
        <v>2.2000000000000002</v>
      </c>
      <c r="CQ6" s="62">
        <v>0.42</v>
      </c>
      <c r="CR6" s="62">
        <v>3.44</v>
      </c>
      <c r="CT6" s="62">
        <v>2.5099999999999998</v>
      </c>
      <c r="CU6" s="62">
        <v>2.91</v>
      </c>
      <c r="CV6" s="62">
        <v>1.26</v>
      </c>
      <c r="CW6" s="62">
        <v>3.37</v>
      </c>
      <c r="CX6" s="62">
        <v>3.64</v>
      </c>
      <c r="CY6" s="62">
        <v>2</v>
      </c>
      <c r="CZ6" s="62">
        <v>1.94</v>
      </c>
      <c r="DA6" s="62">
        <v>0.93</v>
      </c>
      <c r="DB6" s="62">
        <v>1.75</v>
      </c>
      <c r="DC6" s="62">
        <v>14.18</v>
      </c>
      <c r="DE6" s="62">
        <v>1.1599999999999999</v>
      </c>
      <c r="DF6" s="62">
        <v>1.26</v>
      </c>
      <c r="DG6" s="62">
        <v>0</v>
      </c>
      <c r="DI6" s="62">
        <v>2.2999999999999998</v>
      </c>
      <c r="DJ6" s="62">
        <v>2.4300000000000002</v>
      </c>
      <c r="DL6" s="62">
        <v>1.29</v>
      </c>
      <c r="DM6" s="62">
        <v>3.51</v>
      </c>
      <c r="DN6" s="62">
        <v>0.14000000000000001</v>
      </c>
      <c r="DO6" s="62">
        <v>3.8</v>
      </c>
    </row>
    <row r="7" spans="1:120" x14ac:dyDescent="0.3">
      <c r="A7" s="64" t="s">
        <v>9049</v>
      </c>
      <c r="B7" s="62">
        <v>6.55</v>
      </c>
      <c r="C7" s="62">
        <v>0</v>
      </c>
      <c r="E7" s="62">
        <v>2.0299999999999998</v>
      </c>
      <c r="F7" s="62">
        <v>0.05</v>
      </c>
      <c r="G7" s="62">
        <v>0.01</v>
      </c>
      <c r="H7" s="62">
        <v>0.9</v>
      </c>
      <c r="J7" s="62">
        <v>0.6</v>
      </c>
      <c r="K7" s="62">
        <v>3.89</v>
      </c>
      <c r="L7" s="62">
        <v>0.83</v>
      </c>
      <c r="M7" s="62">
        <v>2.57</v>
      </c>
      <c r="N7" s="62">
        <v>0.61</v>
      </c>
      <c r="O7" s="62">
        <v>0.01</v>
      </c>
      <c r="P7" s="62">
        <v>0.02</v>
      </c>
      <c r="Q7" s="62">
        <v>2.46</v>
      </c>
      <c r="R7" s="62">
        <v>2.2999999999999998</v>
      </c>
      <c r="S7" s="62">
        <v>1.54</v>
      </c>
      <c r="T7" s="62">
        <v>0.54</v>
      </c>
      <c r="U7" s="62">
        <v>1.73</v>
      </c>
      <c r="V7" s="62">
        <v>5.2</v>
      </c>
      <c r="W7" s="62">
        <v>3.24</v>
      </c>
      <c r="X7" s="62">
        <v>5.35</v>
      </c>
      <c r="Y7" s="62">
        <v>0.14000000000000001</v>
      </c>
      <c r="Z7" s="62">
        <v>0.01</v>
      </c>
      <c r="AA7" s="62">
        <v>3.69</v>
      </c>
      <c r="AB7" s="62">
        <v>10.24</v>
      </c>
      <c r="AE7" s="62">
        <v>0.54</v>
      </c>
      <c r="AF7" s="62">
        <v>4.1900000000000004</v>
      </c>
      <c r="AG7" s="62">
        <v>9.07</v>
      </c>
      <c r="AH7" s="62">
        <v>1.7</v>
      </c>
      <c r="AI7" s="62">
        <v>6.05</v>
      </c>
      <c r="AJ7" s="62">
        <v>4.8499999999999996</v>
      </c>
      <c r="AK7" s="62">
        <v>0.13</v>
      </c>
      <c r="AL7" s="62">
        <v>0.2</v>
      </c>
      <c r="AN7" s="62">
        <v>0.27</v>
      </c>
      <c r="AO7" s="62">
        <v>3.67</v>
      </c>
      <c r="AP7" s="62">
        <v>0.96</v>
      </c>
      <c r="AQ7" s="62">
        <v>1.23</v>
      </c>
      <c r="AR7" s="62">
        <v>3.19</v>
      </c>
      <c r="AS7" s="62">
        <v>0.86</v>
      </c>
      <c r="AU7" s="62">
        <v>2.25</v>
      </c>
      <c r="AW7" s="62">
        <v>0.1</v>
      </c>
      <c r="AX7" s="62">
        <v>1.1000000000000001</v>
      </c>
      <c r="AY7" s="62">
        <v>7.9</v>
      </c>
      <c r="AZ7" s="62">
        <v>13.2</v>
      </c>
      <c r="BB7" s="62">
        <v>0.8</v>
      </c>
      <c r="BC7" s="62">
        <v>3.05</v>
      </c>
      <c r="BD7" s="62">
        <v>3.02</v>
      </c>
      <c r="BE7" s="62">
        <v>2.19</v>
      </c>
      <c r="BF7" s="62">
        <v>1.65</v>
      </c>
      <c r="BG7" s="62">
        <v>4.05</v>
      </c>
      <c r="BI7" s="62">
        <v>0.71</v>
      </c>
      <c r="BJ7" s="62">
        <v>0.45</v>
      </c>
      <c r="BK7" s="62">
        <v>0.01</v>
      </c>
      <c r="BM7" s="62">
        <v>1.93</v>
      </c>
      <c r="BN7" s="62">
        <v>0.05</v>
      </c>
      <c r="BP7" s="62">
        <v>1.27</v>
      </c>
      <c r="BR7" s="62">
        <v>1.26</v>
      </c>
      <c r="BS7" s="62">
        <v>0.36</v>
      </c>
      <c r="BT7" s="62">
        <v>0.4</v>
      </c>
      <c r="BU7" s="62">
        <v>0.65</v>
      </c>
      <c r="BV7" s="62">
        <v>2.81</v>
      </c>
      <c r="BW7" s="62">
        <v>0.98</v>
      </c>
      <c r="BX7" s="62">
        <v>0.01</v>
      </c>
      <c r="BY7" s="62">
        <v>1.26</v>
      </c>
      <c r="CA7" s="62">
        <v>0.2</v>
      </c>
      <c r="CB7" s="62">
        <v>2.82</v>
      </c>
      <c r="CC7" s="62">
        <v>0.37</v>
      </c>
      <c r="CD7" s="62">
        <v>8.65</v>
      </c>
      <c r="CE7" s="62">
        <v>4.45</v>
      </c>
      <c r="CG7" s="62">
        <v>1.49</v>
      </c>
      <c r="CH7" s="62">
        <v>0.01</v>
      </c>
      <c r="CI7" s="62">
        <v>2.3199999999999998</v>
      </c>
      <c r="CK7" s="62">
        <v>1.76</v>
      </c>
      <c r="CL7" s="62">
        <v>3.89</v>
      </c>
      <c r="CM7" s="62">
        <v>6.25</v>
      </c>
      <c r="CN7" s="62">
        <v>0.32</v>
      </c>
      <c r="CO7" s="62">
        <v>0.56999999999999995</v>
      </c>
      <c r="CP7" s="62">
        <v>1.92</v>
      </c>
      <c r="CQ7" s="62">
        <v>0.45</v>
      </c>
      <c r="CR7" s="62">
        <v>3.5</v>
      </c>
      <c r="CT7" s="62">
        <v>2.4300000000000002</v>
      </c>
      <c r="CU7" s="62">
        <v>2.82</v>
      </c>
      <c r="CV7" s="62">
        <v>1.26</v>
      </c>
      <c r="CW7" s="62">
        <v>3.55</v>
      </c>
      <c r="CX7" s="62">
        <v>3.71</v>
      </c>
      <c r="CY7" s="62">
        <v>1.85</v>
      </c>
      <c r="CZ7" s="62">
        <v>1.88</v>
      </c>
      <c r="DA7" s="62">
        <v>0.89</v>
      </c>
      <c r="DB7" s="62">
        <v>1.74</v>
      </c>
      <c r="DC7" s="62">
        <v>13.5</v>
      </c>
      <c r="DE7" s="62">
        <v>1.1399999999999999</v>
      </c>
      <c r="DF7" s="62">
        <v>1.24</v>
      </c>
      <c r="DG7" s="62">
        <v>0</v>
      </c>
      <c r="DI7" s="62">
        <v>2.2999999999999998</v>
      </c>
      <c r="DJ7" s="62">
        <v>2.4700000000000002</v>
      </c>
      <c r="DL7" s="62">
        <v>1.25</v>
      </c>
      <c r="DM7" s="62">
        <v>3.22</v>
      </c>
      <c r="DN7" s="62">
        <v>0.14000000000000001</v>
      </c>
      <c r="DO7" s="62">
        <v>3.9</v>
      </c>
    </row>
    <row r="8" spans="1:120" x14ac:dyDescent="0.3">
      <c r="A8" s="64" t="s">
        <v>9050</v>
      </c>
      <c r="B8" s="62">
        <v>6.45</v>
      </c>
      <c r="C8" s="62">
        <v>0</v>
      </c>
      <c r="E8" s="62">
        <v>2.09</v>
      </c>
      <c r="F8" s="62">
        <v>0.05</v>
      </c>
      <c r="G8" s="62">
        <v>0.01</v>
      </c>
      <c r="H8" s="62">
        <v>0.92</v>
      </c>
      <c r="J8" s="62">
        <v>0.63</v>
      </c>
      <c r="K8" s="62">
        <v>4.0199999999999996</v>
      </c>
      <c r="L8" s="62">
        <v>0.83</v>
      </c>
      <c r="M8" s="62">
        <v>2.5299999999999998</v>
      </c>
      <c r="N8" s="62">
        <v>0.65</v>
      </c>
      <c r="O8" s="62">
        <v>0.01</v>
      </c>
      <c r="P8" s="62">
        <v>0.02</v>
      </c>
      <c r="Q8" s="62">
        <v>2.38</v>
      </c>
      <c r="R8" s="62">
        <v>2.31</v>
      </c>
      <c r="S8" s="62">
        <v>1.6</v>
      </c>
      <c r="T8" s="62">
        <v>0.54</v>
      </c>
      <c r="U8" s="62">
        <v>1.74</v>
      </c>
      <c r="V8" s="62">
        <v>5.4</v>
      </c>
      <c r="W8" s="62">
        <v>3.16</v>
      </c>
      <c r="X8" s="62">
        <v>5.7</v>
      </c>
      <c r="Y8" s="62">
        <v>0.17</v>
      </c>
      <c r="Z8" s="62">
        <v>0.01</v>
      </c>
      <c r="AA8" s="62">
        <v>3.72</v>
      </c>
      <c r="AB8" s="62">
        <v>9.35</v>
      </c>
      <c r="AE8" s="62">
        <v>0.54</v>
      </c>
      <c r="AF8" s="62">
        <v>4.05</v>
      </c>
      <c r="AG8" s="62">
        <v>9.33</v>
      </c>
      <c r="AH8" s="62">
        <v>1.55</v>
      </c>
      <c r="AI8" s="62">
        <v>6.11</v>
      </c>
      <c r="AJ8" s="62">
        <v>4.95</v>
      </c>
      <c r="AK8" s="62">
        <v>0.14000000000000001</v>
      </c>
      <c r="AL8" s="62">
        <v>0.15</v>
      </c>
      <c r="AM8" s="62">
        <v>1.88</v>
      </c>
      <c r="AN8" s="62">
        <v>0.18</v>
      </c>
      <c r="AO8" s="62">
        <v>3.38</v>
      </c>
      <c r="AP8" s="62">
        <v>0.99</v>
      </c>
      <c r="AQ8" s="62">
        <v>1.18</v>
      </c>
      <c r="AR8" s="62">
        <v>3.45</v>
      </c>
      <c r="AS8" s="62">
        <v>0.88</v>
      </c>
      <c r="AU8" s="62">
        <v>2.2799999999999998</v>
      </c>
      <c r="AW8" s="62">
        <v>0.1</v>
      </c>
      <c r="AX8" s="62">
        <v>1.1399999999999999</v>
      </c>
      <c r="AY8" s="62">
        <v>7.9</v>
      </c>
      <c r="AZ8" s="62">
        <v>13.2</v>
      </c>
      <c r="BB8" s="62">
        <v>0.81</v>
      </c>
      <c r="BC8" s="62">
        <v>3</v>
      </c>
      <c r="BD8" s="62">
        <v>3.36</v>
      </c>
      <c r="BE8" s="62">
        <v>2.33</v>
      </c>
      <c r="BF8" s="62">
        <v>1.72</v>
      </c>
      <c r="BG8" s="62">
        <v>4.1100000000000003</v>
      </c>
      <c r="BI8" s="62">
        <v>0.74</v>
      </c>
      <c r="BJ8" s="62">
        <v>0.46</v>
      </c>
      <c r="BK8" s="62">
        <v>0.01</v>
      </c>
      <c r="BM8" s="62">
        <v>1.93</v>
      </c>
      <c r="BN8" s="62">
        <v>7.0000000000000007E-2</v>
      </c>
      <c r="BP8" s="62">
        <v>1.25</v>
      </c>
      <c r="BR8" s="62">
        <v>1.07</v>
      </c>
      <c r="BS8" s="62">
        <v>0.38</v>
      </c>
      <c r="BT8" s="62">
        <v>0.4</v>
      </c>
      <c r="BU8" s="62">
        <v>0.5</v>
      </c>
      <c r="BV8" s="62">
        <v>2.85</v>
      </c>
      <c r="BW8" s="62">
        <v>1.02</v>
      </c>
      <c r="BX8" s="62">
        <v>0.01</v>
      </c>
      <c r="BY8" s="62">
        <v>1.28</v>
      </c>
      <c r="CA8" s="62">
        <v>0.2</v>
      </c>
      <c r="CB8" s="62">
        <v>3.08</v>
      </c>
      <c r="CC8" s="62">
        <v>0.36</v>
      </c>
      <c r="CD8" s="62">
        <v>8.75</v>
      </c>
      <c r="CE8" s="62">
        <v>4.25</v>
      </c>
      <c r="CG8" s="62">
        <v>1.57</v>
      </c>
      <c r="CH8" s="62">
        <v>0.01</v>
      </c>
      <c r="CI8" s="62">
        <v>2.39</v>
      </c>
      <c r="CK8" s="62">
        <v>1.77</v>
      </c>
      <c r="CL8" s="62">
        <v>4.0199999999999996</v>
      </c>
      <c r="CM8" s="62">
        <v>6.64</v>
      </c>
      <c r="CN8" s="62">
        <v>0.33</v>
      </c>
      <c r="CO8" s="62">
        <v>0.56000000000000005</v>
      </c>
      <c r="CP8" s="62">
        <v>1.8</v>
      </c>
      <c r="CQ8" s="62">
        <v>0.41</v>
      </c>
      <c r="CR8" s="62">
        <v>3.5</v>
      </c>
      <c r="CT8" s="62">
        <v>2.73</v>
      </c>
      <c r="CU8" s="62">
        <v>2.84</v>
      </c>
      <c r="CV8" s="62">
        <v>1.31</v>
      </c>
      <c r="CW8" s="62">
        <v>3.47</v>
      </c>
      <c r="CX8" s="62">
        <v>3.73</v>
      </c>
      <c r="CY8" s="62">
        <v>2</v>
      </c>
      <c r="CZ8" s="62">
        <v>1.72</v>
      </c>
      <c r="DA8" s="62">
        <v>0.8</v>
      </c>
      <c r="DB8" s="62">
        <v>1.82</v>
      </c>
      <c r="DC8" s="62">
        <v>13.5</v>
      </c>
      <c r="DE8" s="62">
        <v>1.1399999999999999</v>
      </c>
      <c r="DF8" s="62">
        <v>1.31</v>
      </c>
      <c r="DG8" s="62">
        <v>0.01</v>
      </c>
      <c r="DI8" s="62">
        <v>2.4500000000000002</v>
      </c>
      <c r="DJ8" s="62">
        <v>2.57</v>
      </c>
      <c r="DL8" s="62">
        <v>1.34</v>
      </c>
      <c r="DM8" s="62">
        <v>3.38</v>
      </c>
      <c r="DN8" s="62">
        <v>0.14000000000000001</v>
      </c>
      <c r="DO8" s="62">
        <v>3.91</v>
      </c>
    </row>
    <row r="9" spans="1:120" x14ac:dyDescent="0.3">
      <c r="A9" s="64" t="s">
        <v>9051</v>
      </c>
      <c r="B9" s="62">
        <v>6.35</v>
      </c>
      <c r="C9" s="62">
        <v>0</v>
      </c>
      <c r="E9" s="62">
        <v>2.19</v>
      </c>
      <c r="F9" s="62">
        <v>0.05</v>
      </c>
      <c r="G9" s="62">
        <v>0.01</v>
      </c>
      <c r="H9" s="62">
        <v>0.97</v>
      </c>
      <c r="J9" s="62">
        <v>0.6</v>
      </c>
      <c r="K9" s="62">
        <v>3.86</v>
      </c>
      <c r="L9" s="62">
        <v>0.83</v>
      </c>
      <c r="M9" s="62">
        <v>2.6</v>
      </c>
      <c r="N9" s="62">
        <v>0.65</v>
      </c>
      <c r="O9" s="62">
        <v>0.01</v>
      </c>
      <c r="P9" s="62">
        <v>0.02</v>
      </c>
      <c r="Q9" s="62">
        <v>2.5</v>
      </c>
      <c r="R9" s="62">
        <v>2.4500000000000002</v>
      </c>
      <c r="S9" s="62">
        <v>1.5</v>
      </c>
      <c r="T9" s="62">
        <v>0.53</v>
      </c>
      <c r="U9" s="62">
        <v>1.7</v>
      </c>
      <c r="V9" s="62">
        <v>5.3</v>
      </c>
      <c r="W9" s="62">
        <v>3.49</v>
      </c>
      <c r="X9" s="62">
        <v>5.45</v>
      </c>
      <c r="Y9" s="62">
        <v>0.14000000000000001</v>
      </c>
      <c r="Z9" s="62">
        <v>0.01</v>
      </c>
      <c r="AA9" s="62">
        <v>4</v>
      </c>
      <c r="AB9" s="62">
        <v>9.58</v>
      </c>
      <c r="AE9" s="62">
        <v>0.54</v>
      </c>
      <c r="AF9" s="62">
        <v>4.5999999999999996</v>
      </c>
      <c r="AG9" s="62">
        <v>8.57</v>
      </c>
      <c r="AH9" s="62">
        <v>1.51</v>
      </c>
      <c r="AI9" s="62">
        <v>6.12</v>
      </c>
      <c r="AJ9" s="62">
        <v>5.0999999999999996</v>
      </c>
      <c r="AK9" s="62">
        <v>0.13</v>
      </c>
      <c r="AL9" s="62">
        <v>0.16</v>
      </c>
      <c r="AM9" s="62">
        <v>1.81</v>
      </c>
      <c r="AN9" s="62">
        <v>0.21</v>
      </c>
      <c r="AO9" s="62">
        <v>2.9</v>
      </c>
      <c r="AP9" s="62">
        <v>1.07</v>
      </c>
      <c r="AQ9" s="62">
        <v>1.5</v>
      </c>
      <c r="AR9" s="62">
        <v>3.15</v>
      </c>
      <c r="AS9" s="62">
        <v>0.88</v>
      </c>
      <c r="AU9" s="62">
        <v>2.44</v>
      </c>
      <c r="AW9" s="62">
        <v>0.1</v>
      </c>
      <c r="AX9" s="62">
        <v>1.19</v>
      </c>
      <c r="AY9" s="62">
        <v>8</v>
      </c>
      <c r="AZ9" s="62">
        <v>13.75</v>
      </c>
      <c r="BB9" s="62">
        <v>0.85</v>
      </c>
      <c r="BC9" s="62">
        <v>3.03</v>
      </c>
      <c r="BD9" s="62">
        <v>3.02</v>
      </c>
      <c r="BE9" s="62">
        <v>2.29</v>
      </c>
      <c r="BF9" s="62">
        <v>1.74</v>
      </c>
      <c r="BG9" s="62">
        <v>4.4000000000000004</v>
      </c>
      <c r="BI9" s="62">
        <v>0.79</v>
      </c>
      <c r="BJ9" s="62">
        <v>0.4</v>
      </c>
      <c r="BK9" s="62">
        <v>0.01</v>
      </c>
      <c r="BM9" s="62">
        <v>1.94</v>
      </c>
      <c r="BN9" s="62">
        <v>0.06</v>
      </c>
      <c r="BP9" s="62">
        <v>1.34</v>
      </c>
      <c r="BR9" s="62">
        <v>0.84</v>
      </c>
      <c r="BS9" s="62">
        <v>0.25</v>
      </c>
      <c r="BT9" s="62">
        <v>0.42</v>
      </c>
      <c r="BU9" s="62">
        <v>0.47</v>
      </c>
      <c r="BV9" s="62">
        <v>2.86</v>
      </c>
      <c r="BW9" s="62">
        <v>1.0900000000000001</v>
      </c>
      <c r="BX9" s="62">
        <v>0.01</v>
      </c>
      <c r="BY9" s="62">
        <v>1.31</v>
      </c>
      <c r="CA9" s="62">
        <v>0.23</v>
      </c>
      <c r="CB9" s="62">
        <v>3.2</v>
      </c>
      <c r="CC9" s="62">
        <v>0.37</v>
      </c>
      <c r="CD9" s="62">
        <v>8.32</v>
      </c>
      <c r="CE9" s="62">
        <v>4.05</v>
      </c>
      <c r="CG9" s="62">
        <v>1.74</v>
      </c>
      <c r="CH9" s="62">
        <v>0.01</v>
      </c>
      <c r="CI9" s="62">
        <v>2.41</v>
      </c>
      <c r="CK9" s="62">
        <v>1.76</v>
      </c>
      <c r="CL9" s="62">
        <v>3.96</v>
      </c>
      <c r="CM9" s="62">
        <v>6.6</v>
      </c>
      <c r="CN9" s="62">
        <v>0.35</v>
      </c>
      <c r="CO9" s="62">
        <v>0.52</v>
      </c>
      <c r="CP9" s="62">
        <v>2</v>
      </c>
      <c r="CQ9" s="62">
        <v>0.62</v>
      </c>
      <c r="CR9" s="62">
        <v>3.5</v>
      </c>
      <c r="CT9" s="62">
        <v>2.69</v>
      </c>
      <c r="CU9" s="62">
        <v>2.85</v>
      </c>
      <c r="CV9" s="62">
        <v>1.36</v>
      </c>
      <c r="CW9" s="62">
        <v>3.5</v>
      </c>
      <c r="CX9" s="62">
        <v>3.1</v>
      </c>
      <c r="CY9" s="62">
        <v>2</v>
      </c>
      <c r="CZ9" s="62">
        <v>1.6</v>
      </c>
      <c r="DA9" s="62">
        <v>0.78</v>
      </c>
      <c r="DB9" s="62">
        <v>1.76</v>
      </c>
      <c r="DC9" s="62">
        <v>16.88</v>
      </c>
      <c r="DE9" s="62">
        <v>1.1399999999999999</v>
      </c>
      <c r="DF9" s="62">
        <v>1.44</v>
      </c>
      <c r="DG9" s="62">
        <v>0</v>
      </c>
      <c r="DI9" s="62">
        <v>2.35</v>
      </c>
      <c r="DJ9" s="62">
        <v>2.5499999999999998</v>
      </c>
      <c r="DL9" s="62">
        <v>1.37</v>
      </c>
      <c r="DM9" s="62">
        <v>3.45</v>
      </c>
      <c r="DN9" s="62">
        <v>0.1</v>
      </c>
      <c r="DO9" s="62">
        <v>3.89</v>
      </c>
    </row>
    <row r="10" spans="1:120" x14ac:dyDescent="0.3">
      <c r="A10" s="64" t="s">
        <v>9052</v>
      </c>
      <c r="B10" s="62">
        <v>6.26</v>
      </c>
      <c r="C10" s="62">
        <v>0</v>
      </c>
      <c r="E10" s="62">
        <v>2.11</v>
      </c>
      <c r="F10" s="62">
        <v>0.05</v>
      </c>
      <c r="G10" s="62">
        <v>0.01</v>
      </c>
      <c r="H10" s="62">
        <v>0.98</v>
      </c>
      <c r="J10" s="62">
        <v>0.59</v>
      </c>
      <c r="K10" s="62">
        <v>3.9</v>
      </c>
      <c r="L10" s="62">
        <v>0.88</v>
      </c>
      <c r="M10" s="62">
        <v>2.48</v>
      </c>
      <c r="N10" s="62">
        <v>0.64</v>
      </c>
      <c r="O10" s="62">
        <v>0.01</v>
      </c>
      <c r="P10" s="62">
        <v>0.02</v>
      </c>
      <c r="Q10" s="62">
        <v>2.61</v>
      </c>
      <c r="R10" s="62">
        <v>2.6</v>
      </c>
      <c r="S10" s="62">
        <v>1.34</v>
      </c>
      <c r="T10" s="62">
        <v>0.52</v>
      </c>
      <c r="U10" s="62">
        <v>1.72</v>
      </c>
      <c r="V10" s="62">
        <v>5.19</v>
      </c>
      <c r="W10" s="62">
        <v>3.75</v>
      </c>
      <c r="X10" s="62">
        <v>5.38</v>
      </c>
      <c r="Y10" s="62">
        <v>0.15</v>
      </c>
      <c r="Z10" s="62">
        <v>0.01</v>
      </c>
      <c r="AA10" s="62">
        <v>4.18</v>
      </c>
      <c r="AB10" s="62">
        <v>10.09</v>
      </c>
      <c r="AE10" s="62">
        <v>0.72</v>
      </c>
      <c r="AF10" s="62">
        <v>4.7300000000000004</v>
      </c>
      <c r="AG10" s="62">
        <v>8.3699999999999992</v>
      </c>
      <c r="AH10" s="62">
        <v>1.5</v>
      </c>
      <c r="AI10" s="62">
        <v>5.72</v>
      </c>
      <c r="AJ10" s="62">
        <v>5.0599999999999996</v>
      </c>
      <c r="AK10" s="62">
        <v>0.12</v>
      </c>
      <c r="AL10" s="62">
        <v>0.16</v>
      </c>
      <c r="AM10" s="62">
        <v>1.78</v>
      </c>
      <c r="AN10" s="62">
        <v>0.15</v>
      </c>
      <c r="AO10" s="62">
        <v>1.91</v>
      </c>
      <c r="AP10" s="62">
        <v>1.05</v>
      </c>
      <c r="AQ10" s="62">
        <v>1.48</v>
      </c>
      <c r="AR10" s="62">
        <v>3.07</v>
      </c>
      <c r="AS10" s="62">
        <v>0.94</v>
      </c>
      <c r="AU10" s="62">
        <v>2.44</v>
      </c>
      <c r="AW10" s="62">
        <v>0.09</v>
      </c>
      <c r="AX10" s="62">
        <v>1.1599999999999999</v>
      </c>
      <c r="AY10" s="62">
        <v>7.7</v>
      </c>
      <c r="AZ10" s="62">
        <v>14.2</v>
      </c>
      <c r="BB10" s="62">
        <v>0.84</v>
      </c>
      <c r="BC10" s="62">
        <v>3.02</v>
      </c>
      <c r="BD10" s="62">
        <v>3.02</v>
      </c>
      <c r="BE10" s="62">
        <v>2.2400000000000002</v>
      </c>
      <c r="BF10" s="62">
        <v>1.75</v>
      </c>
      <c r="BG10" s="62">
        <v>4.55</v>
      </c>
      <c r="BI10" s="62">
        <v>0.73</v>
      </c>
      <c r="BJ10" s="62">
        <v>0.37</v>
      </c>
      <c r="BK10" s="62">
        <v>0.01</v>
      </c>
      <c r="BM10" s="62">
        <v>2.02</v>
      </c>
      <c r="BN10" s="62">
        <v>0.05</v>
      </c>
      <c r="BP10" s="62">
        <v>1.31</v>
      </c>
      <c r="BR10" s="62">
        <v>0.77</v>
      </c>
      <c r="BS10" s="62">
        <v>0.24</v>
      </c>
      <c r="BT10" s="62">
        <v>0.41</v>
      </c>
      <c r="BU10" s="62">
        <v>0.37</v>
      </c>
      <c r="BV10" s="62">
        <v>3.12</v>
      </c>
      <c r="BW10" s="62">
        <v>1.07</v>
      </c>
      <c r="BX10" s="62">
        <v>0.01</v>
      </c>
      <c r="BY10" s="62">
        <v>1.32</v>
      </c>
      <c r="CA10" s="62">
        <v>0.24</v>
      </c>
      <c r="CB10" s="62">
        <v>3.22</v>
      </c>
      <c r="CC10" s="62">
        <v>0.42</v>
      </c>
      <c r="CD10" s="62">
        <v>8.5</v>
      </c>
      <c r="CE10" s="62">
        <v>4.05</v>
      </c>
      <c r="CG10" s="62">
        <v>1.59</v>
      </c>
      <c r="CH10" s="62">
        <v>0.01</v>
      </c>
      <c r="CI10" s="62">
        <v>2.77</v>
      </c>
      <c r="CJ10" s="62">
        <v>1.03</v>
      </c>
      <c r="CK10" s="62">
        <v>1.76</v>
      </c>
      <c r="CL10" s="62">
        <v>3.97</v>
      </c>
      <c r="CM10" s="62">
        <v>6.9</v>
      </c>
      <c r="CN10" s="62">
        <v>0.28000000000000003</v>
      </c>
      <c r="CO10" s="62">
        <v>0.54</v>
      </c>
      <c r="CP10" s="62">
        <v>1.64</v>
      </c>
      <c r="CQ10" s="62">
        <v>0.5</v>
      </c>
      <c r="CR10" s="62">
        <v>3.46</v>
      </c>
      <c r="CT10" s="62">
        <v>2.69</v>
      </c>
      <c r="CU10" s="62">
        <v>2.85</v>
      </c>
      <c r="CV10" s="62">
        <v>1.35</v>
      </c>
      <c r="CW10" s="62">
        <v>3.45</v>
      </c>
      <c r="CX10" s="62">
        <v>3.36</v>
      </c>
      <c r="CY10" s="62">
        <v>2</v>
      </c>
      <c r="CZ10" s="62">
        <v>1.56</v>
      </c>
      <c r="DA10" s="62">
        <v>0.7</v>
      </c>
      <c r="DB10" s="62">
        <v>1.69</v>
      </c>
      <c r="DC10" s="62">
        <v>16.88</v>
      </c>
      <c r="DE10" s="62">
        <v>1.1200000000000001</v>
      </c>
      <c r="DF10" s="62">
        <v>1.46</v>
      </c>
      <c r="DG10" s="62">
        <v>0.01</v>
      </c>
      <c r="DI10" s="62">
        <v>2.1</v>
      </c>
      <c r="DJ10" s="62">
        <v>2.57</v>
      </c>
      <c r="DL10" s="62">
        <v>1.35</v>
      </c>
      <c r="DM10" s="62">
        <v>3.12</v>
      </c>
      <c r="DN10" s="62">
        <v>0.09</v>
      </c>
      <c r="DO10" s="62">
        <v>3.94</v>
      </c>
    </row>
    <row r="11" spans="1:120" x14ac:dyDescent="0.3">
      <c r="A11" s="64" t="s">
        <v>9053</v>
      </c>
      <c r="B11" s="62">
        <v>6.26</v>
      </c>
      <c r="C11" s="62">
        <v>0</v>
      </c>
      <c r="E11" s="62">
        <v>1.9</v>
      </c>
      <c r="F11" s="62">
        <v>0.04</v>
      </c>
      <c r="G11" s="62">
        <v>0.01</v>
      </c>
      <c r="H11" s="62">
        <v>1</v>
      </c>
      <c r="J11" s="62">
        <v>0.57999999999999996</v>
      </c>
      <c r="K11" s="62">
        <v>3.78</v>
      </c>
      <c r="L11" s="62">
        <v>0.88</v>
      </c>
      <c r="M11" s="62">
        <v>2.38</v>
      </c>
      <c r="N11" s="62">
        <v>0.63</v>
      </c>
      <c r="O11" s="62">
        <v>0.01</v>
      </c>
      <c r="P11" s="62">
        <v>0.02</v>
      </c>
      <c r="Q11" s="62">
        <v>2.7</v>
      </c>
      <c r="R11" s="62">
        <v>2.7</v>
      </c>
      <c r="S11" s="62">
        <v>1.1499999999999999</v>
      </c>
      <c r="T11" s="62">
        <v>0.52</v>
      </c>
      <c r="U11" s="62">
        <v>1.76</v>
      </c>
      <c r="V11" s="62">
        <v>5.34</v>
      </c>
      <c r="W11" s="62">
        <v>3.59</v>
      </c>
      <c r="X11" s="62">
        <v>5.5</v>
      </c>
      <c r="Y11" s="62">
        <v>0.13</v>
      </c>
      <c r="Z11" s="62">
        <v>0.01</v>
      </c>
      <c r="AA11" s="62">
        <v>4.1399999999999997</v>
      </c>
      <c r="AB11" s="62">
        <v>10.15</v>
      </c>
      <c r="AE11" s="62">
        <v>1.5</v>
      </c>
      <c r="AF11" s="62">
        <v>4.68</v>
      </c>
      <c r="AG11" s="62">
        <v>8.5299999999999994</v>
      </c>
      <c r="AH11" s="62">
        <v>1.62</v>
      </c>
      <c r="AI11" s="62">
        <v>6.19</v>
      </c>
      <c r="AJ11" s="62">
        <v>4.9000000000000004</v>
      </c>
      <c r="AK11" s="62">
        <v>0.12</v>
      </c>
      <c r="AL11" s="62">
        <v>0.16</v>
      </c>
      <c r="AM11" s="62">
        <v>1.82</v>
      </c>
      <c r="AN11" s="62">
        <v>0.14000000000000001</v>
      </c>
      <c r="AO11" s="62">
        <v>1.53</v>
      </c>
      <c r="AP11" s="62">
        <v>1.06</v>
      </c>
      <c r="AQ11" s="62">
        <v>1.68</v>
      </c>
      <c r="AR11" s="62">
        <v>3.17</v>
      </c>
      <c r="AS11" s="62">
        <v>0.93</v>
      </c>
      <c r="AT11" s="62">
        <v>0.99</v>
      </c>
      <c r="AU11" s="62">
        <v>2.48</v>
      </c>
      <c r="AW11" s="62">
        <v>0.09</v>
      </c>
      <c r="AX11" s="62">
        <v>1.1599999999999999</v>
      </c>
      <c r="AY11" s="62">
        <v>6.9</v>
      </c>
      <c r="AZ11" s="62">
        <v>14.89</v>
      </c>
      <c r="BB11" s="62">
        <v>0.81</v>
      </c>
      <c r="BC11" s="62">
        <v>2.98</v>
      </c>
      <c r="BD11" s="62">
        <v>2.77</v>
      </c>
      <c r="BE11" s="62">
        <v>2.36</v>
      </c>
      <c r="BF11" s="62">
        <v>1.73</v>
      </c>
      <c r="BG11" s="62">
        <v>4.3</v>
      </c>
      <c r="BH11" s="62">
        <v>1.75</v>
      </c>
      <c r="BI11" s="62">
        <v>1.2</v>
      </c>
      <c r="BJ11" s="62">
        <v>0.48</v>
      </c>
      <c r="BK11" s="62">
        <v>0.01</v>
      </c>
      <c r="BM11" s="62">
        <v>2</v>
      </c>
      <c r="BN11" s="62">
        <v>0.06</v>
      </c>
      <c r="BP11" s="62">
        <v>1.29</v>
      </c>
      <c r="BR11" s="62">
        <v>0.74</v>
      </c>
      <c r="BS11" s="62">
        <v>0.15</v>
      </c>
      <c r="BT11" s="62">
        <v>0.39</v>
      </c>
      <c r="BU11" s="62">
        <v>0.3</v>
      </c>
      <c r="BV11" s="62">
        <v>3.09</v>
      </c>
      <c r="BW11" s="62">
        <v>1.0900000000000001</v>
      </c>
      <c r="BX11" s="62">
        <v>0.01</v>
      </c>
      <c r="BY11" s="62">
        <v>1.33</v>
      </c>
      <c r="CA11" s="62">
        <v>0.24</v>
      </c>
      <c r="CB11" s="62">
        <v>3.18</v>
      </c>
      <c r="CC11" s="62">
        <v>0.38</v>
      </c>
      <c r="CD11" s="62">
        <v>8.0299999999999994</v>
      </c>
      <c r="CE11" s="62">
        <v>4.05</v>
      </c>
      <c r="CF11" s="62">
        <v>1.58</v>
      </c>
      <c r="CG11" s="62">
        <v>1.54</v>
      </c>
      <c r="CH11" s="62">
        <v>0.01</v>
      </c>
      <c r="CI11" s="62">
        <v>2.77</v>
      </c>
      <c r="CJ11" s="62">
        <v>0.94</v>
      </c>
      <c r="CK11" s="62">
        <v>1.67</v>
      </c>
      <c r="CL11" s="62">
        <v>3.72</v>
      </c>
      <c r="CM11" s="62">
        <v>6.61</v>
      </c>
      <c r="CN11" s="62">
        <v>0.24</v>
      </c>
      <c r="CO11" s="62">
        <v>0.52</v>
      </c>
      <c r="CP11" s="62">
        <v>1.6</v>
      </c>
      <c r="CQ11" s="62">
        <v>0.48</v>
      </c>
      <c r="CR11" s="62">
        <v>3.44</v>
      </c>
      <c r="CT11" s="62">
        <v>2.83</v>
      </c>
      <c r="CU11" s="62">
        <v>2.68</v>
      </c>
      <c r="CV11" s="62">
        <v>1.38</v>
      </c>
      <c r="CW11" s="62">
        <v>3.11</v>
      </c>
      <c r="CX11" s="62">
        <v>3.45</v>
      </c>
      <c r="CY11" s="62">
        <v>2.0499999999999998</v>
      </c>
      <c r="CZ11" s="62">
        <v>1.61</v>
      </c>
      <c r="DA11" s="62">
        <v>0.63</v>
      </c>
      <c r="DB11" s="62">
        <v>1.67</v>
      </c>
      <c r="DC11" s="62">
        <v>14.18</v>
      </c>
      <c r="DE11" s="62">
        <v>1.24</v>
      </c>
      <c r="DF11" s="62">
        <v>1.46</v>
      </c>
      <c r="DG11" s="62">
        <v>0</v>
      </c>
      <c r="DI11" s="62">
        <v>2.4</v>
      </c>
      <c r="DJ11" s="62">
        <v>2.56</v>
      </c>
      <c r="DL11" s="62">
        <v>1.36</v>
      </c>
      <c r="DM11" s="62">
        <v>3.1</v>
      </c>
      <c r="DN11" s="62">
        <v>0.08</v>
      </c>
      <c r="DO11" s="62">
        <v>3.8</v>
      </c>
    </row>
    <row r="12" spans="1:120" x14ac:dyDescent="0.3">
      <c r="A12" s="64" t="s">
        <v>9054</v>
      </c>
      <c r="B12" s="62">
        <v>6.69</v>
      </c>
      <c r="C12" s="62">
        <v>0</v>
      </c>
      <c r="E12" s="62">
        <v>2.17</v>
      </c>
      <c r="F12" s="62">
        <v>0.08</v>
      </c>
      <c r="G12" s="62">
        <v>0</v>
      </c>
      <c r="H12" s="62">
        <v>1.03</v>
      </c>
      <c r="J12" s="62">
        <v>0.56999999999999995</v>
      </c>
      <c r="K12" s="62">
        <v>3.7</v>
      </c>
      <c r="L12" s="62">
        <v>0.88</v>
      </c>
      <c r="M12" s="62">
        <v>2.36</v>
      </c>
      <c r="N12" s="62">
        <v>0.64</v>
      </c>
      <c r="O12" s="62">
        <v>0.01</v>
      </c>
      <c r="P12" s="62">
        <v>0.02</v>
      </c>
      <c r="Q12" s="62">
        <v>2.82</v>
      </c>
      <c r="R12" s="62">
        <v>2.5</v>
      </c>
      <c r="S12" s="62">
        <v>0.93</v>
      </c>
      <c r="T12" s="62">
        <v>0.52</v>
      </c>
      <c r="U12" s="62">
        <v>1.76</v>
      </c>
      <c r="V12" s="62">
        <v>5.75</v>
      </c>
      <c r="W12" s="62">
        <v>3.59</v>
      </c>
      <c r="X12" s="62">
        <v>5.4</v>
      </c>
      <c r="Y12" s="62">
        <v>0.17</v>
      </c>
      <c r="Z12" s="62">
        <v>0.01</v>
      </c>
      <c r="AA12" s="62">
        <v>4.5</v>
      </c>
      <c r="AB12" s="62">
        <v>9.39</v>
      </c>
      <c r="AC12" s="62">
        <v>3.6</v>
      </c>
      <c r="AE12" s="62">
        <v>1.1000000000000001</v>
      </c>
      <c r="AF12" s="62">
        <v>5</v>
      </c>
      <c r="AG12" s="62">
        <v>8.73</v>
      </c>
      <c r="AH12" s="62">
        <v>1.61</v>
      </c>
      <c r="AI12" s="62">
        <v>6.15</v>
      </c>
      <c r="AJ12" s="62">
        <v>5.12</v>
      </c>
      <c r="AK12" s="62">
        <v>0.1</v>
      </c>
      <c r="AL12" s="62">
        <v>0.2</v>
      </c>
      <c r="AM12" s="62">
        <v>1.78</v>
      </c>
      <c r="AN12" s="62">
        <v>0.16</v>
      </c>
      <c r="AO12" s="62">
        <v>1.1000000000000001</v>
      </c>
      <c r="AP12" s="62">
        <v>1.1299999999999999</v>
      </c>
      <c r="AQ12" s="62">
        <v>1.78</v>
      </c>
      <c r="AR12" s="62">
        <v>2.86</v>
      </c>
      <c r="AS12" s="62">
        <v>0.94</v>
      </c>
      <c r="AT12" s="62">
        <v>0.91</v>
      </c>
      <c r="AU12" s="62">
        <v>2.41</v>
      </c>
      <c r="AW12" s="62">
        <v>0.09</v>
      </c>
      <c r="AX12" s="62">
        <v>1.2</v>
      </c>
      <c r="AY12" s="62">
        <v>6.05</v>
      </c>
      <c r="AZ12" s="62">
        <v>15.11</v>
      </c>
      <c r="BB12" s="62">
        <v>0.82</v>
      </c>
      <c r="BC12" s="62">
        <v>2.8</v>
      </c>
      <c r="BD12" s="62">
        <v>2.86</v>
      </c>
      <c r="BE12" s="62">
        <v>2.2999999999999998</v>
      </c>
      <c r="BF12" s="62">
        <v>1.72</v>
      </c>
      <c r="BG12" s="62">
        <v>4.6500000000000004</v>
      </c>
      <c r="BH12" s="62">
        <v>1.75</v>
      </c>
      <c r="BI12" s="62">
        <v>1.2</v>
      </c>
      <c r="BJ12" s="62">
        <v>0.41</v>
      </c>
      <c r="BK12" s="62">
        <v>0.01</v>
      </c>
      <c r="BM12" s="62">
        <v>1.98</v>
      </c>
      <c r="BN12" s="62">
        <v>0.05</v>
      </c>
      <c r="BP12" s="62">
        <v>1.23</v>
      </c>
      <c r="BR12" s="62">
        <v>0.79</v>
      </c>
      <c r="BS12" s="62">
        <v>0.12</v>
      </c>
      <c r="BT12" s="62">
        <v>0.4</v>
      </c>
      <c r="BU12" s="62">
        <v>0.42</v>
      </c>
      <c r="BV12" s="62">
        <v>3.16</v>
      </c>
      <c r="BW12" s="62">
        <v>1.1200000000000001</v>
      </c>
      <c r="BX12" s="62">
        <v>0.01</v>
      </c>
      <c r="BY12" s="62">
        <v>1.37</v>
      </c>
      <c r="BZ12" s="62">
        <v>0.5</v>
      </c>
      <c r="CA12" s="62">
        <v>0.28000000000000003</v>
      </c>
      <c r="CB12" s="62">
        <v>3.28</v>
      </c>
      <c r="CC12" s="62">
        <v>0.39</v>
      </c>
      <c r="CD12" s="62">
        <v>7.98</v>
      </c>
      <c r="CE12" s="62">
        <v>4.1500000000000004</v>
      </c>
      <c r="CF12" s="62">
        <v>1.52</v>
      </c>
      <c r="CG12" s="62">
        <v>1.49</v>
      </c>
      <c r="CH12" s="62">
        <v>0.02</v>
      </c>
      <c r="CI12" s="62">
        <v>2.99</v>
      </c>
      <c r="CJ12" s="62">
        <v>0.9</v>
      </c>
      <c r="CK12" s="62">
        <v>1.56</v>
      </c>
      <c r="CL12" s="62">
        <v>3.74</v>
      </c>
      <c r="CM12" s="62">
        <v>6.61</v>
      </c>
      <c r="CN12" s="62">
        <v>0.28999999999999998</v>
      </c>
      <c r="CO12" s="62">
        <v>0.53</v>
      </c>
      <c r="CP12" s="62">
        <v>1.8</v>
      </c>
      <c r="CQ12" s="62">
        <v>0.48</v>
      </c>
      <c r="CR12" s="62">
        <v>3.5</v>
      </c>
      <c r="CS12" s="62">
        <v>0.2</v>
      </c>
      <c r="CT12" s="62">
        <v>3.02</v>
      </c>
      <c r="CU12" s="62">
        <v>2.78</v>
      </c>
      <c r="CV12" s="62">
        <v>1.44</v>
      </c>
      <c r="CW12" s="62">
        <v>2.98</v>
      </c>
      <c r="CX12" s="62">
        <v>3.41</v>
      </c>
      <c r="CY12" s="62">
        <v>1.9</v>
      </c>
      <c r="CZ12" s="62">
        <v>1.55</v>
      </c>
      <c r="DA12" s="62">
        <v>0.62</v>
      </c>
      <c r="DB12" s="62">
        <v>1.62</v>
      </c>
      <c r="DC12" s="62">
        <v>14.35</v>
      </c>
      <c r="DE12" s="62">
        <v>1.43</v>
      </c>
      <c r="DF12" s="62">
        <v>1.58</v>
      </c>
      <c r="DG12" s="62">
        <v>0</v>
      </c>
      <c r="DI12" s="62">
        <v>2.4500000000000002</v>
      </c>
      <c r="DJ12" s="62">
        <v>2.65</v>
      </c>
      <c r="DK12" s="62">
        <v>1.29</v>
      </c>
      <c r="DL12" s="62">
        <v>1.45</v>
      </c>
      <c r="DM12" s="62">
        <v>3.1</v>
      </c>
      <c r="DN12" s="62">
        <v>0.08</v>
      </c>
      <c r="DO12" s="62">
        <v>3.99</v>
      </c>
    </row>
    <row r="13" spans="1:120" x14ac:dyDescent="0.3">
      <c r="A13" s="64" t="s">
        <v>9055</v>
      </c>
      <c r="B13" s="62">
        <v>6.79</v>
      </c>
      <c r="C13" s="62">
        <v>0</v>
      </c>
      <c r="E13" s="62">
        <v>1.97</v>
      </c>
      <c r="F13" s="62">
        <v>0.08</v>
      </c>
      <c r="G13" s="62">
        <v>0.01</v>
      </c>
      <c r="H13" s="62">
        <v>1</v>
      </c>
      <c r="J13" s="62">
        <v>0.56000000000000005</v>
      </c>
      <c r="K13" s="62">
        <v>3.8</v>
      </c>
      <c r="L13" s="62">
        <v>0.91</v>
      </c>
      <c r="M13" s="62">
        <v>2.62</v>
      </c>
      <c r="N13" s="62">
        <v>0.63</v>
      </c>
      <c r="O13" s="62">
        <v>0.01</v>
      </c>
      <c r="P13" s="62">
        <v>0.02</v>
      </c>
      <c r="Q13" s="62">
        <v>2.83</v>
      </c>
      <c r="R13" s="62">
        <v>2.6</v>
      </c>
      <c r="S13" s="62">
        <v>1.08</v>
      </c>
      <c r="T13" s="62">
        <v>0.55000000000000004</v>
      </c>
      <c r="U13" s="62">
        <v>1.83</v>
      </c>
      <c r="V13" s="62">
        <v>5.77</v>
      </c>
      <c r="W13" s="62">
        <v>3.93</v>
      </c>
      <c r="X13" s="62">
        <v>5.89</v>
      </c>
      <c r="Y13" s="62">
        <v>0.16</v>
      </c>
      <c r="Z13" s="62">
        <v>0.01</v>
      </c>
      <c r="AA13" s="62">
        <v>5</v>
      </c>
      <c r="AB13" s="62">
        <v>9.0500000000000007</v>
      </c>
      <c r="AC13" s="62">
        <v>3.6</v>
      </c>
      <c r="AE13" s="62">
        <v>1.74</v>
      </c>
      <c r="AF13" s="62">
        <v>5.22</v>
      </c>
      <c r="AG13" s="62">
        <v>8.36</v>
      </c>
      <c r="AH13" s="62">
        <v>1.65</v>
      </c>
      <c r="AI13" s="62">
        <v>6.3</v>
      </c>
      <c r="AJ13" s="62">
        <v>5.0999999999999996</v>
      </c>
      <c r="AK13" s="62">
        <v>0.1</v>
      </c>
      <c r="AL13" s="62">
        <v>0.2</v>
      </c>
      <c r="AM13" s="62">
        <v>1.96</v>
      </c>
      <c r="AN13" s="62">
        <v>0.22</v>
      </c>
      <c r="AO13" s="62">
        <v>0.99</v>
      </c>
      <c r="AP13" s="62">
        <v>1.06</v>
      </c>
      <c r="AQ13" s="62">
        <v>1.85</v>
      </c>
      <c r="AR13" s="62">
        <v>3.22</v>
      </c>
      <c r="AS13" s="62">
        <v>0.98</v>
      </c>
      <c r="AT13" s="62">
        <v>0.96</v>
      </c>
      <c r="AU13" s="62">
        <v>2.89</v>
      </c>
      <c r="AW13" s="62">
        <v>0.1</v>
      </c>
      <c r="AX13" s="62">
        <v>1.1599999999999999</v>
      </c>
      <c r="AY13" s="62">
        <v>6.1</v>
      </c>
      <c r="AZ13" s="62">
        <v>15.21</v>
      </c>
      <c r="BB13" s="62">
        <v>0.82</v>
      </c>
      <c r="BC13" s="62">
        <v>2.8</v>
      </c>
      <c r="BD13" s="62">
        <v>2.86</v>
      </c>
      <c r="BE13" s="62">
        <v>2.52</v>
      </c>
      <c r="BF13" s="62">
        <v>1.94</v>
      </c>
      <c r="BG13" s="62">
        <v>4.6500000000000004</v>
      </c>
      <c r="BH13" s="62">
        <v>1.86</v>
      </c>
      <c r="BI13" s="62">
        <v>1.3</v>
      </c>
      <c r="BJ13" s="62">
        <v>0.41</v>
      </c>
      <c r="BK13" s="62">
        <v>0.01</v>
      </c>
      <c r="BM13" s="62">
        <v>1.93</v>
      </c>
      <c r="BN13" s="62">
        <v>0.05</v>
      </c>
      <c r="BP13" s="62">
        <v>1.24</v>
      </c>
      <c r="BR13" s="62">
        <v>0.91</v>
      </c>
      <c r="BS13" s="62">
        <v>0.23</v>
      </c>
      <c r="BT13" s="62">
        <v>0.4</v>
      </c>
      <c r="BU13" s="62">
        <v>0.37</v>
      </c>
      <c r="BV13" s="62">
        <v>3.19</v>
      </c>
      <c r="BW13" s="62">
        <v>1.08</v>
      </c>
      <c r="BX13" s="62">
        <v>0.01</v>
      </c>
      <c r="BY13" s="62">
        <v>1.37</v>
      </c>
      <c r="BZ13" s="62">
        <v>0.52</v>
      </c>
      <c r="CA13" s="62">
        <v>0.34</v>
      </c>
      <c r="CB13" s="62">
        <v>3.31</v>
      </c>
      <c r="CC13" s="62">
        <v>0.36</v>
      </c>
      <c r="CD13" s="62">
        <v>7.84</v>
      </c>
      <c r="CE13" s="62">
        <v>4.7</v>
      </c>
      <c r="CF13" s="62">
        <v>1.55</v>
      </c>
      <c r="CG13" s="62">
        <v>1.52</v>
      </c>
      <c r="CH13" s="62">
        <v>0.02</v>
      </c>
      <c r="CI13" s="62">
        <v>2.82</v>
      </c>
      <c r="CJ13" s="62">
        <v>1</v>
      </c>
      <c r="CK13" s="62">
        <v>1.53</v>
      </c>
      <c r="CL13" s="62">
        <v>3.59</v>
      </c>
      <c r="CM13" s="62">
        <v>6.25</v>
      </c>
      <c r="CN13" s="62">
        <v>0.25</v>
      </c>
      <c r="CO13" s="62">
        <v>0.53</v>
      </c>
      <c r="CP13" s="62">
        <v>1.98</v>
      </c>
      <c r="CQ13" s="62">
        <v>0.48</v>
      </c>
      <c r="CR13" s="62">
        <v>4</v>
      </c>
      <c r="CS13" s="62">
        <v>0.28000000000000003</v>
      </c>
      <c r="CT13" s="62">
        <v>3.03</v>
      </c>
      <c r="CU13" s="62">
        <v>2.65</v>
      </c>
      <c r="CV13" s="62">
        <v>1.44</v>
      </c>
      <c r="CW13" s="62">
        <v>2.82</v>
      </c>
      <c r="CX13" s="62">
        <v>3.49</v>
      </c>
      <c r="CY13" s="62">
        <v>1.95</v>
      </c>
      <c r="CZ13" s="62">
        <v>1.55</v>
      </c>
      <c r="DA13" s="62">
        <v>0.59</v>
      </c>
      <c r="DB13" s="62">
        <v>1.67</v>
      </c>
      <c r="DC13" s="62">
        <v>14.35</v>
      </c>
      <c r="DE13" s="62">
        <v>1.45</v>
      </c>
      <c r="DF13" s="62">
        <v>1.6</v>
      </c>
      <c r="DG13" s="62">
        <v>0</v>
      </c>
      <c r="DI13" s="62">
        <v>2.5499999999999998</v>
      </c>
      <c r="DJ13" s="62">
        <v>2.68</v>
      </c>
      <c r="DK13" s="62">
        <v>1.47</v>
      </c>
      <c r="DL13" s="62">
        <v>1.42</v>
      </c>
      <c r="DM13" s="62">
        <v>3.12</v>
      </c>
      <c r="DN13" s="62">
        <v>0.1</v>
      </c>
      <c r="DO13" s="62">
        <v>3.97</v>
      </c>
    </row>
    <row r="14" spans="1:120" x14ac:dyDescent="0.3">
      <c r="A14" s="64" t="s">
        <v>9056</v>
      </c>
      <c r="B14" s="62">
        <v>6.71</v>
      </c>
      <c r="C14" s="62">
        <v>0</v>
      </c>
      <c r="E14" s="62">
        <v>2.0099999999999998</v>
      </c>
      <c r="F14" s="62">
        <v>0.09</v>
      </c>
      <c r="G14" s="62">
        <v>0.01</v>
      </c>
      <c r="H14" s="62">
        <v>1.06</v>
      </c>
      <c r="J14" s="62">
        <v>0.59</v>
      </c>
      <c r="K14" s="62">
        <v>3.89</v>
      </c>
      <c r="L14" s="62">
        <v>0.97</v>
      </c>
      <c r="M14" s="62">
        <v>2.5099999999999998</v>
      </c>
      <c r="N14" s="62">
        <v>0.64</v>
      </c>
      <c r="O14" s="62">
        <v>0.01</v>
      </c>
      <c r="P14" s="62">
        <v>0.03</v>
      </c>
      <c r="Q14" s="62">
        <v>2.85</v>
      </c>
      <c r="R14" s="62">
        <v>3.79</v>
      </c>
      <c r="S14" s="62">
        <v>0.91</v>
      </c>
      <c r="T14" s="62">
        <v>0.53</v>
      </c>
      <c r="U14" s="62">
        <v>2.1</v>
      </c>
      <c r="V14" s="62">
        <v>6</v>
      </c>
      <c r="W14" s="62">
        <v>4.08</v>
      </c>
      <c r="X14" s="62">
        <v>6.26</v>
      </c>
      <c r="Y14" s="62">
        <v>0.15</v>
      </c>
      <c r="Z14" s="62">
        <v>0.01</v>
      </c>
      <c r="AA14" s="62">
        <v>4.5999999999999996</v>
      </c>
      <c r="AB14" s="62">
        <v>9.69</v>
      </c>
      <c r="AC14" s="62">
        <v>3.9</v>
      </c>
      <c r="AE14" s="62">
        <v>2.75</v>
      </c>
      <c r="AF14" s="62">
        <v>5.55</v>
      </c>
      <c r="AG14" s="62">
        <v>8.2200000000000006</v>
      </c>
      <c r="AH14" s="62">
        <v>1.62</v>
      </c>
      <c r="AI14" s="62">
        <v>6.26</v>
      </c>
      <c r="AJ14" s="62">
        <v>5.6</v>
      </c>
      <c r="AK14" s="62">
        <v>0.12</v>
      </c>
      <c r="AL14" s="62">
        <v>0.2</v>
      </c>
      <c r="AM14" s="62">
        <v>2.0699999999999998</v>
      </c>
      <c r="AN14" s="62">
        <v>0.2</v>
      </c>
      <c r="AO14" s="62">
        <v>0.97</v>
      </c>
      <c r="AP14" s="62">
        <v>1.1100000000000001</v>
      </c>
      <c r="AQ14" s="62">
        <v>1.94</v>
      </c>
      <c r="AR14" s="62">
        <v>3.35</v>
      </c>
      <c r="AS14" s="62">
        <v>1.02</v>
      </c>
      <c r="AT14" s="62">
        <v>0.86</v>
      </c>
      <c r="AU14" s="62">
        <v>2.93</v>
      </c>
      <c r="AW14" s="62">
        <v>0.14000000000000001</v>
      </c>
      <c r="AX14" s="62">
        <v>1.19</v>
      </c>
      <c r="AY14" s="62">
        <v>6.1</v>
      </c>
      <c r="AZ14" s="62">
        <v>15.8</v>
      </c>
      <c r="BB14" s="62">
        <v>0.81</v>
      </c>
      <c r="BC14" s="62">
        <v>2.7</v>
      </c>
      <c r="BD14" s="62">
        <v>2.52</v>
      </c>
      <c r="BE14" s="62">
        <v>2.86</v>
      </c>
      <c r="BF14" s="62">
        <v>2.14</v>
      </c>
      <c r="BG14" s="62">
        <v>4.33</v>
      </c>
      <c r="BH14" s="62">
        <v>1.99</v>
      </c>
      <c r="BI14" s="62">
        <v>1.29</v>
      </c>
      <c r="BJ14" s="62">
        <v>0.43</v>
      </c>
      <c r="BK14" s="62">
        <v>0.01</v>
      </c>
      <c r="BM14" s="62">
        <v>1.84</v>
      </c>
      <c r="BN14" s="62">
        <v>0.05</v>
      </c>
      <c r="BP14" s="62">
        <v>1.19</v>
      </c>
      <c r="BR14" s="62">
        <v>0.85</v>
      </c>
      <c r="BS14" s="62">
        <v>0.21</v>
      </c>
      <c r="BT14" s="62">
        <v>0.46</v>
      </c>
      <c r="BU14" s="62">
        <v>0.35</v>
      </c>
      <c r="BV14" s="62">
        <v>3.24</v>
      </c>
      <c r="BW14" s="62">
        <v>1.1100000000000001</v>
      </c>
      <c r="BX14" s="62">
        <v>0.01</v>
      </c>
      <c r="BY14" s="62">
        <v>1.44</v>
      </c>
      <c r="BZ14" s="62">
        <v>0.57999999999999996</v>
      </c>
      <c r="CA14" s="62">
        <v>0.34</v>
      </c>
      <c r="CB14" s="62">
        <v>3.62</v>
      </c>
      <c r="CC14" s="62">
        <v>0.34</v>
      </c>
      <c r="CD14" s="62">
        <v>7.8</v>
      </c>
      <c r="CE14" s="62">
        <v>5.05</v>
      </c>
      <c r="CF14" s="62">
        <v>1.4</v>
      </c>
      <c r="CG14" s="62">
        <v>1.52</v>
      </c>
      <c r="CH14" s="62">
        <v>0.02</v>
      </c>
      <c r="CI14" s="62">
        <v>3.09</v>
      </c>
      <c r="CJ14" s="62">
        <v>0.96</v>
      </c>
      <c r="CK14" s="62">
        <v>1.45</v>
      </c>
      <c r="CL14" s="62">
        <v>3.85</v>
      </c>
      <c r="CM14" s="62">
        <v>6.46</v>
      </c>
      <c r="CN14" s="62">
        <v>0.24</v>
      </c>
      <c r="CO14" s="62">
        <v>0.55000000000000004</v>
      </c>
      <c r="CP14" s="62">
        <v>1.74</v>
      </c>
      <c r="CQ14" s="62">
        <v>0.5</v>
      </c>
      <c r="CR14" s="62">
        <v>3.9</v>
      </c>
      <c r="CS14" s="62">
        <v>0.28000000000000003</v>
      </c>
      <c r="CT14" s="62">
        <v>3.19</v>
      </c>
      <c r="CU14" s="62">
        <v>2.77</v>
      </c>
      <c r="CV14" s="62">
        <v>1.46</v>
      </c>
      <c r="CW14" s="62">
        <v>2.71</v>
      </c>
      <c r="CX14" s="62">
        <v>3.5</v>
      </c>
      <c r="CY14" s="62">
        <v>1.9</v>
      </c>
      <c r="CZ14" s="62">
        <v>1.55</v>
      </c>
      <c r="DA14" s="62">
        <v>0.6</v>
      </c>
      <c r="DB14" s="62">
        <v>1.69</v>
      </c>
      <c r="DC14" s="62">
        <v>14.35</v>
      </c>
      <c r="DE14" s="62">
        <v>1.47</v>
      </c>
      <c r="DF14" s="62">
        <v>1.58</v>
      </c>
      <c r="DG14" s="62">
        <v>0</v>
      </c>
      <c r="DI14" s="62">
        <v>2.65</v>
      </c>
      <c r="DJ14" s="62">
        <v>2.73</v>
      </c>
      <c r="DK14" s="62">
        <v>1.57</v>
      </c>
      <c r="DL14" s="62">
        <v>1.52</v>
      </c>
      <c r="DM14" s="62">
        <v>3.13</v>
      </c>
      <c r="DN14" s="62">
        <v>7.0000000000000007E-2</v>
      </c>
      <c r="DO14" s="62">
        <v>4.1399999999999997</v>
      </c>
    </row>
    <row r="15" spans="1:120" x14ac:dyDescent="0.3">
      <c r="A15" s="64" t="s">
        <v>9057</v>
      </c>
      <c r="B15" s="62">
        <v>6.93</v>
      </c>
      <c r="C15" s="62">
        <v>0</v>
      </c>
      <c r="E15" s="62">
        <v>2.4700000000000002</v>
      </c>
      <c r="F15" s="62">
        <v>0.08</v>
      </c>
      <c r="G15" s="62">
        <v>0.01</v>
      </c>
      <c r="H15" s="62">
        <v>1.0900000000000001</v>
      </c>
      <c r="J15" s="62">
        <v>0.61</v>
      </c>
      <c r="K15" s="62">
        <v>3.89</v>
      </c>
      <c r="L15" s="62">
        <v>0.96</v>
      </c>
      <c r="M15" s="62">
        <v>2.52</v>
      </c>
      <c r="N15" s="62">
        <v>0.64</v>
      </c>
      <c r="O15" s="62">
        <v>0.01</v>
      </c>
      <c r="P15" s="62">
        <v>0.02</v>
      </c>
      <c r="Q15" s="62">
        <v>3.1</v>
      </c>
      <c r="R15" s="62">
        <v>3.31</v>
      </c>
      <c r="S15" s="62">
        <v>0.49</v>
      </c>
      <c r="T15" s="62">
        <v>0.53</v>
      </c>
      <c r="U15" s="62">
        <v>2.14</v>
      </c>
      <c r="V15" s="62">
        <v>5.85</v>
      </c>
      <c r="W15" s="62">
        <v>3.72</v>
      </c>
      <c r="X15" s="62">
        <v>6.13</v>
      </c>
      <c r="Y15" s="62">
        <v>0.13</v>
      </c>
      <c r="Z15" s="62">
        <v>0.01</v>
      </c>
      <c r="AA15" s="62">
        <v>4.63</v>
      </c>
      <c r="AB15" s="62">
        <v>9.5</v>
      </c>
      <c r="AC15" s="62">
        <v>4.1500000000000004</v>
      </c>
      <c r="AE15" s="62">
        <v>3.98</v>
      </c>
      <c r="AF15" s="62">
        <v>5.55</v>
      </c>
      <c r="AG15" s="62">
        <v>7.85</v>
      </c>
      <c r="AH15" s="62">
        <v>1.51</v>
      </c>
      <c r="AI15" s="62">
        <v>6.05</v>
      </c>
      <c r="AJ15" s="62">
        <v>5.48</v>
      </c>
      <c r="AK15" s="62">
        <v>0.13</v>
      </c>
      <c r="AL15" s="62">
        <v>0.2</v>
      </c>
      <c r="AM15" s="62">
        <v>2.02</v>
      </c>
      <c r="AN15" s="62">
        <v>0.2</v>
      </c>
      <c r="AO15" s="62">
        <v>1.01</v>
      </c>
      <c r="AP15" s="62">
        <v>1.1100000000000001</v>
      </c>
      <c r="AQ15" s="62">
        <v>2.1</v>
      </c>
      <c r="AR15" s="62">
        <v>3.16</v>
      </c>
      <c r="AS15" s="62">
        <v>1.1299999999999999</v>
      </c>
      <c r="AT15" s="62">
        <v>0.95</v>
      </c>
      <c r="AU15" s="62">
        <v>2.82</v>
      </c>
      <c r="AW15" s="62">
        <v>0.17</v>
      </c>
      <c r="AX15" s="62">
        <v>1.2</v>
      </c>
      <c r="AY15" s="62">
        <v>6.1</v>
      </c>
      <c r="AZ15" s="62">
        <v>15.58</v>
      </c>
      <c r="BB15" s="62">
        <v>0.83</v>
      </c>
      <c r="BC15" s="62">
        <v>2.75</v>
      </c>
      <c r="BD15" s="62">
        <v>2.86</v>
      </c>
      <c r="BE15" s="62">
        <v>2.96</v>
      </c>
      <c r="BF15" s="62">
        <v>2.23</v>
      </c>
      <c r="BG15" s="62">
        <v>4.3</v>
      </c>
      <c r="BH15" s="62">
        <v>1.88</v>
      </c>
      <c r="BI15" s="62">
        <v>1.29</v>
      </c>
      <c r="BJ15" s="62">
        <v>0.41</v>
      </c>
      <c r="BK15" s="62">
        <v>0.01</v>
      </c>
      <c r="BM15" s="62">
        <v>1.48</v>
      </c>
      <c r="BN15" s="62">
        <v>0.05</v>
      </c>
      <c r="BP15" s="62">
        <v>1.2</v>
      </c>
      <c r="BR15" s="62">
        <v>0.9</v>
      </c>
      <c r="BS15" s="62">
        <v>0.15</v>
      </c>
      <c r="BT15" s="62">
        <v>0.46</v>
      </c>
      <c r="BU15" s="62">
        <v>0.3</v>
      </c>
      <c r="BV15" s="62">
        <v>3.3</v>
      </c>
      <c r="BW15" s="62">
        <v>1.1000000000000001</v>
      </c>
      <c r="BX15" s="62">
        <v>0.01</v>
      </c>
      <c r="BY15" s="62">
        <v>1.44</v>
      </c>
      <c r="BZ15" s="62">
        <v>0.59</v>
      </c>
      <c r="CA15" s="62">
        <v>0.35</v>
      </c>
      <c r="CB15" s="62">
        <v>3.64</v>
      </c>
      <c r="CC15" s="62">
        <v>0.34</v>
      </c>
      <c r="CD15" s="62">
        <v>7.97</v>
      </c>
      <c r="CE15" s="62">
        <v>5</v>
      </c>
      <c r="CF15" s="62">
        <v>1.47</v>
      </c>
      <c r="CG15" s="62">
        <v>1.53</v>
      </c>
      <c r="CH15" s="62">
        <v>0.02</v>
      </c>
      <c r="CI15" s="62">
        <v>2.91</v>
      </c>
      <c r="CJ15" s="62">
        <v>0.94</v>
      </c>
      <c r="CK15" s="62">
        <v>1.49</v>
      </c>
      <c r="CL15" s="62">
        <v>3.88</v>
      </c>
      <c r="CM15" s="62">
        <v>6.52</v>
      </c>
      <c r="CN15" s="62">
        <v>0.2</v>
      </c>
      <c r="CO15" s="62">
        <v>0.5</v>
      </c>
      <c r="CP15" s="62">
        <v>1.62</v>
      </c>
      <c r="CQ15" s="62">
        <v>0.55000000000000004</v>
      </c>
      <c r="CR15" s="62">
        <v>4</v>
      </c>
      <c r="CS15" s="62">
        <v>0.28000000000000003</v>
      </c>
      <c r="CT15" s="62">
        <v>3.12</v>
      </c>
      <c r="CU15" s="62">
        <v>2.71</v>
      </c>
      <c r="CV15" s="62">
        <v>1.52</v>
      </c>
      <c r="CW15" s="62">
        <v>2.7</v>
      </c>
      <c r="CX15" s="62">
        <v>3.48</v>
      </c>
      <c r="CY15" s="62">
        <v>1.95</v>
      </c>
      <c r="CZ15" s="62">
        <v>1.55</v>
      </c>
      <c r="DA15" s="62">
        <v>0.62</v>
      </c>
      <c r="DB15" s="62">
        <v>2.12</v>
      </c>
      <c r="DC15" s="62">
        <v>10.130000000000001</v>
      </c>
      <c r="DE15" s="62">
        <v>1.7</v>
      </c>
      <c r="DF15" s="62">
        <v>1.58</v>
      </c>
      <c r="DG15" s="62">
        <v>0</v>
      </c>
      <c r="DI15" s="62">
        <v>2.9</v>
      </c>
      <c r="DJ15" s="62">
        <v>2.82</v>
      </c>
      <c r="DK15" s="62">
        <v>1.8</v>
      </c>
      <c r="DL15" s="62">
        <v>1.51</v>
      </c>
      <c r="DM15" s="62">
        <v>3.08</v>
      </c>
      <c r="DN15" s="62">
        <v>0.08</v>
      </c>
      <c r="DO15" s="62">
        <v>4.22</v>
      </c>
    </row>
    <row r="16" spans="1:120" x14ac:dyDescent="0.3">
      <c r="A16" s="64" t="s">
        <v>9058</v>
      </c>
      <c r="B16" s="62">
        <v>7.46</v>
      </c>
      <c r="C16" s="62">
        <v>0</v>
      </c>
      <c r="E16" s="62">
        <v>2.4700000000000002</v>
      </c>
      <c r="F16" s="62">
        <v>7.0000000000000007E-2</v>
      </c>
      <c r="G16" s="62">
        <v>0.01</v>
      </c>
      <c r="H16" s="62">
        <v>1.08</v>
      </c>
      <c r="I16" s="62">
        <v>0.91</v>
      </c>
      <c r="J16" s="62">
        <v>0.62</v>
      </c>
      <c r="K16" s="62">
        <v>4.2300000000000004</v>
      </c>
      <c r="L16" s="62">
        <v>0.97</v>
      </c>
      <c r="M16" s="62">
        <v>2.48</v>
      </c>
      <c r="N16" s="62">
        <v>0.64</v>
      </c>
      <c r="O16" s="62">
        <v>0.01</v>
      </c>
      <c r="P16" s="62">
        <v>0.02</v>
      </c>
      <c r="Q16" s="62">
        <v>2.97</v>
      </c>
      <c r="R16" s="62">
        <v>3.36</v>
      </c>
      <c r="S16" s="62">
        <v>0.61</v>
      </c>
      <c r="T16" s="62">
        <v>0.54</v>
      </c>
      <c r="U16" s="62">
        <v>2.66</v>
      </c>
      <c r="V16" s="62">
        <v>5.83</v>
      </c>
      <c r="W16" s="62">
        <v>3.7</v>
      </c>
      <c r="X16" s="62">
        <v>6.38</v>
      </c>
      <c r="Y16" s="62">
        <v>0.13</v>
      </c>
      <c r="Z16" s="62">
        <v>0.01</v>
      </c>
      <c r="AA16" s="62">
        <v>4.5999999999999996</v>
      </c>
      <c r="AB16" s="62">
        <v>9.85</v>
      </c>
      <c r="AC16" s="62">
        <v>3.79</v>
      </c>
      <c r="AD16" s="62">
        <v>0.49</v>
      </c>
      <c r="AE16" s="62">
        <v>3.99</v>
      </c>
      <c r="AF16" s="62">
        <v>6.25</v>
      </c>
      <c r="AG16" s="62">
        <v>7.94</v>
      </c>
      <c r="AH16" s="62">
        <v>1.45</v>
      </c>
      <c r="AI16" s="62">
        <v>6.03</v>
      </c>
      <c r="AJ16" s="62">
        <v>5.8</v>
      </c>
      <c r="AK16" s="62">
        <v>0.1</v>
      </c>
      <c r="AL16" s="62">
        <v>0.2</v>
      </c>
      <c r="AM16" s="62">
        <v>2.17</v>
      </c>
      <c r="AN16" s="62">
        <v>0.22</v>
      </c>
      <c r="AO16" s="62">
        <v>0.72</v>
      </c>
      <c r="AP16" s="62">
        <v>1.1399999999999999</v>
      </c>
      <c r="AQ16" s="62">
        <v>2.12</v>
      </c>
      <c r="AR16" s="62">
        <v>3.14</v>
      </c>
      <c r="AS16" s="62">
        <v>1.1200000000000001</v>
      </c>
      <c r="AT16" s="62">
        <v>0.85</v>
      </c>
      <c r="AU16" s="62">
        <v>3</v>
      </c>
      <c r="AW16" s="62">
        <v>0.16</v>
      </c>
      <c r="AX16" s="62">
        <v>1.23</v>
      </c>
      <c r="AY16" s="62">
        <v>6.1</v>
      </c>
      <c r="AZ16" s="62">
        <v>15.9</v>
      </c>
      <c r="BB16" s="62">
        <v>0.83</v>
      </c>
      <c r="BC16" s="62">
        <v>2.7</v>
      </c>
      <c r="BD16" s="62">
        <v>3.36</v>
      </c>
      <c r="BE16" s="62">
        <v>2.98</v>
      </c>
      <c r="BF16" s="62">
        <v>2.2599999999999998</v>
      </c>
      <c r="BG16" s="62">
        <v>4.7</v>
      </c>
      <c r="BH16" s="62">
        <v>1.9</v>
      </c>
      <c r="BI16" s="62">
        <v>1.3</v>
      </c>
      <c r="BJ16" s="62">
        <v>0.4</v>
      </c>
      <c r="BK16" s="62">
        <v>0.01</v>
      </c>
      <c r="BM16" s="62">
        <v>1.57</v>
      </c>
      <c r="BN16" s="62">
        <v>0.05</v>
      </c>
      <c r="BP16" s="62">
        <v>1.17</v>
      </c>
      <c r="BR16" s="62">
        <v>0.84</v>
      </c>
      <c r="BS16" s="62">
        <v>0.1</v>
      </c>
      <c r="BT16" s="62">
        <v>0.46</v>
      </c>
      <c r="BU16" s="62">
        <v>0.35</v>
      </c>
      <c r="BV16" s="62">
        <v>3.37</v>
      </c>
      <c r="BW16" s="62">
        <v>1.18</v>
      </c>
      <c r="BX16" s="62">
        <v>0.01</v>
      </c>
      <c r="BY16" s="62">
        <v>1.5</v>
      </c>
      <c r="BZ16" s="62">
        <v>0.69</v>
      </c>
      <c r="CA16" s="62">
        <v>0.34</v>
      </c>
      <c r="CB16" s="62">
        <v>3.59</v>
      </c>
      <c r="CC16" s="62">
        <v>0.36</v>
      </c>
      <c r="CD16" s="62">
        <v>8.52</v>
      </c>
      <c r="CE16" s="62">
        <v>4.8</v>
      </c>
      <c r="CF16" s="62">
        <v>1.43</v>
      </c>
      <c r="CG16" s="62">
        <v>1.51</v>
      </c>
      <c r="CH16" s="62">
        <v>0.02</v>
      </c>
      <c r="CI16" s="62">
        <v>2.94</v>
      </c>
      <c r="CJ16" s="62">
        <v>1.1399999999999999</v>
      </c>
      <c r="CK16" s="62">
        <v>1.42</v>
      </c>
      <c r="CL16" s="62">
        <v>3.84</v>
      </c>
      <c r="CM16" s="62">
        <v>6.04</v>
      </c>
      <c r="CN16" s="62">
        <v>0.2</v>
      </c>
      <c r="CO16" s="62">
        <v>0.54</v>
      </c>
      <c r="CP16" s="62">
        <v>1.42</v>
      </c>
      <c r="CQ16" s="62">
        <v>0.7</v>
      </c>
      <c r="CR16" s="62">
        <v>3.95</v>
      </c>
      <c r="CS16" s="62">
        <v>0.28000000000000003</v>
      </c>
      <c r="CT16" s="62">
        <v>3.11</v>
      </c>
      <c r="CU16" s="62">
        <v>2.69</v>
      </c>
      <c r="CV16" s="62">
        <v>1.58</v>
      </c>
      <c r="CW16" s="62">
        <v>2.77</v>
      </c>
      <c r="CX16" s="62">
        <v>3.2</v>
      </c>
      <c r="CY16" s="62">
        <v>1.9</v>
      </c>
      <c r="CZ16" s="62">
        <v>1.61</v>
      </c>
      <c r="DA16" s="62">
        <v>0.57999999999999996</v>
      </c>
      <c r="DB16" s="62">
        <v>2.21</v>
      </c>
      <c r="DC16" s="62">
        <v>8.7799999999999994</v>
      </c>
      <c r="DE16" s="62">
        <v>1.8</v>
      </c>
      <c r="DF16" s="62">
        <v>1.72</v>
      </c>
      <c r="DG16" s="62">
        <v>0</v>
      </c>
      <c r="DI16" s="62">
        <v>3.2</v>
      </c>
      <c r="DJ16" s="62">
        <v>2.79</v>
      </c>
      <c r="DK16" s="62">
        <v>1.9</v>
      </c>
      <c r="DL16" s="62">
        <v>1.56</v>
      </c>
      <c r="DM16" s="62">
        <v>3.12</v>
      </c>
      <c r="DN16" s="62">
        <v>0.06</v>
      </c>
      <c r="DO16" s="62">
        <v>4.63</v>
      </c>
    </row>
    <row r="17" spans="1:119" x14ac:dyDescent="0.3">
      <c r="A17" s="64" t="s">
        <v>9059</v>
      </c>
      <c r="B17" s="62">
        <v>7.99</v>
      </c>
      <c r="C17" s="62">
        <v>0</v>
      </c>
      <c r="E17" s="62">
        <v>2.63</v>
      </c>
      <c r="F17" s="62">
        <v>7.0000000000000007E-2</v>
      </c>
      <c r="G17" s="62">
        <v>0.01</v>
      </c>
      <c r="H17" s="62">
        <v>1.1399999999999999</v>
      </c>
      <c r="I17" s="62">
        <v>0.95</v>
      </c>
      <c r="J17" s="62">
        <v>0.63</v>
      </c>
      <c r="K17" s="62">
        <v>4.47</v>
      </c>
      <c r="L17" s="62">
        <v>1.01</v>
      </c>
      <c r="M17" s="62">
        <v>2.38</v>
      </c>
      <c r="N17" s="62">
        <v>0.65</v>
      </c>
      <c r="O17" s="62">
        <v>0.01</v>
      </c>
      <c r="P17" s="62">
        <v>0.02</v>
      </c>
      <c r="Q17" s="62">
        <v>3</v>
      </c>
      <c r="R17" s="62">
        <v>3.6</v>
      </c>
      <c r="S17" s="62">
        <v>0.55000000000000004</v>
      </c>
      <c r="T17" s="62">
        <v>0.6</v>
      </c>
      <c r="U17" s="62">
        <v>2.68</v>
      </c>
      <c r="V17" s="62">
        <v>6.49</v>
      </c>
      <c r="W17" s="62">
        <v>3.71</v>
      </c>
      <c r="X17" s="62">
        <v>7.12</v>
      </c>
      <c r="Y17" s="62">
        <v>0.13</v>
      </c>
      <c r="Z17" s="62">
        <v>0.01</v>
      </c>
      <c r="AA17" s="62">
        <v>4.9000000000000004</v>
      </c>
      <c r="AB17" s="62">
        <v>9.44</v>
      </c>
      <c r="AC17" s="62">
        <v>3.8</v>
      </c>
      <c r="AD17" s="62">
        <v>0.49</v>
      </c>
      <c r="AE17" s="62">
        <v>3.5</v>
      </c>
      <c r="AF17" s="62">
        <v>6.15</v>
      </c>
      <c r="AG17" s="62">
        <v>8.09</v>
      </c>
      <c r="AH17" s="62">
        <v>1.5</v>
      </c>
      <c r="AI17" s="62">
        <v>5.82</v>
      </c>
      <c r="AJ17" s="62">
        <v>5.87</v>
      </c>
      <c r="AK17" s="62">
        <v>0.11</v>
      </c>
      <c r="AL17" s="62">
        <v>0.2</v>
      </c>
      <c r="AM17" s="62">
        <v>2.2400000000000002</v>
      </c>
      <c r="AN17" s="62">
        <v>0.21</v>
      </c>
      <c r="AO17" s="62">
        <v>1.1200000000000001</v>
      </c>
      <c r="AP17" s="62">
        <v>1.19</v>
      </c>
      <c r="AQ17" s="62">
        <v>2.15</v>
      </c>
      <c r="AR17" s="62">
        <v>3.36</v>
      </c>
      <c r="AS17" s="62">
        <v>1.31</v>
      </c>
      <c r="AT17" s="62">
        <v>0.86</v>
      </c>
      <c r="AU17" s="62">
        <v>3.19</v>
      </c>
      <c r="AW17" s="62">
        <v>0.16</v>
      </c>
      <c r="AX17" s="62">
        <v>1.31</v>
      </c>
      <c r="AY17" s="62">
        <v>6</v>
      </c>
      <c r="AZ17" s="62">
        <v>15.98</v>
      </c>
      <c r="BB17" s="62">
        <v>0.84</v>
      </c>
      <c r="BC17" s="62">
        <v>2.76</v>
      </c>
      <c r="BD17" s="62">
        <v>3.02</v>
      </c>
      <c r="BE17" s="62">
        <v>3.46</v>
      </c>
      <c r="BF17" s="62">
        <v>2.44</v>
      </c>
      <c r="BG17" s="62">
        <v>4.8099999999999996</v>
      </c>
      <c r="BH17" s="62">
        <v>1.94</v>
      </c>
      <c r="BI17" s="62">
        <v>1.34</v>
      </c>
      <c r="BJ17" s="62">
        <v>0.39</v>
      </c>
      <c r="BK17" s="62">
        <v>0.01</v>
      </c>
      <c r="BM17" s="62">
        <v>1.6</v>
      </c>
      <c r="BN17" s="62">
        <v>0.05</v>
      </c>
      <c r="BP17" s="62">
        <v>1.21</v>
      </c>
      <c r="BR17" s="62">
        <v>0.78</v>
      </c>
      <c r="BS17" s="62">
        <v>0.1</v>
      </c>
      <c r="BT17" s="62">
        <v>0.49</v>
      </c>
      <c r="BU17" s="62">
        <v>0.5</v>
      </c>
      <c r="BV17" s="62">
        <v>3.57</v>
      </c>
      <c r="BW17" s="62">
        <v>1.23</v>
      </c>
      <c r="BX17" s="62">
        <v>0.01</v>
      </c>
      <c r="BY17" s="62">
        <v>1.56</v>
      </c>
      <c r="BZ17" s="62">
        <v>0.75</v>
      </c>
      <c r="CA17" s="62">
        <v>0.36</v>
      </c>
      <c r="CB17" s="62">
        <v>3.72</v>
      </c>
      <c r="CC17" s="62">
        <v>0.35</v>
      </c>
      <c r="CD17" s="62">
        <v>8.31</v>
      </c>
      <c r="CE17" s="62">
        <v>4.95</v>
      </c>
      <c r="CF17" s="62">
        <v>1.52</v>
      </c>
      <c r="CG17" s="62">
        <v>1.5</v>
      </c>
      <c r="CH17" s="62">
        <v>0.02</v>
      </c>
      <c r="CI17" s="62">
        <v>2.73</v>
      </c>
      <c r="CJ17" s="62">
        <v>1.05</v>
      </c>
      <c r="CK17" s="62">
        <v>1.32</v>
      </c>
      <c r="CL17" s="62">
        <v>3.83</v>
      </c>
      <c r="CM17" s="62">
        <v>5.94</v>
      </c>
      <c r="CN17" s="62">
        <v>0.19</v>
      </c>
      <c r="CO17" s="62">
        <v>0.54</v>
      </c>
      <c r="CP17" s="62">
        <v>1.26</v>
      </c>
      <c r="CQ17" s="62">
        <v>0.7</v>
      </c>
      <c r="CR17" s="62">
        <v>3.95</v>
      </c>
      <c r="CS17" s="62">
        <v>0.24</v>
      </c>
      <c r="CT17" s="62">
        <v>3.34</v>
      </c>
      <c r="CU17" s="62">
        <v>2.67</v>
      </c>
      <c r="CV17" s="62">
        <v>1.62</v>
      </c>
      <c r="CW17" s="62">
        <v>3.1</v>
      </c>
      <c r="CX17" s="62">
        <v>3.33</v>
      </c>
      <c r="CY17" s="62">
        <v>2</v>
      </c>
      <c r="CZ17" s="62">
        <v>0.89</v>
      </c>
      <c r="DA17" s="62">
        <v>0.53</v>
      </c>
      <c r="DB17" s="62">
        <v>2.5499999999999998</v>
      </c>
      <c r="DC17" s="62">
        <v>6.75</v>
      </c>
      <c r="DE17" s="62">
        <v>1.78</v>
      </c>
      <c r="DF17" s="62">
        <v>1.78</v>
      </c>
      <c r="DG17" s="62">
        <v>0</v>
      </c>
      <c r="DI17" s="62">
        <v>3.2</v>
      </c>
      <c r="DJ17" s="62">
        <v>2.92</v>
      </c>
      <c r="DK17" s="62">
        <v>2.02</v>
      </c>
      <c r="DL17" s="62">
        <v>1.62</v>
      </c>
      <c r="DM17" s="62">
        <v>2.86</v>
      </c>
      <c r="DN17" s="62">
        <v>0.05</v>
      </c>
      <c r="DO17" s="62">
        <v>5.01</v>
      </c>
    </row>
    <row r="18" spans="1:119" x14ac:dyDescent="0.3">
      <c r="A18" s="64" t="s">
        <v>9060</v>
      </c>
      <c r="B18" s="62">
        <v>7.89</v>
      </c>
      <c r="C18" s="62">
        <v>0.01</v>
      </c>
      <c r="E18" s="62">
        <v>2.9</v>
      </c>
      <c r="F18" s="62">
        <v>0.06</v>
      </c>
      <c r="G18" s="62">
        <v>0</v>
      </c>
      <c r="H18" s="62">
        <v>1.1399999999999999</v>
      </c>
      <c r="I18" s="62">
        <v>0.94</v>
      </c>
      <c r="J18" s="62">
        <v>0.64</v>
      </c>
      <c r="K18" s="62">
        <v>4.47</v>
      </c>
      <c r="L18" s="62">
        <v>1.03</v>
      </c>
      <c r="M18" s="62">
        <v>2.39</v>
      </c>
      <c r="N18" s="62">
        <v>0.7</v>
      </c>
      <c r="O18" s="62">
        <v>0.01</v>
      </c>
      <c r="P18" s="62">
        <v>0.02</v>
      </c>
      <c r="Q18" s="62">
        <v>2.93</v>
      </c>
      <c r="R18" s="62">
        <v>3.5</v>
      </c>
      <c r="S18" s="62">
        <v>0.45</v>
      </c>
      <c r="T18" s="62">
        <v>0.57999999999999996</v>
      </c>
      <c r="U18" s="62">
        <v>2.9</v>
      </c>
      <c r="V18" s="62">
        <v>6.44</v>
      </c>
      <c r="W18" s="62">
        <v>4.1100000000000003</v>
      </c>
      <c r="X18" s="62">
        <v>6.09</v>
      </c>
      <c r="Y18" s="62">
        <v>0.15</v>
      </c>
      <c r="Z18" s="62">
        <v>0</v>
      </c>
      <c r="AA18" s="62">
        <v>4.7</v>
      </c>
      <c r="AB18" s="62">
        <v>10.35</v>
      </c>
      <c r="AC18" s="62">
        <v>3.77</v>
      </c>
      <c r="AD18" s="62">
        <v>0.52</v>
      </c>
      <c r="AE18" s="62">
        <v>3.75</v>
      </c>
      <c r="AF18" s="62">
        <v>6.8</v>
      </c>
      <c r="AG18" s="62">
        <v>8.26</v>
      </c>
      <c r="AH18" s="62">
        <v>1.45</v>
      </c>
      <c r="AI18" s="62">
        <v>5.96</v>
      </c>
      <c r="AJ18" s="62">
        <v>6.35</v>
      </c>
      <c r="AK18" s="62">
        <v>0.12</v>
      </c>
      <c r="AL18" s="62">
        <v>0.2</v>
      </c>
      <c r="AM18" s="62">
        <v>2.25</v>
      </c>
      <c r="AN18" s="62">
        <v>0.2</v>
      </c>
      <c r="AO18" s="62">
        <v>1.1399999999999999</v>
      </c>
      <c r="AP18" s="62">
        <v>1.19</v>
      </c>
      <c r="AQ18" s="62">
        <v>2.2000000000000002</v>
      </c>
      <c r="AR18" s="62">
        <v>3.2</v>
      </c>
      <c r="AS18" s="62">
        <v>1.32</v>
      </c>
      <c r="AT18" s="62">
        <v>0.86</v>
      </c>
      <c r="AU18" s="62">
        <v>3.15</v>
      </c>
      <c r="AW18" s="62">
        <v>0.13</v>
      </c>
      <c r="AX18" s="62">
        <v>1.31</v>
      </c>
      <c r="AY18" s="62">
        <v>6.1</v>
      </c>
      <c r="AZ18" s="62">
        <v>16.11</v>
      </c>
      <c r="BB18" s="62">
        <v>0.85</v>
      </c>
      <c r="BC18" s="62">
        <v>2.84</v>
      </c>
      <c r="BD18" s="62">
        <v>2.86</v>
      </c>
      <c r="BE18" s="62">
        <v>3.45</v>
      </c>
      <c r="BF18" s="62">
        <v>2.69</v>
      </c>
      <c r="BG18" s="62">
        <v>4.8099999999999996</v>
      </c>
      <c r="BH18" s="62">
        <v>1.79</v>
      </c>
      <c r="BI18" s="62">
        <v>1.37</v>
      </c>
      <c r="BJ18" s="62">
        <v>0.35</v>
      </c>
      <c r="BK18" s="62">
        <v>0.01</v>
      </c>
      <c r="BM18" s="62">
        <v>1.26</v>
      </c>
      <c r="BN18" s="62">
        <v>0.05</v>
      </c>
      <c r="BP18" s="62">
        <v>1.1399999999999999</v>
      </c>
      <c r="BR18" s="62">
        <v>0.71</v>
      </c>
      <c r="BS18" s="62">
        <v>7.0000000000000007E-2</v>
      </c>
      <c r="BT18" s="62">
        <v>0.52</v>
      </c>
      <c r="BU18" s="62">
        <v>0.48</v>
      </c>
      <c r="BV18" s="62">
        <v>3.37</v>
      </c>
      <c r="BW18" s="62">
        <v>1.2</v>
      </c>
      <c r="BX18" s="62">
        <v>0.01</v>
      </c>
      <c r="BY18" s="62">
        <v>1.57</v>
      </c>
      <c r="BZ18" s="62">
        <v>0.82</v>
      </c>
      <c r="CA18" s="62">
        <v>0.36</v>
      </c>
      <c r="CB18" s="62">
        <v>3.73</v>
      </c>
      <c r="CC18" s="62">
        <v>0.33</v>
      </c>
      <c r="CD18" s="62">
        <v>8.0399999999999991</v>
      </c>
      <c r="CE18" s="62">
        <v>4.95</v>
      </c>
      <c r="CF18" s="62">
        <v>1.55</v>
      </c>
      <c r="CG18" s="62">
        <v>1.41</v>
      </c>
      <c r="CH18" s="62">
        <v>0.02</v>
      </c>
      <c r="CI18" s="62">
        <v>2.95</v>
      </c>
      <c r="CJ18" s="62">
        <v>1.08</v>
      </c>
      <c r="CK18" s="62">
        <v>1.36</v>
      </c>
      <c r="CL18" s="62">
        <v>3.97</v>
      </c>
      <c r="CM18" s="62">
        <v>5.62</v>
      </c>
      <c r="CN18" s="62">
        <v>0.19</v>
      </c>
      <c r="CO18" s="62">
        <v>0.54</v>
      </c>
      <c r="CP18" s="62">
        <v>0.98</v>
      </c>
      <c r="CQ18" s="62">
        <v>0.72</v>
      </c>
      <c r="CR18" s="62">
        <v>4</v>
      </c>
      <c r="CS18" s="62">
        <v>0.24</v>
      </c>
      <c r="CT18" s="62">
        <v>3.29</v>
      </c>
      <c r="CU18" s="62">
        <v>2.84</v>
      </c>
      <c r="CV18" s="62">
        <v>1.63</v>
      </c>
      <c r="CW18" s="62">
        <v>3.46</v>
      </c>
      <c r="CX18" s="62">
        <v>3.16</v>
      </c>
      <c r="CY18" s="62">
        <v>1.94</v>
      </c>
      <c r="CZ18" s="62">
        <v>0.77</v>
      </c>
      <c r="DA18" s="62">
        <v>0.56999999999999995</v>
      </c>
      <c r="DB18" s="62">
        <v>2.5499999999999998</v>
      </c>
      <c r="DC18" s="62">
        <v>6.75</v>
      </c>
      <c r="DE18" s="62">
        <v>1.83</v>
      </c>
      <c r="DF18" s="62">
        <v>1.89</v>
      </c>
      <c r="DG18" s="62">
        <v>0</v>
      </c>
      <c r="DI18" s="62">
        <v>3.45</v>
      </c>
      <c r="DJ18" s="62">
        <v>2.99</v>
      </c>
      <c r="DK18" s="62">
        <v>2.25</v>
      </c>
      <c r="DL18" s="62">
        <v>1.65</v>
      </c>
      <c r="DM18" s="62">
        <v>2.72</v>
      </c>
      <c r="DN18" s="62">
        <v>0.04</v>
      </c>
      <c r="DO18" s="62">
        <v>4.74</v>
      </c>
    </row>
    <row r="19" spans="1:119" x14ac:dyDescent="0.3">
      <c r="A19" s="64" t="s">
        <v>9061</v>
      </c>
      <c r="B19" s="62">
        <v>7.57</v>
      </c>
      <c r="C19" s="62">
        <v>0</v>
      </c>
      <c r="E19" s="62">
        <v>2.72</v>
      </c>
      <c r="F19" s="62">
        <v>0.05</v>
      </c>
      <c r="G19" s="62">
        <v>0</v>
      </c>
      <c r="H19" s="62">
        <v>1.1399999999999999</v>
      </c>
      <c r="I19" s="62">
        <v>0.91</v>
      </c>
      <c r="J19" s="62">
        <v>0.66</v>
      </c>
      <c r="K19" s="62">
        <v>4.54</v>
      </c>
      <c r="L19" s="62">
        <v>1.01</v>
      </c>
      <c r="M19" s="62">
        <v>2.36</v>
      </c>
      <c r="N19" s="62">
        <v>0.67</v>
      </c>
      <c r="O19" s="62">
        <v>0.01</v>
      </c>
      <c r="P19" s="62">
        <v>0.02</v>
      </c>
      <c r="Q19" s="62">
        <v>2.84</v>
      </c>
      <c r="R19" s="62">
        <v>3.3</v>
      </c>
      <c r="S19" s="62">
        <v>0.46</v>
      </c>
      <c r="T19" s="62">
        <v>0.6</v>
      </c>
      <c r="U19" s="62">
        <v>2.85</v>
      </c>
      <c r="V19" s="62">
        <v>6.29</v>
      </c>
      <c r="W19" s="62">
        <v>4</v>
      </c>
      <c r="X19" s="62">
        <v>5.9</v>
      </c>
      <c r="Y19" s="62">
        <v>0.16</v>
      </c>
      <c r="Z19" s="62">
        <v>0</v>
      </c>
      <c r="AA19" s="62">
        <v>4.6500000000000004</v>
      </c>
      <c r="AB19" s="62">
        <v>10.55</v>
      </c>
      <c r="AC19" s="62">
        <v>4.1500000000000004</v>
      </c>
      <c r="AD19" s="62">
        <v>0.49</v>
      </c>
      <c r="AE19" s="62">
        <v>3.2</v>
      </c>
      <c r="AF19" s="62">
        <v>6.54</v>
      </c>
      <c r="AG19" s="62">
        <v>8.0299999999999994</v>
      </c>
      <c r="AH19" s="62">
        <v>1.35</v>
      </c>
      <c r="AI19" s="62">
        <v>5.56</v>
      </c>
      <c r="AJ19" s="62">
        <v>6.12</v>
      </c>
      <c r="AK19" s="62">
        <v>0.11</v>
      </c>
      <c r="AL19" s="62">
        <v>0.2</v>
      </c>
      <c r="AM19" s="62">
        <v>2.23</v>
      </c>
      <c r="AN19" s="62">
        <v>0.2</v>
      </c>
      <c r="AO19" s="62">
        <v>1.01</v>
      </c>
      <c r="AP19" s="62">
        <v>1.19</v>
      </c>
      <c r="AQ19" s="62">
        <v>2.2200000000000002</v>
      </c>
      <c r="AR19" s="62">
        <v>3.49</v>
      </c>
      <c r="AS19" s="62">
        <v>1.26</v>
      </c>
      <c r="AT19" s="62">
        <v>0.75</v>
      </c>
      <c r="AU19" s="62">
        <v>3.17</v>
      </c>
      <c r="AW19" s="62">
        <v>0.13</v>
      </c>
      <c r="AX19" s="62">
        <v>1.27</v>
      </c>
      <c r="AY19" s="62">
        <v>6.1</v>
      </c>
      <c r="AZ19" s="62">
        <v>15.4</v>
      </c>
      <c r="BB19" s="62">
        <v>0.84</v>
      </c>
      <c r="BC19" s="62">
        <v>2.95</v>
      </c>
      <c r="BD19" s="62">
        <v>2.94</v>
      </c>
      <c r="BE19" s="62">
        <v>3.08</v>
      </c>
      <c r="BF19" s="62">
        <v>2.52</v>
      </c>
      <c r="BG19" s="62">
        <v>4.7</v>
      </c>
      <c r="BH19" s="62">
        <v>1.86</v>
      </c>
      <c r="BI19" s="62">
        <v>1.47</v>
      </c>
      <c r="BJ19" s="62">
        <v>0.31</v>
      </c>
      <c r="BK19" s="62">
        <v>0.01</v>
      </c>
      <c r="BM19" s="62">
        <v>1.1399999999999999</v>
      </c>
      <c r="BN19" s="62">
        <v>0.05</v>
      </c>
      <c r="BP19" s="62">
        <v>1.1100000000000001</v>
      </c>
      <c r="BR19" s="62">
        <v>0.76</v>
      </c>
      <c r="BS19" s="62">
        <v>0.06</v>
      </c>
      <c r="BT19" s="62">
        <v>0.49</v>
      </c>
      <c r="BU19" s="62">
        <v>0.5</v>
      </c>
      <c r="BV19" s="62">
        <v>3.39</v>
      </c>
      <c r="BW19" s="62">
        <v>1.17</v>
      </c>
      <c r="BX19" s="62">
        <v>0.01</v>
      </c>
      <c r="BY19" s="62">
        <v>1.56</v>
      </c>
      <c r="BZ19" s="62">
        <v>1</v>
      </c>
      <c r="CA19" s="62">
        <v>0.36</v>
      </c>
      <c r="CB19" s="62">
        <v>3.96</v>
      </c>
      <c r="CC19" s="62">
        <v>0.32</v>
      </c>
      <c r="CD19" s="62">
        <v>7.88</v>
      </c>
      <c r="CE19" s="62">
        <v>4.8499999999999996</v>
      </c>
      <c r="CF19" s="62">
        <v>1.57</v>
      </c>
      <c r="CG19" s="62">
        <v>1.45</v>
      </c>
      <c r="CH19" s="62">
        <v>0.02</v>
      </c>
      <c r="CI19" s="62">
        <v>2.95</v>
      </c>
      <c r="CJ19" s="62">
        <v>0.99</v>
      </c>
      <c r="CK19" s="62">
        <v>1.41</v>
      </c>
      <c r="CL19" s="62">
        <v>4.0599999999999996</v>
      </c>
      <c r="CM19" s="62">
        <v>5.92</v>
      </c>
      <c r="CN19" s="62">
        <v>0.19</v>
      </c>
      <c r="CO19" s="62">
        <v>0.53</v>
      </c>
      <c r="CP19" s="62">
        <v>0.98</v>
      </c>
      <c r="CQ19" s="62">
        <v>0.82</v>
      </c>
      <c r="CR19" s="62">
        <v>4.0199999999999996</v>
      </c>
      <c r="CS19" s="62">
        <v>0.21</v>
      </c>
      <c r="CT19" s="62">
        <v>3.07</v>
      </c>
      <c r="CU19" s="62">
        <v>2.62</v>
      </c>
      <c r="CV19" s="62">
        <v>1.6</v>
      </c>
      <c r="CW19" s="62">
        <v>3.33</v>
      </c>
      <c r="CX19" s="62">
        <v>2.99</v>
      </c>
      <c r="CY19" s="62">
        <v>1.93</v>
      </c>
      <c r="CZ19" s="62">
        <v>0.69</v>
      </c>
      <c r="DA19" s="62">
        <v>0.57999999999999996</v>
      </c>
      <c r="DB19" s="62">
        <v>2.59</v>
      </c>
      <c r="DC19" s="62">
        <v>6.75</v>
      </c>
      <c r="DE19" s="62">
        <v>1.81</v>
      </c>
      <c r="DF19" s="62">
        <v>1.85</v>
      </c>
      <c r="DG19" s="62">
        <v>0</v>
      </c>
      <c r="DI19" s="62">
        <v>3.25</v>
      </c>
      <c r="DJ19" s="62">
        <v>3.13</v>
      </c>
      <c r="DK19" s="62">
        <v>2.2000000000000002</v>
      </c>
      <c r="DL19" s="62">
        <v>1.69</v>
      </c>
      <c r="DM19" s="62">
        <v>2.7</v>
      </c>
      <c r="DN19" s="62">
        <v>0.05</v>
      </c>
      <c r="DO19" s="62">
        <v>5.12</v>
      </c>
    </row>
    <row r="20" spans="1:119" x14ac:dyDescent="0.3">
      <c r="A20" s="64" t="s">
        <v>9062</v>
      </c>
      <c r="B20" s="62">
        <v>7.12</v>
      </c>
      <c r="C20" s="62">
        <v>0</v>
      </c>
      <c r="E20" s="62">
        <v>2.69</v>
      </c>
      <c r="F20" s="62">
        <v>0.05</v>
      </c>
      <c r="G20" s="62">
        <v>0</v>
      </c>
      <c r="H20" s="62">
        <v>1.1399999999999999</v>
      </c>
      <c r="I20" s="62">
        <v>0.88</v>
      </c>
      <c r="J20" s="62">
        <v>0.65</v>
      </c>
      <c r="K20" s="62">
        <v>4.59</v>
      </c>
      <c r="L20" s="62">
        <v>1.01</v>
      </c>
      <c r="M20" s="62">
        <v>2.25</v>
      </c>
      <c r="N20" s="62">
        <v>0.67</v>
      </c>
      <c r="O20" s="62">
        <v>0.01</v>
      </c>
      <c r="P20" s="62">
        <v>0.02</v>
      </c>
      <c r="Q20" s="62">
        <v>2.85</v>
      </c>
      <c r="R20" s="62">
        <v>3.1</v>
      </c>
      <c r="S20" s="62">
        <v>0.38</v>
      </c>
      <c r="T20" s="62">
        <v>0.63</v>
      </c>
      <c r="U20" s="62">
        <v>3.04</v>
      </c>
      <c r="V20" s="62">
        <v>6</v>
      </c>
      <c r="W20" s="62">
        <v>4.0999999999999996</v>
      </c>
      <c r="X20" s="62">
        <v>5.68</v>
      </c>
      <c r="Y20" s="62">
        <v>0.16</v>
      </c>
      <c r="Z20" s="62">
        <v>0</v>
      </c>
      <c r="AA20" s="62">
        <v>4.75</v>
      </c>
      <c r="AB20" s="62">
        <v>9.56</v>
      </c>
      <c r="AC20" s="62">
        <v>4.07</v>
      </c>
      <c r="AD20" s="62">
        <v>0.49</v>
      </c>
      <c r="AE20" s="62">
        <v>3.59</v>
      </c>
      <c r="AF20" s="62">
        <v>6.65</v>
      </c>
      <c r="AG20" s="62">
        <v>7.94</v>
      </c>
      <c r="AH20" s="62">
        <v>1.4</v>
      </c>
      <c r="AI20" s="62">
        <v>5.3</v>
      </c>
      <c r="AJ20" s="62">
        <v>6.21</v>
      </c>
      <c r="AK20" s="62">
        <v>0.11</v>
      </c>
      <c r="AL20" s="62">
        <v>0.2</v>
      </c>
      <c r="AM20" s="62">
        <v>1.93</v>
      </c>
      <c r="AN20" s="62">
        <v>0.18</v>
      </c>
      <c r="AO20" s="62">
        <v>1.06</v>
      </c>
      <c r="AP20" s="62">
        <v>1.18</v>
      </c>
      <c r="AQ20" s="62">
        <v>2.2799999999999998</v>
      </c>
      <c r="AR20" s="62">
        <v>3.48</v>
      </c>
      <c r="AS20" s="62">
        <v>1.3</v>
      </c>
      <c r="AT20" s="62">
        <v>0.86</v>
      </c>
      <c r="AU20" s="62">
        <v>3.11</v>
      </c>
      <c r="AW20" s="62">
        <v>0.15</v>
      </c>
      <c r="AX20" s="62">
        <v>1.29</v>
      </c>
      <c r="AY20" s="62">
        <v>5.8</v>
      </c>
      <c r="AZ20" s="62">
        <v>15.5</v>
      </c>
      <c r="BB20" s="62">
        <v>0.84</v>
      </c>
      <c r="BC20" s="62">
        <v>3.04</v>
      </c>
      <c r="BD20" s="62">
        <v>2.02</v>
      </c>
      <c r="BE20" s="62">
        <v>3.02</v>
      </c>
      <c r="BF20" s="62">
        <v>2.52</v>
      </c>
      <c r="BG20" s="62">
        <v>4.8600000000000003</v>
      </c>
      <c r="BH20" s="62">
        <v>1.81</v>
      </c>
      <c r="BI20" s="62">
        <v>1.65</v>
      </c>
      <c r="BJ20" s="62">
        <v>0.33</v>
      </c>
      <c r="BK20" s="62">
        <v>0.01</v>
      </c>
      <c r="BM20" s="62">
        <v>1.19</v>
      </c>
      <c r="BN20" s="62">
        <v>0.05</v>
      </c>
      <c r="BP20" s="62">
        <v>1.1599999999999999</v>
      </c>
      <c r="BR20" s="62">
        <v>0.74</v>
      </c>
      <c r="BS20" s="62">
        <v>0.06</v>
      </c>
      <c r="BT20" s="62">
        <v>0.49</v>
      </c>
      <c r="BU20" s="62">
        <v>0.43</v>
      </c>
      <c r="BV20" s="62">
        <v>3.37</v>
      </c>
      <c r="BW20" s="62">
        <v>1.1499999999999999</v>
      </c>
      <c r="BX20" s="62">
        <v>0.01</v>
      </c>
      <c r="BY20" s="62">
        <v>1.58</v>
      </c>
      <c r="BZ20" s="62">
        <v>1.1100000000000001</v>
      </c>
      <c r="CA20" s="62">
        <v>0.34</v>
      </c>
      <c r="CB20" s="62">
        <v>4.09</v>
      </c>
      <c r="CC20" s="62">
        <v>0.32</v>
      </c>
      <c r="CD20" s="62">
        <v>8.11</v>
      </c>
      <c r="CE20" s="62">
        <v>4.8600000000000003</v>
      </c>
      <c r="CF20" s="62">
        <v>1.63</v>
      </c>
      <c r="CG20" s="62">
        <v>1.32</v>
      </c>
      <c r="CH20" s="62">
        <v>0.01</v>
      </c>
      <c r="CI20" s="62">
        <v>2.82</v>
      </c>
      <c r="CJ20" s="62">
        <v>0.89</v>
      </c>
      <c r="CK20" s="62">
        <v>1.39</v>
      </c>
      <c r="CL20" s="62">
        <v>4.13</v>
      </c>
      <c r="CM20" s="62">
        <v>6.28</v>
      </c>
      <c r="CN20" s="62">
        <v>0.2</v>
      </c>
      <c r="CO20" s="62">
        <v>0.55000000000000004</v>
      </c>
      <c r="CP20" s="62">
        <v>0.98</v>
      </c>
      <c r="CQ20" s="62">
        <v>0.9</v>
      </c>
      <c r="CR20" s="62">
        <v>4.12</v>
      </c>
      <c r="CS20" s="62">
        <v>0.3</v>
      </c>
      <c r="CT20" s="62">
        <v>2.98</v>
      </c>
      <c r="CU20" s="62">
        <v>2.68</v>
      </c>
      <c r="CV20" s="62">
        <v>1.68</v>
      </c>
      <c r="CW20" s="62">
        <v>3.47</v>
      </c>
      <c r="CX20" s="62">
        <v>2.94</v>
      </c>
      <c r="CY20" s="62">
        <v>1.92</v>
      </c>
      <c r="CZ20" s="62">
        <v>0.52</v>
      </c>
      <c r="DA20" s="62">
        <v>0.52</v>
      </c>
      <c r="DB20" s="62">
        <v>2.5299999999999998</v>
      </c>
      <c r="DC20" s="62">
        <v>6.75</v>
      </c>
      <c r="DE20" s="62">
        <v>1.8</v>
      </c>
      <c r="DF20" s="62">
        <v>1.72</v>
      </c>
      <c r="DG20" s="62">
        <v>0</v>
      </c>
      <c r="DI20" s="62">
        <v>3.15</v>
      </c>
      <c r="DJ20" s="62">
        <v>3.2</v>
      </c>
      <c r="DK20" s="62">
        <v>2.4500000000000002</v>
      </c>
      <c r="DL20" s="62">
        <v>1.66</v>
      </c>
      <c r="DM20" s="62">
        <v>2.79</v>
      </c>
      <c r="DN20" s="62">
        <v>0.04</v>
      </c>
      <c r="DO20" s="62">
        <v>4.95</v>
      </c>
    </row>
    <row r="21" spans="1:119" x14ac:dyDescent="0.3">
      <c r="A21" s="64" t="s">
        <v>9063</v>
      </c>
      <c r="B21" s="62">
        <v>7.12</v>
      </c>
      <c r="C21" s="62">
        <v>0</v>
      </c>
      <c r="E21" s="62">
        <v>2.99</v>
      </c>
      <c r="F21" s="62">
        <v>0.05</v>
      </c>
      <c r="G21" s="62">
        <v>0</v>
      </c>
      <c r="H21" s="62">
        <v>1.1100000000000001</v>
      </c>
      <c r="I21" s="62">
        <v>0.9</v>
      </c>
      <c r="J21" s="62">
        <v>0.64</v>
      </c>
      <c r="K21" s="62">
        <v>4.8499999999999996</v>
      </c>
      <c r="L21" s="62">
        <v>0.99</v>
      </c>
      <c r="M21" s="62">
        <v>2.38</v>
      </c>
      <c r="N21" s="62">
        <v>0.71</v>
      </c>
      <c r="O21" s="62">
        <v>0.01</v>
      </c>
      <c r="P21" s="62">
        <v>0.02</v>
      </c>
      <c r="Q21" s="62">
        <v>2.86</v>
      </c>
      <c r="R21" s="62">
        <v>2.88</v>
      </c>
      <c r="S21" s="62">
        <v>0.36</v>
      </c>
      <c r="T21" s="62">
        <v>0.63</v>
      </c>
      <c r="U21" s="62">
        <v>3.17</v>
      </c>
      <c r="V21" s="62">
        <v>6.12</v>
      </c>
      <c r="W21" s="62">
        <v>4.29</v>
      </c>
      <c r="X21" s="62">
        <v>6.15</v>
      </c>
      <c r="Y21" s="62">
        <v>0.12</v>
      </c>
      <c r="Z21" s="62">
        <v>0</v>
      </c>
      <c r="AA21" s="62">
        <v>4.8</v>
      </c>
      <c r="AB21" s="62">
        <v>10.07</v>
      </c>
      <c r="AC21" s="62">
        <v>4.12</v>
      </c>
      <c r="AD21" s="62">
        <v>0.5</v>
      </c>
      <c r="AE21" s="62">
        <v>3.59</v>
      </c>
      <c r="AF21" s="62">
        <v>6.6</v>
      </c>
      <c r="AG21" s="62">
        <v>8.3800000000000008</v>
      </c>
      <c r="AH21" s="62">
        <v>1.4</v>
      </c>
      <c r="AI21" s="62">
        <v>4.83</v>
      </c>
      <c r="AJ21" s="62">
        <v>6.13</v>
      </c>
      <c r="AK21" s="62">
        <v>0.09</v>
      </c>
      <c r="AL21" s="62">
        <v>0.2</v>
      </c>
      <c r="AM21" s="62">
        <v>1.88</v>
      </c>
      <c r="AN21" s="62">
        <v>0.19</v>
      </c>
      <c r="AO21" s="62">
        <v>0.97</v>
      </c>
      <c r="AP21" s="62">
        <v>1.19</v>
      </c>
      <c r="AQ21" s="62">
        <v>2.38</v>
      </c>
      <c r="AR21" s="62">
        <v>3.65</v>
      </c>
      <c r="AS21" s="62">
        <v>1.27</v>
      </c>
      <c r="AT21" s="62">
        <v>0.78</v>
      </c>
      <c r="AU21" s="62">
        <v>3.3</v>
      </c>
      <c r="AW21" s="62">
        <v>0.14000000000000001</v>
      </c>
      <c r="AX21" s="62">
        <v>1.25</v>
      </c>
      <c r="AY21" s="62">
        <v>5</v>
      </c>
      <c r="AZ21" s="62">
        <v>15.95</v>
      </c>
      <c r="BB21" s="62">
        <v>0.89</v>
      </c>
      <c r="BC21" s="62">
        <v>2.9</v>
      </c>
      <c r="BD21" s="62">
        <v>1.68</v>
      </c>
      <c r="BE21" s="62">
        <v>2.86</v>
      </c>
      <c r="BF21" s="62">
        <v>2.31</v>
      </c>
      <c r="BG21" s="62">
        <v>4.91</v>
      </c>
      <c r="BH21" s="62">
        <v>1.75</v>
      </c>
      <c r="BI21" s="62">
        <v>1.51</v>
      </c>
      <c r="BJ21" s="62">
        <v>0.28000000000000003</v>
      </c>
      <c r="BK21" s="62">
        <v>0.01</v>
      </c>
      <c r="BM21" s="62">
        <v>1.18</v>
      </c>
      <c r="BN21" s="62">
        <v>0.06</v>
      </c>
      <c r="BP21" s="62">
        <v>1.1399999999999999</v>
      </c>
      <c r="BR21" s="62">
        <v>0.65</v>
      </c>
      <c r="BS21" s="62">
        <v>7.0000000000000007E-2</v>
      </c>
      <c r="BT21" s="62">
        <v>0.5</v>
      </c>
      <c r="BU21" s="62">
        <v>0.42</v>
      </c>
      <c r="BV21" s="62">
        <v>3.41</v>
      </c>
      <c r="BW21" s="62">
        <v>1.1200000000000001</v>
      </c>
      <c r="BX21" s="62">
        <v>0.01</v>
      </c>
      <c r="BY21" s="62">
        <v>1.55</v>
      </c>
      <c r="BZ21" s="62">
        <v>1.01</v>
      </c>
      <c r="CA21" s="62">
        <v>0.36</v>
      </c>
      <c r="CB21" s="62">
        <v>4.22</v>
      </c>
      <c r="CC21" s="62">
        <v>0.31</v>
      </c>
      <c r="CD21" s="62">
        <v>7.99</v>
      </c>
      <c r="CE21" s="62">
        <v>5.0999999999999996</v>
      </c>
      <c r="CF21" s="62">
        <v>1.73</v>
      </c>
      <c r="CG21" s="62">
        <v>1.31</v>
      </c>
      <c r="CH21" s="62">
        <v>0.01</v>
      </c>
      <c r="CI21" s="62">
        <v>3</v>
      </c>
      <c r="CJ21" s="62">
        <v>1</v>
      </c>
      <c r="CK21" s="62">
        <v>1.35</v>
      </c>
      <c r="CL21" s="62">
        <v>4.38</v>
      </c>
      <c r="CM21" s="62">
        <v>6.35</v>
      </c>
      <c r="CN21" s="62">
        <v>0.2</v>
      </c>
      <c r="CO21" s="62">
        <v>0.53</v>
      </c>
      <c r="CP21" s="62">
        <v>1.26</v>
      </c>
      <c r="CQ21" s="62">
        <v>0.95</v>
      </c>
      <c r="CR21" s="62">
        <v>4.6399999999999997</v>
      </c>
      <c r="CS21" s="62">
        <v>0.25</v>
      </c>
      <c r="CT21" s="62">
        <v>2.77</v>
      </c>
      <c r="CU21" s="62">
        <v>2.69</v>
      </c>
      <c r="CV21" s="62">
        <v>1.72</v>
      </c>
      <c r="CW21" s="62">
        <v>3.41</v>
      </c>
      <c r="CX21" s="62">
        <v>2.5299999999999998</v>
      </c>
      <c r="CY21" s="62">
        <v>1.8</v>
      </c>
      <c r="CZ21" s="62">
        <v>0.7</v>
      </c>
      <c r="DA21" s="62">
        <v>0.49</v>
      </c>
      <c r="DB21" s="62">
        <v>2.4700000000000002</v>
      </c>
      <c r="DC21" s="62">
        <v>6.75</v>
      </c>
      <c r="DE21" s="62">
        <v>1.72</v>
      </c>
      <c r="DF21" s="62">
        <v>1.86</v>
      </c>
      <c r="DG21" s="62">
        <v>0</v>
      </c>
      <c r="DI21" s="62">
        <v>3.1</v>
      </c>
      <c r="DJ21" s="62">
        <v>3.1</v>
      </c>
      <c r="DK21" s="62">
        <v>2.4500000000000002</v>
      </c>
      <c r="DL21" s="62">
        <v>1.65</v>
      </c>
      <c r="DM21" s="62">
        <v>2.88</v>
      </c>
      <c r="DN21" s="62">
        <v>0.03</v>
      </c>
      <c r="DO21" s="62">
        <v>5.0999999999999996</v>
      </c>
    </row>
    <row r="22" spans="1:119" x14ac:dyDescent="0.3">
      <c r="A22" s="64" t="s">
        <v>9064</v>
      </c>
      <c r="B22" s="62">
        <v>6.93</v>
      </c>
      <c r="C22" s="62">
        <v>0</v>
      </c>
      <c r="E22" s="62">
        <v>2.59</v>
      </c>
      <c r="F22" s="62">
        <v>0.05</v>
      </c>
      <c r="G22" s="62">
        <v>0</v>
      </c>
      <c r="H22" s="62">
        <v>1.1000000000000001</v>
      </c>
      <c r="I22" s="62">
        <v>0.85</v>
      </c>
      <c r="J22" s="62">
        <v>0.63</v>
      </c>
      <c r="K22" s="62">
        <v>5.15</v>
      </c>
      <c r="L22" s="62">
        <v>0.99</v>
      </c>
      <c r="M22" s="62">
        <v>2.2999999999999998</v>
      </c>
      <c r="N22" s="62">
        <v>0.68</v>
      </c>
      <c r="O22" s="62">
        <v>0.01</v>
      </c>
      <c r="P22" s="62">
        <v>0.02</v>
      </c>
      <c r="Q22" s="62">
        <v>2.8</v>
      </c>
      <c r="R22" s="62">
        <v>3</v>
      </c>
      <c r="S22" s="62">
        <v>0.36</v>
      </c>
      <c r="T22" s="62">
        <v>0.63</v>
      </c>
      <c r="U22" s="62">
        <v>3</v>
      </c>
      <c r="V22" s="62">
        <v>5.85</v>
      </c>
      <c r="W22" s="62">
        <v>4.4000000000000004</v>
      </c>
      <c r="X22" s="62">
        <v>5.07</v>
      </c>
      <c r="Y22" s="62">
        <v>0.14000000000000001</v>
      </c>
      <c r="Z22" s="62">
        <v>0</v>
      </c>
      <c r="AA22" s="62">
        <v>4.8099999999999996</v>
      </c>
      <c r="AB22" s="62">
        <v>10.15</v>
      </c>
      <c r="AC22" s="62">
        <v>3.75</v>
      </c>
      <c r="AD22" s="62">
        <v>0.47</v>
      </c>
      <c r="AE22" s="62">
        <v>3.4</v>
      </c>
      <c r="AF22" s="62">
        <v>6.98</v>
      </c>
      <c r="AG22" s="62">
        <v>7.77</v>
      </c>
      <c r="AH22" s="62">
        <v>1.35</v>
      </c>
      <c r="AI22" s="62">
        <v>4.84</v>
      </c>
      <c r="AJ22" s="62">
        <v>5.79</v>
      </c>
      <c r="AK22" s="62">
        <v>0.08</v>
      </c>
      <c r="AL22" s="62">
        <v>0.2</v>
      </c>
      <c r="AM22" s="62">
        <v>1.77</v>
      </c>
      <c r="AN22" s="62">
        <v>0.22</v>
      </c>
      <c r="AO22" s="62">
        <v>0.87</v>
      </c>
      <c r="AP22" s="62">
        <v>1.18</v>
      </c>
      <c r="AQ22" s="62">
        <v>2.2000000000000002</v>
      </c>
      <c r="AR22" s="62">
        <v>3.45</v>
      </c>
      <c r="AS22" s="62">
        <v>1.1599999999999999</v>
      </c>
      <c r="AT22" s="62">
        <v>0.62</v>
      </c>
      <c r="AU22" s="62">
        <v>3.17</v>
      </c>
      <c r="AW22" s="62">
        <v>0.14000000000000001</v>
      </c>
      <c r="AX22" s="62">
        <v>1.29</v>
      </c>
      <c r="AY22" s="62">
        <v>4.5</v>
      </c>
      <c r="AZ22" s="62">
        <v>15.77</v>
      </c>
      <c r="BB22" s="62">
        <v>0.87</v>
      </c>
      <c r="BC22" s="62">
        <v>2.85</v>
      </c>
      <c r="BD22" s="62">
        <v>1.68</v>
      </c>
      <c r="BE22" s="62">
        <v>2.87</v>
      </c>
      <c r="BF22" s="62">
        <v>2.23</v>
      </c>
      <c r="BG22" s="62">
        <v>4.6100000000000003</v>
      </c>
      <c r="BH22" s="62">
        <v>1.62</v>
      </c>
      <c r="BI22" s="62">
        <v>1.42</v>
      </c>
      <c r="BJ22" s="62">
        <v>0.28999999999999998</v>
      </c>
      <c r="BK22" s="62">
        <v>0.01</v>
      </c>
      <c r="BM22" s="62">
        <v>1.0900000000000001</v>
      </c>
      <c r="BN22" s="62">
        <v>0.06</v>
      </c>
      <c r="BP22" s="62">
        <v>1.08</v>
      </c>
      <c r="BR22" s="62">
        <v>0.6</v>
      </c>
      <c r="BS22" s="62">
        <v>0.05</v>
      </c>
      <c r="BT22" s="62">
        <v>0.46</v>
      </c>
      <c r="BU22" s="62">
        <v>0.33</v>
      </c>
      <c r="BV22" s="62">
        <v>3.51</v>
      </c>
      <c r="BW22" s="62">
        <v>1.1499999999999999</v>
      </c>
      <c r="BX22" s="62">
        <v>0.01</v>
      </c>
      <c r="BY22" s="62">
        <v>1.53</v>
      </c>
      <c r="BZ22" s="62">
        <v>1.02</v>
      </c>
      <c r="CA22" s="62">
        <v>0.35</v>
      </c>
      <c r="CB22" s="62">
        <v>4.1900000000000004</v>
      </c>
      <c r="CC22" s="62">
        <v>0.28999999999999998</v>
      </c>
      <c r="CD22" s="62">
        <v>7.96</v>
      </c>
      <c r="CE22" s="62">
        <v>5.2</v>
      </c>
      <c r="CF22" s="62">
        <v>1.7</v>
      </c>
      <c r="CG22" s="62">
        <v>1.31</v>
      </c>
      <c r="CH22" s="62">
        <v>0.01</v>
      </c>
      <c r="CI22" s="62">
        <v>2.82</v>
      </c>
      <c r="CJ22" s="62">
        <v>0.96</v>
      </c>
      <c r="CK22" s="62">
        <v>1.28</v>
      </c>
      <c r="CL22" s="62">
        <v>4.22</v>
      </c>
      <c r="CM22" s="62">
        <v>6.2</v>
      </c>
      <c r="CN22" s="62">
        <v>0.16</v>
      </c>
      <c r="CO22" s="62">
        <v>0.53</v>
      </c>
      <c r="CP22" s="62">
        <v>1.2</v>
      </c>
      <c r="CQ22" s="62">
        <v>0.95</v>
      </c>
      <c r="CR22" s="62">
        <v>4.58</v>
      </c>
      <c r="CS22" s="62">
        <v>0.25</v>
      </c>
      <c r="CT22" s="62">
        <v>2.78</v>
      </c>
      <c r="CU22" s="62">
        <v>2.54</v>
      </c>
      <c r="CV22" s="62">
        <v>1.7</v>
      </c>
      <c r="CW22" s="62">
        <v>3.53</v>
      </c>
      <c r="CX22" s="62">
        <v>2.42</v>
      </c>
      <c r="CY22" s="62">
        <v>1.85</v>
      </c>
      <c r="CZ22" s="62">
        <v>0.71</v>
      </c>
      <c r="DA22" s="62">
        <v>0.75</v>
      </c>
      <c r="DB22" s="62">
        <v>2.85</v>
      </c>
      <c r="DC22" s="62">
        <v>6.75</v>
      </c>
      <c r="DE22" s="62">
        <v>1.79</v>
      </c>
      <c r="DF22" s="62">
        <v>1.75</v>
      </c>
      <c r="DG22" s="62">
        <v>0</v>
      </c>
      <c r="DI22" s="62">
        <v>2.8</v>
      </c>
      <c r="DJ22" s="62">
        <v>3.31</v>
      </c>
      <c r="DK22" s="62">
        <v>2.72</v>
      </c>
      <c r="DL22" s="62">
        <v>1.63</v>
      </c>
      <c r="DM22" s="62">
        <v>2.69</v>
      </c>
      <c r="DN22" s="62">
        <v>0.04</v>
      </c>
      <c r="DO22" s="62">
        <v>5.88</v>
      </c>
    </row>
    <row r="23" spans="1:119" x14ac:dyDescent="0.3">
      <c r="A23" s="64" t="s">
        <v>9065</v>
      </c>
      <c r="B23" s="62">
        <v>7.41</v>
      </c>
      <c r="C23" s="62">
        <v>0</v>
      </c>
      <c r="E23" s="62">
        <v>2.69</v>
      </c>
      <c r="F23" s="62">
        <v>0.06</v>
      </c>
      <c r="G23" s="62">
        <v>0</v>
      </c>
      <c r="H23" s="62">
        <v>1.1399999999999999</v>
      </c>
      <c r="I23" s="62">
        <v>0.86</v>
      </c>
      <c r="J23" s="62">
        <v>0.64</v>
      </c>
      <c r="K23" s="62">
        <v>5.49</v>
      </c>
      <c r="L23" s="62">
        <v>0.99</v>
      </c>
      <c r="M23" s="62">
        <v>2.2999999999999998</v>
      </c>
      <c r="N23" s="62">
        <v>0.65</v>
      </c>
      <c r="O23" s="62">
        <v>0.01</v>
      </c>
      <c r="P23" s="62">
        <v>0.02</v>
      </c>
      <c r="Q23" s="62">
        <v>2.9</v>
      </c>
      <c r="R23" s="62">
        <v>3.2</v>
      </c>
      <c r="S23" s="62">
        <v>0.52</v>
      </c>
      <c r="T23" s="62">
        <v>0.64</v>
      </c>
      <c r="U23" s="62">
        <v>2.88</v>
      </c>
      <c r="V23" s="62">
        <v>6.09</v>
      </c>
      <c r="W23" s="62">
        <v>5.25</v>
      </c>
      <c r="X23" s="62">
        <v>5.0199999999999996</v>
      </c>
      <c r="Y23" s="62">
        <v>0.12</v>
      </c>
      <c r="Z23" s="62">
        <v>0</v>
      </c>
      <c r="AA23" s="62">
        <v>5.3</v>
      </c>
      <c r="AB23" s="62">
        <v>10.79</v>
      </c>
      <c r="AC23" s="62">
        <v>3.59</v>
      </c>
      <c r="AD23" s="62">
        <v>0.44</v>
      </c>
      <c r="AE23" s="62">
        <v>3.4</v>
      </c>
      <c r="AF23" s="62">
        <v>7.47</v>
      </c>
      <c r="AG23" s="62">
        <v>7.63</v>
      </c>
      <c r="AH23" s="62">
        <v>1.4</v>
      </c>
      <c r="AI23" s="62">
        <v>4.8</v>
      </c>
      <c r="AJ23" s="62">
        <v>5.85</v>
      </c>
      <c r="AK23" s="62">
        <v>7.0000000000000007E-2</v>
      </c>
      <c r="AL23" s="62">
        <v>7.0000000000000007E-2</v>
      </c>
      <c r="AM23" s="62">
        <v>1.77</v>
      </c>
      <c r="AN23" s="62">
        <v>0.22</v>
      </c>
      <c r="AO23" s="62">
        <v>0.97</v>
      </c>
      <c r="AP23" s="62">
        <v>1.26</v>
      </c>
      <c r="AQ23" s="62">
        <v>2.4700000000000002</v>
      </c>
      <c r="AR23" s="62">
        <v>3.35</v>
      </c>
      <c r="AS23" s="62">
        <v>1.18</v>
      </c>
      <c r="AT23" s="62">
        <v>0.66</v>
      </c>
      <c r="AU23" s="62">
        <v>3.24</v>
      </c>
      <c r="AW23" s="62">
        <v>0.14000000000000001</v>
      </c>
      <c r="AX23" s="62">
        <v>1.38</v>
      </c>
      <c r="AY23" s="62">
        <v>4.05</v>
      </c>
      <c r="AZ23" s="62">
        <v>15.29</v>
      </c>
      <c r="BB23" s="62">
        <v>0.89</v>
      </c>
      <c r="BC23" s="62">
        <v>3</v>
      </c>
      <c r="BD23" s="62">
        <v>1.68</v>
      </c>
      <c r="BE23" s="62">
        <v>2.88</v>
      </c>
      <c r="BF23" s="62">
        <v>2.3199999999999998</v>
      </c>
      <c r="BG23" s="62">
        <v>4.83</v>
      </c>
      <c r="BH23" s="62">
        <v>1.6</v>
      </c>
      <c r="BI23" s="62">
        <v>1.41</v>
      </c>
      <c r="BJ23" s="62">
        <v>0.28000000000000003</v>
      </c>
      <c r="BK23" s="62">
        <v>0.01</v>
      </c>
      <c r="BM23" s="62">
        <v>1</v>
      </c>
      <c r="BN23" s="62">
        <v>0.05</v>
      </c>
      <c r="BP23" s="62">
        <v>1.05</v>
      </c>
      <c r="BR23" s="62">
        <v>0.63</v>
      </c>
      <c r="BS23" s="62">
        <v>0.05</v>
      </c>
      <c r="BT23" s="62">
        <v>0.46</v>
      </c>
      <c r="BU23" s="62">
        <v>0.35</v>
      </c>
      <c r="BV23" s="62">
        <v>3.54</v>
      </c>
      <c r="BW23" s="62">
        <v>1.1399999999999999</v>
      </c>
      <c r="BX23" s="62">
        <v>0.01</v>
      </c>
      <c r="BY23" s="62">
        <v>1.54</v>
      </c>
      <c r="BZ23" s="62">
        <v>1.19</v>
      </c>
      <c r="CA23" s="62">
        <v>0.37</v>
      </c>
      <c r="CB23" s="62">
        <v>4.07</v>
      </c>
      <c r="CC23" s="62">
        <v>0.32</v>
      </c>
      <c r="CD23" s="62">
        <v>8.44</v>
      </c>
      <c r="CE23" s="62">
        <v>5.07</v>
      </c>
      <c r="CF23" s="62">
        <v>2</v>
      </c>
      <c r="CG23" s="62">
        <v>1.39</v>
      </c>
      <c r="CH23" s="62">
        <v>0.01</v>
      </c>
      <c r="CI23" s="62">
        <v>2.82</v>
      </c>
      <c r="CJ23" s="62">
        <v>0.86</v>
      </c>
      <c r="CK23" s="62">
        <v>1.23</v>
      </c>
      <c r="CL23" s="62">
        <v>4.3499999999999996</v>
      </c>
      <c r="CM23" s="62">
        <v>6.09</v>
      </c>
      <c r="CN23" s="62">
        <v>0.17</v>
      </c>
      <c r="CO23" s="62">
        <v>0.51</v>
      </c>
      <c r="CP23" s="62">
        <v>1.2</v>
      </c>
      <c r="CQ23" s="62">
        <v>1.1200000000000001</v>
      </c>
      <c r="CR23" s="62">
        <v>4.59</v>
      </c>
      <c r="CS23" s="62">
        <v>0.2</v>
      </c>
      <c r="CT23" s="62">
        <v>2.99</v>
      </c>
      <c r="CU23" s="62">
        <v>2.65</v>
      </c>
      <c r="CV23" s="62">
        <v>1.79</v>
      </c>
      <c r="CW23" s="62">
        <v>4.24</v>
      </c>
      <c r="CX23" s="62">
        <v>2.35</v>
      </c>
      <c r="CY23" s="62">
        <v>2</v>
      </c>
      <c r="CZ23" s="62">
        <v>0.8</v>
      </c>
      <c r="DA23" s="62">
        <v>0.8</v>
      </c>
      <c r="DB23" s="62">
        <v>3.05</v>
      </c>
      <c r="DC23" s="62">
        <v>6.75</v>
      </c>
      <c r="DE23" s="62">
        <v>1.93</v>
      </c>
      <c r="DF23" s="62">
        <v>1.72</v>
      </c>
      <c r="DG23" s="62">
        <v>0</v>
      </c>
      <c r="DI23" s="62">
        <v>2.9</v>
      </c>
      <c r="DJ23" s="62">
        <v>3.32</v>
      </c>
      <c r="DK23" s="62">
        <v>3.01</v>
      </c>
      <c r="DL23" s="62">
        <v>1.66</v>
      </c>
      <c r="DM23" s="62">
        <v>2.57</v>
      </c>
      <c r="DN23" s="62">
        <v>0.05</v>
      </c>
      <c r="DO23" s="62">
        <v>5.78</v>
      </c>
    </row>
    <row r="24" spans="1:119" x14ac:dyDescent="0.3">
      <c r="A24" s="64" t="s">
        <v>9066</v>
      </c>
      <c r="B24" s="62">
        <v>7.46</v>
      </c>
      <c r="C24" s="62">
        <v>0.01</v>
      </c>
      <c r="E24" s="62">
        <v>2.48</v>
      </c>
      <c r="F24" s="62">
        <v>0.06</v>
      </c>
      <c r="G24" s="62">
        <v>0</v>
      </c>
      <c r="H24" s="62">
        <v>1.1100000000000001</v>
      </c>
      <c r="I24" s="62">
        <v>0.83</v>
      </c>
      <c r="J24" s="62">
        <v>0.64</v>
      </c>
      <c r="K24" s="62">
        <v>4.95</v>
      </c>
      <c r="L24" s="62">
        <v>0.97</v>
      </c>
      <c r="M24" s="62">
        <v>2.13</v>
      </c>
      <c r="N24" s="62">
        <v>0.63</v>
      </c>
      <c r="O24" s="62">
        <v>0.01</v>
      </c>
      <c r="P24" s="62">
        <v>0.02</v>
      </c>
      <c r="Q24" s="62">
        <v>2.85</v>
      </c>
      <c r="R24" s="62">
        <v>3.09</v>
      </c>
      <c r="S24" s="62">
        <v>0.44</v>
      </c>
      <c r="T24" s="62">
        <v>0.64</v>
      </c>
      <c r="U24" s="62">
        <v>2.52</v>
      </c>
      <c r="V24" s="62">
        <v>5.66</v>
      </c>
      <c r="W24" s="62">
        <v>5.75</v>
      </c>
      <c r="X24" s="62">
        <v>5.08</v>
      </c>
      <c r="Y24" s="62">
        <v>0.13</v>
      </c>
      <c r="Z24" s="62">
        <v>0</v>
      </c>
      <c r="AA24" s="62">
        <v>5.28</v>
      </c>
      <c r="AB24" s="62">
        <v>11</v>
      </c>
      <c r="AC24" s="62">
        <v>3.62</v>
      </c>
      <c r="AD24" s="62">
        <v>0.44</v>
      </c>
      <c r="AE24" s="62">
        <v>3.2</v>
      </c>
      <c r="AF24" s="62">
        <v>7.22</v>
      </c>
      <c r="AG24" s="62">
        <v>6.97</v>
      </c>
      <c r="AH24" s="62">
        <v>1.5</v>
      </c>
      <c r="AI24" s="62">
        <v>4.8899999999999997</v>
      </c>
      <c r="AJ24" s="62">
        <v>5.39</v>
      </c>
      <c r="AK24" s="62">
        <v>0.06</v>
      </c>
      <c r="AL24" s="62">
        <v>7.0000000000000007E-2</v>
      </c>
      <c r="AM24" s="62">
        <v>1.79</v>
      </c>
      <c r="AN24" s="62">
        <v>0.3</v>
      </c>
      <c r="AO24" s="62">
        <v>0.93</v>
      </c>
      <c r="AP24" s="62">
        <v>1.19</v>
      </c>
      <c r="AQ24" s="62">
        <v>2.2999999999999998</v>
      </c>
      <c r="AR24" s="62">
        <v>3.3</v>
      </c>
      <c r="AS24" s="62">
        <v>1.1299999999999999</v>
      </c>
      <c r="AT24" s="62">
        <v>0.5</v>
      </c>
      <c r="AU24" s="62">
        <v>3.13</v>
      </c>
      <c r="AW24" s="62">
        <v>0.14000000000000001</v>
      </c>
      <c r="AX24" s="62">
        <v>1.3</v>
      </c>
      <c r="AY24" s="62">
        <v>3.85</v>
      </c>
      <c r="AZ24" s="62">
        <v>14.27</v>
      </c>
      <c r="BB24" s="62">
        <v>0.85</v>
      </c>
      <c r="BC24" s="62">
        <v>2.92</v>
      </c>
      <c r="BD24" s="62">
        <v>1.34</v>
      </c>
      <c r="BE24" s="62">
        <v>2.75</v>
      </c>
      <c r="BF24" s="62">
        <v>2.25</v>
      </c>
      <c r="BG24" s="62">
        <v>4.33</v>
      </c>
      <c r="BH24" s="62">
        <v>1.33</v>
      </c>
      <c r="BI24" s="62">
        <v>1.43</v>
      </c>
      <c r="BJ24" s="62">
        <v>0.28000000000000003</v>
      </c>
      <c r="BK24" s="62">
        <v>0.01</v>
      </c>
      <c r="BM24" s="62">
        <v>0.92</v>
      </c>
      <c r="BN24" s="62">
        <v>0.05</v>
      </c>
      <c r="BP24" s="62">
        <v>0.98</v>
      </c>
      <c r="BR24" s="62">
        <v>0.52</v>
      </c>
      <c r="BS24" s="62">
        <v>0.06</v>
      </c>
      <c r="BT24" s="62">
        <v>0.42</v>
      </c>
      <c r="BU24" s="62">
        <v>0.35</v>
      </c>
      <c r="BV24" s="62">
        <v>3.47</v>
      </c>
      <c r="BW24" s="62">
        <v>1.1499999999999999</v>
      </c>
      <c r="BX24" s="62">
        <v>0.01</v>
      </c>
      <c r="BY24" s="62">
        <v>1.47</v>
      </c>
      <c r="BZ24" s="62">
        <v>1.47</v>
      </c>
      <c r="CA24" s="62">
        <v>0.33</v>
      </c>
      <c r="CB24" s="62">
        <v>3.83</v>
      </c>
      <c r="CC24" s="62">
        <v>0.33</v>
      </c>
      <c r="CD24" s="62">
        <v>7.65</v>
      </c>
      <c r="CE24" s="62">
        <v>5.01</v>
      </c>
      <c r="CF24" s="62">
        <v>2</v>
      </c>
      <c r="CG24" s="62">
        <v>1.38</v>
      </c>
      <c r="CH24" s="62">
        <v>0.01</v>
      </c>
      <c r="CI24" s="62">
        <v>3.05</v>
      </c>
      <c r="CJ24" s="62">
        <v>0.8</v>
      </c>
      <c r="CK24" s="62">
        <v>1.26</v>
      </c>
      <c r="CL24" s="62">
        <v>3.87</v>
      </c>
      <c r="CM24" s="62">
        <v>5.08</v>
      </c>
      <c r="CN24" s="62">
        <v>0.16</v>
      </c>
      <c r="CO24" s="62">
        <v>0.56000000000000005</v>
      </c>
      <c r="CP24" s="62">
        <v>1</v>
      </c>
      <c r="CQ24" s="62">
        <v>1.1000000000000001</v>
      </c>
      <c r="CR24" s="62">
        <v>4.5</v>
      </c>
      <c r="CS24" s="62">
        <v>0.15</v>
      </c>
      <c r="CT24" s="62">
        <v>3.31</v>
      </c>
      <c r="CU24" s="62">
        <v>2.46</v>
      </c>
      <c r="CV24" s="62">
        <v>1.75</v>
      </c>
      <c r="CW24" s="62">
        <v>3.75</v>
      </c>
      <c r="CX24" s="62">
        <v>2.2200000000000002</v>
      </c>
      <c r="CY24" s="62">
        <v>1.95</v>
      </c>
      <c r="CZ24" s="62">
        <v>0.66</v>
      </c>
      <c r="DA24" s="62">
        <v>0.7</v>
      </c>
      <c r="DB24" s="62">
        <v>3.2</v>
      </c>
      <c r="DC24" s="62">
        <v>6.75</v>
      </c>
      <c r="DE24" s="62">
        <v>1.95</v>
      </c>
      <c r="DF24" s="62">
        <v>1.65</v>
      </c>
      <c r="DG24" s="62">
        <v>0</v>
      </c>
      <c r="DI24" s="62">
        <v>2.7</v>
      </c>
      <c r="DJ24" s="62">
        <v>3.23</v>
      </c>
      <c r="DK24" s="62">
        <v>2.63</v>
      </c>
      <c r="DL24" s="62">
        <v>1.7</v>
      </c>
      <c r="DM24" s="62">
        <v>2.59</v>
      </c>
      <c r="DN24" s="62">
        <v>0.05</v>
      </c>
      <c r="DO24" s="62">
        <v>5.8</v>
      </c>
    </row>
    <row r="25" spans="1:119" x14ac:dyDescent="0.3">
      <c r="A25" s="64" t="s">
        <v>9067</v>
      </c>
      <c r="B25" s="62">
        <v>7.75</v>
      </c>
      <c r="C25" s="62">
        <v>0.01</v>
      </c>
      <c r="E25" s="62">
        <v>2.4300000000000002</v>
      </c>
      <c r="F25" s="62">
        <v>0.05</v>
      </c>
      <c r="G25" s="62">
        <v>0</v>
      </c>
      <c r="H25" s="62">
        <v>1.06</v>
      </c>
      <c r="I25" s="62">
        <v>0.8</v>
      </c>
      <c r="J25" s="62">
        <v>0.6</v>
      </c>
      <c r="K25" s="62">
        <v>4.88</v>
      </c>
      <c r="L25" s="62">
        <v>0.99</v>
      </c>
      <c r="M25" s="62">
        <v>2.17</v>
      </c>
      <c r="N25" s="62">
        <v>0.62</v>
      </c>
      <c r="O25" s="62">
        <v>0.01</v>
      </c>
      <c r="P25" s="62">
        <v>0.02</v>
      </c>
      <c r="Q25" s="62">
        <v>2.84</v>
      </c>
      <c r="R25" s="62">
        <v>2.9</v>
      </c>
      <c r="S25" s="62">
        <v>0.4</v>
      </c>
      <c r="T25" s="62">
        <v>0.63</v>
      </c>
      <c r="U25" s="62">
        <v>2.64</v>
      </c>
      <c r="V25" s="62">
        <v>5.7</v>
      </c>
      <c r="W25" s="62">
        <v>6.9</v>
      </c>
      <c r="X25" s="62">
        <v>4.95</v>
      </c>
      <c r="Y25" s="62">
        <v>0.13</v>
      </c>
      <c r="Z25" s="62">
        <v>0</v>
      </c>
      <c r="AA25" s="62">
        <v>4.99</v>
      </c>
      <c r="AB25" s="62">
        <v>12.45</v>
      </c>
      <c r="AC25" s="62">
        <v>2.33</v>
      </c>
      <c r="AD25" s="62">
        <v>0.41</v>
      </c>
      <c r="AE25" s="62">
        <v>2.5</v>
      </c>
      <c r="AF25" s="62">
        <v>7.12</v>
      </c>
      <c r="AG25" s="62">
        <v>6.69</v>
      </c>
      <c r="AH25" s="62">
        <v>1.5</v>
      </c>
      <c r="AI25" s="62">
        <v>5.3</v>
      </c>
      <c r="AJ25" s="62">
        <v>5.53</v>
      </c>
      <c r="AK25" s="62">
        <v>0.09</v>
      </c>
      <c r="AL25" s="62">
        <v>7.0000000000000007E-2</v>
      </c>
      <c r="AM25" s="62">
        <v>1.84</v>
      </c>
      <c r="AN25" s="62">
        <v>0.32</v>
      </c>
      <c r="AO25" s="62">
        <v>0.81</v>
      </c>
      <c r="AP25" s="62">
        <v>1.1599999999999999</v>
      </c>
      <c r="AQ25" s="62">
        <v>2.2000000000000002</v>
      </c>
      <c r="AR25" s="62">
        <v>3.45</v>
      </c>
      <c r="AS25" s="62">
        <v>1.1200000000000001</v>
      </c>
      <c r="AT25" s="62">
        <v>0.72</v>
      </c>
      <c r="AU25" s="62">
        <v>3.01</v>
      </c>
      <c r="AW25" s="62">
        <v>0.14000000000000001</v>
      </c>
      <c r="AX25" s="62">
        <v>1.26</v>
      </c>
      <c r="AY25" s="62">
        <v>3.7</v>
      </c>
      <c r="AZ25" s="62">
        <v>15.2</v>
      </c>
      <c r="BB25" s="62">
        <v>0.83</v>
      </c>
      <c r="BC25" s="62">
        <v>2.8</v>
      </c>
      <c r="BD25" s="62">
        <v>1.18</v>
      </c>
      <c r="BE25" s="62">
        <v>2.52</v>
      </c>
      <c r="BF25" s="62">
        <v>2.1</v>
      </c>
      <c r="BG25" s="62">
        <v>4.24</v>
      </c>
      <c r="BH25" s="62">
        <v>1.33</v>
      </c>
      <c r="BI25" s="62">
        <v>1.43</v>
      </c>
      <c r="BJ25" s="62">
        <v>0.37</v>
      </c>
      <c r="BK25" s="62">
        <v>0.01</v>
      </c>
      <c r="BM25" s="62">
        <v>0.84</v>
      </c>
      <c r="BN25" s="62">
        <v>0.06</v>
      </c>
      <c r="BP25" s="62">
        <v>0.98</v>
      </c>
      <c r="BR25" s="62">
        <v>0.5</v>
      </c>
      <c r="BS25" s="62">
        <v>0.05</v>
      </c>
      <c r="BT25" s="62">
        <v>0.4</v>
      </c>
      <c r="BU25" s="62">
        <v>0.34</v>
      </c>
      <c r="BV25" s="62">
        <v>3.39</v>
      </c>
      <c r="BW25" s="62">
        <v>1.1499999999999999</v>
      </c>
      <c r="BX25" s="62">
        <v>0.01</v>
      </c>
      <c r="BY25" s="62">
        <v>1.48</v>
      </c>
      <c r="BZ25" s="62">
        <v>1.71</v>
      </c>
      <c r="CA25" s="62">
        <v>0.23</v>
      </c>
      <c r="CB25" s="62">
        <v>3.86</v>
      </c>
      <c r="CC25" s="62">
        <v>0.28000000000000003</v>
      </c>
      <c r="CD25" s="62">
        <v>7.3</v>
      </c>
      <c r="CE25" s="62">
        <v>4.9000000000000004</v>
      </c>
      <c r="CF25" s="62">
        <v>2.02</v>
      </c>
      <c r="CG25" s="62">
        <v>1.35</v>
      </c>
      <c r="CH25" s="62">
        <v>0.01</v>
      </c>
      <c r="CI25" s="62">
        <v>3.05</v>
      </c>
      <c r="CJ25" s="62">
        <v>0.8</v>
      </c>
      <c r="CK25" s="62">
        <v>1.3</v>
      </c>
      <c r="CL25" s="62">
        <v>3.69</v>
      </c>
      <c r="CM25" s="62">
        <v>4.7</v>
      </c>
      <c r="CN25" s="62">
        <v>0.19</v>
      </c>
      <c r="CO25" s="62">
        <v>0.51</v>
      </c>
      <c r="CP25" s="62">
        <v>0.96</v>
      </c>
      <c r="CQ25" s="62">
        <v>1.2</v>
      </c>
      <c r="CR25" s="62">
        <v>4.75</v>
      </c>
      <c r="CS25" s="62">
        <v>0.15</v>
      </c>
      <c r="CT25" s="62">
        <v>2.99</v>
      </c>
      <c r="CU25" s="62">
        <v>2.4500000000000002</v>
      </c>
      <c r="CV25" s="62">
        <v>1.64</v>
      </c>
      <c r="CW25" s="62">
        <v>3.53</v>
      </c>
      <c r="CX25" s="62">
        <v>2.4900000000000002</v>
      </c>
      <c r="CY25" s="62">
        <v>1.97</v>
      </c>
      <c r="CZ25" s="62">
        <v>0.68</v>
      </c>
      <c r="DA25" s="62">
        <v>0.7</v>
      </c>
      <c r="DB25" s="62">
        <v>3.34</v>
      </c>
      <c r="DC25" s="62">
        <v>6.75</v>
      </c>
      <c r="DE25" s="62">
        <v>2.15</v>
      </c>
      <c r="DF25" s="62">
        <v>1.6</v>
      </c>
      <c r="DG25" s="62">
        <v>0</v>
      </c>
      <c r="DI25" s="62">
        <v>2.65</v>
      </c>
      <c r="DJ25" s="62">
        <v>3.14</v>
      </c>
      <c r="DK25" s="62">
        <v>2.4500000000000002</v>
      </c>
      <c r="DL25" s="62">
        <v>1.7</v>
      </c>
      <c r="DM25" s="62">
        <v>2.5299999999999998</v>
      </c>
      <c r="DN25" s="62">
        <v>0.06</v>
      </c>
      <c r="DO25" s="62">
        <v>5.81</v>
      </c>
    </row>
    <row r="26" spans="1:119" x14ac:dyDescent="0.3">
      <c r="A26" s="64" t="s">
        <v>9068</v>
      </c>
      <c r="B26" s="62">
        <v>7.94</v>
      </c>
      <c r="C26" s="62">
        <v>0</v>
      </c>
      <c r="E26" s="62">
        <v>2.84</v>
      </c>
      <c r="F26" s="62">
        <v>0.05</v>
      </c>
      <c r="G26" s="62">
        <v>0</v>
      </c>
      <c r="H26" s="62">
        <v>1.1299999999999999</v>
      </c>
      <c r="I26" s="62">
        <v>0.81</v>
      </c>
      <c r="J26" s="62">
        <v>0.62</v>
      </c>
      <c r="K26" s="62">
        <v>5.4</v>
      </c>
      <c r="L26" s="62">
        <v>0.95</v>
      </c>
      <c r="M26" s="62">
        <v>2.35</v>
      </c>
      <c r="N26" s="62">
        <v>0.63</v>
      </c>
      <c r="O26" s="62">
        <v>0.01</v>
      </c>
      <c r="P26" s="62">
        <v>0.03</v>
      </c>
      <c r="Q26" s="62">
        <v>2.88</v>
      </c>
      <c r="R26" s="62">
        <v>3.15</v>
      </c>
      <c r="S26" s="62">
        <v>0.4</v>
      </c>
      <c r="T26" s="62">
        <v>0.63</v>
      </c>
      <c r="U26" s="62">
        <v>2.84</v>
      </c>
      <c r="V26" s="62">
        <v>5.5</v>
      </c>
      <c r="W26" s="62">
        <v>6.42</v>
      </c>
      <c r="X26" s="62">
        <v>5.18</v>
      </c>
      <c r="Y26" s="62">
        <v>0.12</v>
      </c>
      <c r="Z26" s="62">
        <v>0</v>
      </c>
      <c r="AA26" s="62">
        <v>5.5</v>
      </c>
      <c r="AB26" s="62">
        <v>13.57</v>
      </c>
      <c r="AC26" s="62">
        <v>2.5499999999999998</v>
      </c>
      <c r="AD26" s="62">
        <v>0.41</v>
      </c>
      <c r="AE26" s="62">
        <v>3.25</v>
      </c>
      <c r="AF26" s="62">
        <v>7.95</v>
      </c>
      <c r="AG26" s="62">
        <v>7.02</v>
      </c>
      <c r="AH26" s="62">
        <v>1.45</v>
      </c>
      <c r="AI26" s="62">
        <v>5.39</v>
      </c>
      <c r="AJ26" s="62">
        <v>5.87</v>
      </c>
      <c r="AK26" s="62">
        <v>0.1</v>
      </c>
      <c r="AL26" s="62">
        <v>7.0000000000000007E-2</v>
      </c>
      <c r="AM26" s="62">
        <v>1.88</v>
      </c>
      <c r="AN26" s="62">
        <v>0.37</v>
      </c>
      <c r="AO26" s="62">
        <v>0.83</v>
      </c>
      <c r="AP26" s="62">
        <v>1.19</v>
      </c>
      <c r="AQ26" s="62">
        <v>2.65</v>
      </c>
      <c r="AR26" s="62">
        <v>3.74</v>
      </c>
      <c r="AS26" s="62">
        <v>1.24</v>
      </c>
      <c r="AT26" s="62">
        <v>0.8</v>
      </c>
      <c r="AU26" s="62">
        <v>3.1</v>
      </c>
      <c r="AW26" s="62">
        <v>0.14000000000000001</v>
      </c>
      <c r="AX26" s="62">
        <v>1.35</v>
      </c>
      <c r="AY26" s="62">
        <v>4</v>
      </c>
      <c r="AZ26" s="62">
        <v>15.55</v>
      </c>
      <c r="BB26" s="62">
        <v>0.86</v>
      </c>
      <c r="BC26" s="62">
        <v>2.8</v>
      </c>
      <c r="BD26" s="62">
        <v>1.01</v>
      </c>
      <c r="BE26" s="62">
        <v>2.8</v>
      </c>
      <c r="BF26" s="62">
        <v>2.19</v>
      </c>
      <c r="BG26" s="62">
        <v>4.49</v>
      </c>
      <c r="BH26" s="62">
        <v>1.48</v>
      </c>
      <c r="BI26" s="62">
        <v>1.4</v>
      </c>
      <c r="BJ26" s="62">
        <v>0.39</v>
      </c>
      <c r="BK26" s="62">
        <v>0.01</v>
      </c>
      <c r="BM26" s="62">
        <v>0.85</v>
      </c>
      <c r="BN26" s="62">
        <v>0.08</v>
      </c>
      <c r="BP26" s="62">
        <v>0.96</v>
      </c>
      <c r="BR26" s="62">
        <v>0.44</v>
      </c>
      <c r="BS26" s="62">
        <v>0.04</v>
      </c>
      <c r="BT26" s="62">
        <v>0.43</v>
      </c>
      <c r="BU26" s="62">
        <v>0.33</v>
      </c>
      <c r="BV26" s="62">
        <v>3.62</v>
      </c>
      <c r="BW26" s="62">
        <v>1.22</v>
      </c>
      <c r="BX26" s="62">
        <v>0.01</v>
      </c>
      <c r="BY26" s="62">
        <v>1.52</v>
      </c>
      <c r="BZ26" s="62">
        <v>1.95</v>
      </c>
      <c r="CA26" s="62">
        <v>0.27</v>
      </c>
      <c r="CB26" s="62">
        <v>4.2699999999999996</v>
      </c>
      <c r="CC26" s="62">
        <v>0.33</v>
      </c>
      <c r="CD26" s="62">
        <v>7.8</v>
      </c>
      <c r="CE26" s="62">
        <v>4.95</v>
      </c>
      <c r="CF26" s="62">
        <v>2.11</v>
      </c>
      <c r="CG26" s="62">
        <v>1.42</v>
      </c>
      <c r="CH26" s="62">
        <v>0.01</v>
      </c>
      <c r="CI26" s="62">
        <v>3.03</v>
      </c>
      <c r="CJ26" s="62">
        <v>0.81</v>
      </c>
      <c r="CK26" s="62">
        <v>1.54</v>
      </c>
      <c r="CL26" s="62">
        <v>3.93</v>
      </c>
      <c r="CM26" s="62">
        <v>4.5</v>
      </c>
      <c r="CN26" s="62">
        <v>0.17</v>
      </c>
      <c r="CO26" s="62">
        <v>0.51</v>
      </c>
      <c r="CP26" s="62">
        <v>1</v>
      </c>
      <c r="CQ26" s="62">
        <v>1.3</v>
      </c>
      <c r="CR26" s="62">
        <v>4.3600000000000003</v>
      </c>
      <c r="CS26" s="62">
        <v>0.15</v>
      </c>
      <c r="CT26" s="62">
        <v>3.39</v>
      </c>
      <c r="CU26" s="62">
        <v>2.57</v>
      </c>
      <c r="CV26" s="62">
        <v>1.72</v>
      </c>
      <c r="CW26" s="62">
        <v>3.92</v>
      </c>
      <c r="CX26" s="62">
        <v>2.39</v>
      </c>
      <c r="CY26" s="62">
        <v>2</v>
      </c>
      <c r="CZ26" s="62">
        <v>0.66</v>
      </c>
      <c r="DA26" s="62">
        <v>0.77</v>
      </c>
      <c r="DB26" s="62">
        <v>3.46</v>
      </c>
      <c r="DC26" s="62">
        <v>6.75</v>
      </c>
      <c r="DE26" s="62">
        <v>2.23</v>
      </c>
      <c r="DF26" s="62">
        <v>1.65</v>
      </c>
      <c r="DG26" s="62">
        <v>0</v>
      </c>
      <c r="DI26" s="62">
        <v>2.7</v>
      </c>
      <c r="DJ26" s="62">
        <v>3.36</v>
      </c>
      <c r="DK26" s="62">
        <v>2.67</v>
      </c>
      <c r="DL26" s="62">
        <v>1.82</v>
      </c>
      <c r="DM26" s="62">
        <v>2.7</v>
      </c>
      <c r="DN26" s="62">
        <v>0.06</v>
      </c>
      <c r="DO26" s="62">
        <v>6.66</v>
      </c>
    </row>
    <row r="27" spans="1:119" x14ac:dyDescent="0.3">
      <c r="A27" s="64" t="s">
        <v>9069</v>
      </c>
      <c r="B27" s="62">
        <v>7.51</v>
      </c>
      <c r="C27" s="62">
        <v>0.01</v>
      </c>
      <c r="E27" s="62">
        <v>2.8</v>
      </c>
      <c r="F27" s="62">
        <v>0.05</v>
      </c>
      <c r="G27" s="62">
        <v>0</v>
      </c>
      <c r="H27" s="62">
        <v>1.1499999999999999</v>
      </c>
      <c r="I27" s="62">
        <v>0.91</v>
      </c>
      <c r="J27" s="62">
        <v>0.63</v>
      </c>
      <c r="K27" s="62">
        <v>5.3</v>
      </c>
      <c r="L27" s="62">
        <v>0.98</v>
      </c>
      <c r="M27" s="62">
        <v>2.34</v>
      </c>
      <c r="N27" s="62">
        <v>0.64</v>
      </c>
      <c r="O27" s="62">
        <v>0.01</v>
      </c>
      <c r="P27" s="62">
        <v>0.03</v>
      </c>
      <c r="Q27" s="62">
        <v>2.84</v>
      </c>
      <c r="R27" s="62">
        <v>2.82</v>
      </c>
      <c r="S27" s="62">
        <v>0.61</v>
      </c>
      <c r="T27" s="62">
        <v>0.6</v>
      </c>
      <c r="U27" s="62">
        <v>3.1</v>
      </c>
      <c r="V27" s="62">
        <v>5.55</v>
      </c>
      <c r="W27" s="62">
        <v>8.25</v>
      </c>
      <c r="X27" s="62">
        <v>4.99</v>
      </c>
      <c r="Y27" s="62">
        <v>0.11</v>
      </c>
      <c r="Z27" s="62">
        <v>0</v>
      </c>
      <c r="AA27" s="62">
        <v>5.35</v>
      </c>
      <c r="AB27" s="62">
        <v>14.66</v>
      </c>
      <c r="AC27" s="62">
        <v>2.2999999999999998</v>
      </c>
      <c r="AD27" s="62">
        <v>0.45</v>
      </c>
      <c r="AE27" s="62">
        <v>3</v>
      </c>
      <c r="AF27" s="62">
        <v>8.56</v>
      </c>
      <c r="AG27" s="62">
        <v>6.97</v>
      </c>
      <c r="AH27" s="62">
        <v>1.43</v>
      </c>
      <c r="AI27" s="62">
        <v>5.51</v>
      </c>
      <c r="AJ27" s="62">
        <v>6.26</v>
      </c>
      <c r="AK27" s="62">
        <v>0.11</v>
      </c>
      <c r="AL27" s="62">
        <v>7.0000000000000007E-2</v>
      </c>
      <c r="AM27" s="62">
        <v>1.96</v>
      </c>
      <c r="AN27" s="62">
        <v>0.38</v>
      </c>
      <c r="AO27" s="62">
        <v>0.77</v>
      </c>
      <c r="AP27" s="62">
        <v>1.24</v>
      </c>
      <c r="AQ27" s="62">
        <v>2.69</v>
      </c>
      <c r="AR27" s="62">
        <v>3.25</v>
      </c>
      <c r="AS27" s="62">
        <v>1.31</v>
      </c>
      <c r="AT27" s="62">
        <v>0.7</v>
      </c>
      <c r="AU27" s="62">
        <v>3.07</v>
      </c>
      <c r="AW27" s="62">
        <v>0.17</v>
      </c>
      <c r="AX27" s="62">
        <v>1.37</v>
      </c>
      <c r="AY27" s="62">
        <v>4.05</v>
      </c>
      <c r="AZ27" s="62">
        <v>15.55</v>
      </c>
      <c r="BB27" s="62">
        <v>0.88</v>
      </c>
      <c r="BC27" s="62">
        <v>2.8</v>
      </c>
      <c r="BD27" s="62">
        <v>1.01</v>
      </c>
      <c r="BE27" s="62">
        <v>2.9</v>
      </c>
      <c r="BF27" s="62">
        <v>2.35</v>
      </c>
      <c r="BG27" s="62">
        <v>4.29</v>
      </c>
      <c r="BH27" s="62">
        <v>1.65</v>
      </c>
      <c r="BI27" s="62">
        <v>1.43</v>
      </c>
      <c r="BJ27" s="62">
        <v>0.44</v>
      </c>
      <c r="BK27" s="62">
        <v>0.01</v>
      </c>
      <c r="BM27" s="62">
        <v>0.91</v>
      </c>
      <c r="BN27" s="62">
        <v>0.08</v>
      </c>
      <c r="BP27" s="62">
        <v>1.01</v>
      </c>
      <c r="BR27" s="62">
        <v>0.43</v>
      </c>
      <c r="BS27" s="62">
        <v>0.05</v>
      </c>
      <c r="BT27" s="62">
        <v>0.42</v>
      </c>
      <c r="BU27" s="62">
        <v>0.31</v>
      </c>
      <c r="BV27" s="62">
        <v>3.71</v>
      </c>
      <c r="BW27" s="62">
        <v>1.23</v>
      </c>
      <c r="BX27" s="62">
        <v>0.01</v>
      </c>
      <c r="BY27" s="62">
        <v>1.54</v>
      </c>
      <c r="BZ27" s="62">
        <v>1.93</v>
      </c>
      <c r="CA27" s="62">
        <v>0.24</v>
      </c>
      <c r="CB27" s="62">
        <v>4.12</v>
      </c>
      <c r="CC27" s="62">
        <v>0.3</v>
      </c>
      <c r="CD27" s="62">
        <v>7.9</v>
      </c>
      <c r="CE27" s="62">
        <v>5.7</v>
      </c>
      <c r="CF27" s="62">
        <v>2.23</v>
      </c>
      <c r="CG27" s="62">
        <v>1.42</v>
      </c>
      <c r="CH27" s="62">
        <v>0.01</v>
      </c>
      <c r="CI27" s="62">
        <v>3.07</v>
      </c>
      <c r="CJ27" s="62">
        <v>0.77</v>
      </c>
      <c r="CK27" s="62">
        <v>1.5</v>
      </c>
      <c r="CL27" s="62">
        <v>4.32</v>
      </c>
      <c r="CM27" s="62">
        <v>4.5999999999999996</v>
      </c>
      <c r="CN27" s="62">
        <v>0.15</v>
      </c>
      <c r="CO27" s="62">
        <v>0.53</v>
      </c>
      <c r="CP27" s="62">
        <v>0.94</v>
      </c>
      <c r="CQ27" s="62">
        <v>1.55</v>
      </c>
      <c r="CR27" s="62">
        <v>4.45</v>
      </c>
      <c r="CS27" s="62">
        <v>0.15</v>
      </c>
      <c r="CT27" s="62">
        <v>3.4</v>
      </c>
      <c r="CU27" s="62">
        <v>2.02</v>
      </c>
      <c r="CV27" s="62">
        <v>1.76</v>
      </c>
      <c r="CW27" s="62">
        <v>3.89</v>
      </c>
      <c r="CX27" s="62">
        <v>2.62</v>
      </c>
      <c r="CY27" s="62">
        <v>2</v>
      </c>
      <c r="CZ27" s="62">
        <v>0.66</v>
      </c>
      <c r="DA27" s="62">
        <v>1.17</v>
      </c>
      <c r="DB27" s="62">
        <v>3.75</v>
      </c>
      <c r="DC27" s="62">
        <v>6.75</v>
      </c>
      <c r="DE27" s="62">
        <v>2.1800000000000002</v>
      </c>
      <c r="DF27" s="62">
        <v>1.56</v>
      </c>
      <c r="DG27" s="62">
        <v>0</v>
      </c>
      <c r="DI27" s="62">
        <v>3.05</v>
      </c>
      <c r="DJ27" s="62">
        <v>3.1</v>
      </c>
      <c r="DK27" s="62">
        <v>2.94</v>
      </c>
      <c r="DL27" s="62">
        <v>1.87</v>
      </c>
      <c r="DM27" s="62">
        <v>2.6</v>
      </c>
      <c r="DN27" s="62">
        <v>7.0000000000000007E-2</v>
      </c>
      <c r="DO27" s="62">
        <v>6.7</v>
      </c>
    </row>
    <row r="28" spans="1:119" x14ac:dyDescent="0.3">
      <c r="A28" s="64" t="s">
        <v>9070</v>
      </c>
      <c r="B28" s="62">
        <v>7.32</v>
      </c>
      <c r="C28" s="62">
        <v>0.01</v>
      </c>
      <c r="D28" s="62">
        <v>3.16</v>
      </c>
      <c r="E28" s="62">
        <v>2.95</v>
      </c>
      <c r="F28" s="62">
        <v>0.05</v>
      </c>
      <c r="G28" s="62">
        <v>0</v>
      </c>
      <c r="H28" s="62">
        <v>1.1499999999999999</v>
      </c>
      <c r="I28" s="62">
        <v>0.9</v>
      </c>
      <c r="J28" s="62">
        <v>0.68</v>
      </c>
      <c r="K28" s="62">
        <v>5.75</v>
      </c>
      <c r="L28" s="62">
        <v>1</v>
      </c>
      <c r="M28" s="62">
        <v>2.2999999999999998</v>
      </c>
      <c r="N28" s="62">
        <v>0.63</v>
      </c>
      <c r="O28" s="62">
        <v>0.01</v>
      </c>
      <c r="P28" s="62">
        <v>0.03</v>
      </c>
      <c r="Q28" s="62">
        <v>2.87</v>
      </c>
      <c r="R28" s="62">
        <v>2.7</v>
      </c>
      <c r="S28" s="62">
        <v>0.61</v>
      </c>
      <c r="T28" s="62">
        <v>0.6</v>
      </c>
      <c r="U28" s="62">
        <v>3.91</v>
      </c>
      <c r="V28" s="62">
        <v>5.5</v>
      </c>
      <c r="W28" s="62">
        <v>8.4</v>
      </c>
      <c r="X28" s="62">
        <v>4.74</v>
      </c>
      <c r="Y28" s="62">
        <v>0.12</v>
      </c>
      <c r="Z28" s="62">
        <v>0.01</v>
      </c>
      <c r="AA28" s="62">
        <v>5.9</v>
      </c>
      <c r="AB28" s="62">
        <v>13.75</v>
      </c>
      <c r="AC28" s="62">
        <v>2.3199999999999998</v>
      </c>
      <c r="AD28" s="62">
        <v>0.48</v>
      </c>
      <c r="AE28" s="62">
        <v>2.8</v>
      </c>
      <c r="AF28" s="62">
        <v>8.9</v>
      </c>
      <c r="AG28" s="62">
        <v>7.03</v>
      </c>
      <c r="AH28" s="62">
        <v>1.45</v>
      </c>
      <c r="AI28" s="62">
        <v>6</v>
      </c>
      <c r="AJ28" s="62">
        <v>6.21</v>
      </c>
      <c r="AK28" s="62">
        <v>0.11</v>
      </c>
      <c r="AL28" s="62">
        <v>7.0000000000000007E-2</v>
      </c>
      <c r="AM28" s="62">
        <v>1.93</v>
      </c>
      <c r="AN28" s="62">
        <v>0.49</v>
      </c>
      <c r="AO28" s="62">
        <v>0.77</v>
      </c>
      <c r="AP28" s="62">
        <v>1.24</v>
      </c>
      <c r="AQ28" s="62">
        <v>2.54</v>
      </c>
      <c r="AR28" s="62">
        <v>3.35</v>
      </c>
      <c r="AS28" s="62">
        <v>1.31</v>
      </c>
      <c r="AT28" s="62">
        <v>0.7</v>
      </c>
      <c r="AU28" s="62">
        <v>3.27</v>
      </c>
      <c r="AW28" s="62">
        <v>0.17</v>
      </c>
      <c r="AX28" s="62">
        <v>1.34</v>
      </c>
      <c r="AY28" s="62">
        <v>4.0599999999999996</v>
      </c>
      <c r="AZ28" s="62">
        <v>15.36</v>
      </c>
      <c r="BB28" s="62">
        <v>0.84</v>
      </c>
      <c r="BC28" s="62">
        <v>2.86</v>
      </c>
      <c r="BD28" s="62">
        <v>0.86</v>
      </c>
      <c r="BE28" s="62">
        <v>2.78</v>
      </c>
      <c r="BF28" s="62">
        <v>2.39</v>
      </c>
      <c r="BG28" s="62">
        <v>4.63</v>
      </c>
      <c r="BH28" s="62">
        <v>1.72</v>
      </c>
      <c r="BI28" s="62">
        <v>1.45</v>
      </c>
      <c r="BJ28" s="62">
        <v>0.68</v>
      </c>
      <c r="BK28" s="62">
        <v>0.01</v>
      </c>
      <c r="BM28" s="62">
        <v>0.85</v>
      </c>
      <c r="BN28" s="62">
        <v>0.09</v>
      </c>
      <c r="BP28" s="62">
        <v>1.07</v>
      </c>
      <c r="BR28" s="62">
        <v>0.52</v>
      </c>
      <c r="BS28" s="62">
        <v>0.04</v>
      </c>
      <c r="BT28" s="62">
        <v>0.42</v>
      </c>
      <c r="BU28" s="62">
        <v>0.44</v>
      </c>
      <c r="BV28" s="62">
        <v>3.74</v>
      </c>
      <c r="BW28" s="62">
        <v>1.25</v>
      </c>
      <c r="BX28" s="62">
        <v>0.01</v>
      </c>
      <c r="BY28" s="62">
        <v>1.59</v>
      </c>
      <c r="BZ28" s="62">
        <v>1.75</v>
      </c>
      <c r="CA28" s="62">
        <v>0.31</v>
      </c>
      <c r="CB28" s="62">
        <v>4.34</v>
      </c>
      <c r="CC28" s="62">
        <v>0.28999999999999998</v>
      </c>
      <c r="CD28" s="62">
        <v>8.5</v>
      </c>
      <c r="CE28" s="62">
        <v>5.6</v>
      </c>
      <c r="CF28" s="62">
        <v>2.46</v>
      </c>
      <c r="CG28" s="62">
        <v>1.48</v>
      </c>
      <c r="CH28" s="62">
        <v>0.01</v>
      </c>
      <c r="CI28" s="62">
        <v>3.14</v>
      </c>
      <c r="CJ28" s="62">
        <v>0.9</v>
      </c>
      <c r="CK28" s="62">
        <v>1.51</v>
      </c>
      <c r="CL28" s="62">
        <v>4.38</v>
      </c>
      <c r="CM28" s="62">
        <v>4.59</v>
      </c>
      <c r="CN28" s="62">
        <v>0.13</v>
      </c>
      <c r="CO28" s="62">
        <v>0.56000000000000005</v>
      </c>
      <c r="CP28" s="62">
        <v>0.92</v>
      </c>
      <c r="CQ28" s="62">
        <v>1.55</v>
      </c>
      <c r="CR28" s="62">
        <v>4.43</v>
      </c>
      <c r="CS28" s="62">
        <v>0.17</v>
      </c>
      <c r="CT28" s="62">
        <v>3.3</v>
      </c>
      <c r="CU28" s="62">
        <v>2.0699999999999998</v>
      </c>
      <c r="CV28" s="62">
        <v>1.8</v>
      </c>
      <c r="CW28" s="62">
        <v>4.08</v>
      </c>
      <c r="CX28" s="62">
        <v>3.16</v>
      </c>
      <c r="CY28" s="62">
        <v>2.1</v>
      </c>
      <c r="CZ28" s="62">
        <v>0.69</v>
      </c>
      <c r="DA28" s="62">
        <v>1.86</v>
      </c>
      <c r="DB28" s="62">
        <v>3.75</v>
      </c>
      <c r="DC28" s="62">
        <v>6.75</v>
      </c>
      <c r="DE28" s="62">
        <v>2.19</v>
      </c>
      <c r="DF28" s="62">
        <v>1.52</v>
      </c>
      <c r="DG28" s="62">
        <v>0</v>
      </c>
      <c r="DI28" s="62">
        <v>3</v>
      </c>
      <c r="DJ28" s="62">
        <v>3.17</v>
      </c>
      <c r="DK28" s="62">
        <v>2.88</v>
      </c>
      <c r="DL28" s="62">
        <v>1.85</v>
      </c>
      <c r="DM28" s="62">
        <v>2.67</v>
      </c>
      <c r="DN28" s="62">
        <v>0.08</v>
      </c>
      <c r="DO28" s="62">
        <v>6.76</v>
      </c>
    </row>
    <row r="29" spans="1:119" x14ac:dyDescent="0.3">
      <c r="A29" s="64" t="s">
        <v>9071</v>
      </c>
      <c r="B29" s="62">
        <v>6.79</v>
      </c>
      <c r="C29" s="62">
        <v>0.01</v>
      </c>
      <c r="D29" s="62">
        <v>2.8</v>
      </c>
      <c r="E29" s="62">
        <v>2.95</v>
      </c>
      <c r="F29" s="62">
        <v>0.05</v>
      </c>
      <c r="G29" s="62">
        <v>0</v>
      </c>
      <c r="H29" s="62">
        <v>1.1399999999999999</v>
      </c>
      <c r="I29" s="62">
        <v>0.88</v>
      </c>
      <c r="J29" s="62">
        <v>0.63</v>
      </c>
      <c r="K29" s="62">
        <v>5.58</v>
      </c>
      <c r="L29" s="62">
        <v>0.99</v>
      </c>
      <c r="M29" s="62">
        <v>2.25</v>
      </c>
      <c r="N29" s="62">
        <v>0.63</v>
      </c>
      <c r="O29" s="62">
        <v>0.01</v>
      </c>
      <c r="P29" s="62">
        <v>0.03</v>
      </c>
      <c r="Q29" s="62">
        <v>2.89</v>
      </c>
      <c r="R29" s="62">
        <v>2.5099999999999998</v>
      </c>
      <c r="S29" s="62">
        <v>0.55000000000000004</v>
      </c>
      <c r="T29" s="62">
        <v>0.61</v>
      </c>
      <c r="U29" s="62">
        <v>3.77</v>
      </c>
      <c r="V29" s="62">
        <v>5.44</v>
      </c>
      <c r="W29" s="62">
        <v>8.6999999999999993</v>
      </c>
      <c r="X29" s="62">
        <v>4.6100000000000003</v>
      </c>
      <c r="Y29" s="62">
        <v>0.12</v>
      </c>
      <c r="Z29" s="62">
        <v>0.01</v>
      </c>
      <c r="AA29" s="62">
        <v>5.87</v>
      </c>
      <c r="AB29" s="62">
        <v>13.59</v>
      </c>
      <c r="AC29" s="62">
        <v>1.96</v>
      </c>
      <c r="AD29" s="62">
        <v>0.47</v>
      </c>
      <c r="AE29" s="62">
        <v>2.4</v>
      </c>
      <c r="AF29" s="62">
        <v>8.69</v>
      </c>
      <c r="AG29" s="62">
        <v>6.7</v>
      </c>
      <c r="AH29" s="62">
        <v>1.45</v>
      </c>
      <c r="AI29" s="62">
        <v>5.95</v>
      </c>
      <c r="AJ29" s="62">
        <v>6.38</v>
      </c>
      <c r="AK29" s="62">
        <v>0.09</v>
      </c>
      <c r="AL29" s="62">
        <v>7.0000000000000007E-2</v>
      </c>
      <c r="AM29" s="62">
        <v>1.86</v>
      </c>
      <c r="AN29" s="62">
        <v>0.42</v>
      </c>
      <c r="AO29" s="62">
        <v>0.77</v>
      </c>
      <c r="AP29" s="62">
        <v>1.26</v>
      </c>
      <c r="AQ29" s="62">
        <v>2.5</v>
      </c>
      <c r="AR29" s="62">
        <v>3.34</v>
      </c>
      <c r="AS29" s="62">
        <v>1.22</v>
      </c>
      <c r="AT29" s="62">
        <v>0.72</v>
      </c>
      <c r="AU29" s="62">
        <v>3.11</v>
      </c>
      <c r="AW29" s="62">
        <v>0.14000000000000001</v>
      </c>
      <c r="AX29" s="62">
        <v>1.36</v>
      </c>
      <c r="AY29" s="62">
        <v>4.01</v>
      </c>
      <c r="AZ29" s="62">
        <v>15</v>
      </c>
      <c r="BB29" s="62">
        <v>0.81</v>
      </c>
      <c r="BC29" s="62">
        <v>2.9</v>
      </c>
      <c r="BD29" s="62">
        <v>0.86</v>
      </c>
      <c r="BE29" s="62">
        <v>2.66</v>
      </c>
      <c r="BF29" s="62">
        <v>2.35</v>
      </c>
      <c r="BG29" s="62">
        <v>4.42</v>
      </c>
      <c r="BH29" s="62">
        <v>1.62</v>
      </c>
      <c r="BI29" s="62">
        <v>1.44</v>
      </c>
      <c r="BJ29" s="62">
        <v>0.59</v>
      </c>
      <c r="BK29" s="62">
        <v>0.01</v>
      </c>
      <c r="BM29" s="62">
        <v>0.84</v>
      </c>
      <c r="BN29" s="62">
        <v>0.08</v>
      </c>
      <c r="BP29" s="62">
        <v>1.05</v>
      </c>
      <c r="BR29" s="62">
        <v>0.43</v>
      </c>
      <c r="BS29" s="62">
        <v>0.03</v>
      </c>
      <c r="BT29" s="62">
        <v>0.41</v>
      </c>
      <c r="BU29" s="62">
        <v>0.47</v>
      </c>
      <c r="BV29" s="62">
        <v>3.7</v>
      </c>
      <c r="BW29" s="62">
        <v>1.23</v>
      </c>
      <c r="BX29" s="62">
        <v>0</v>
      </c>
      <c r="BY29" s="62">
        <v>1.62</v>
      </c>
      <c r="BZ29" s="62">
        <v>1.75</v>
      </c>
      <c r="CA29" s="62">
        <v>0.26</v>
      </c>
      <c r="CB29" s="62">
        <v>4.13</v>
      </c>
      <c r="CC29" s="62">
        <v>0.21</v>
      </c>
      <c r="CD29" s="62">
        <v>7.89</v>
      </c>
      <c r="CE29" s="62">
        <v>5.7</v>
      </c>
      <c r="CF29" s="62">
        <v>2.2799999999999998</v>
      </c>
      <c r="CG29" s="62">
        <v>1.44</v>
      </c>
      <c r="CH29" s="62">
        <v>0.01</v>
      </c>
      <c r="CI29" s="62">
        <v>3.35</v>
      </c>
      <c r="CJ29" s="62">
        <v>0.83</v>
      </c>
      <c r="CK29" s="62">
        <v>1.45</v>
      </c>
      <c r="CL29" s="62">
        <v>4.6500000000000004</v>
      </c>
      <c r="CM29" s="62">
        <v>4.55</v>
      </c>
      <c r="CN29" s="62">
        <v>0.11</v>
      </c>
      <c r="CO29" s="62">
        <v>0.54</v>
      </c>
      <c r="CP29" s="62">
        <v>0.87</v>
      </c>
      <c r="CQ29" s="62">
        <v>1.5</v>
      </c>
      <c r="CR29" s="62">
        <v>4.3</v>
      </c>
      <c r="CS29" s="62">
        <v>0.12</v>
      </c>
      <c r="CT29" s="62">
        <v>3.36</v>
      </c>
      <c r="CU29" s="62">
        <v>2</v>
      </c>
      <c r="CV29" s="62">
        <v>1.79</v>
      </c>
      <c r="CW29" s="62">
        <v>4</v>
      </c>
      <c r="CX29" s="62">
        <v>2.88</v>
      </c>
      <c r="CY29" s="62">
        <v>2.1</v>
      </c>
      <c r="CZ29" s="62">
        <v>0.64</v>
      </c>
      <c r="DA29" s="62">
        <v>1.74</v>
      </c>
      <c r="DB29" s="62">
        <v>3.77</v>
      </c>
      <c r="DC29" s="62">
        <v>6.75</v>
      </c>
      <c r="DE29" s="62">
        <v>2.2400000000000002</v>
      </c>
      <c r="DF29" s="62">
        <v>1.46</v>
      </c>
      <c r="DG29" s="62">
        <v>0</v>
      </c>
      <c r="DI29" s="62">
        <v>2.9</v>
      </c>
      <c r="DJ29" s="62">
        <v>3.19</v>
      </c>
      <c r="DK29" s="62">
        <v>2.6</v>
      </c>
      <c r="DL29" s="62">
        <v>1.89</v>
      </c>
      <c r="DM29" s="62">
        <v>2.67</v>
      </c>
      <c r="DN29" s="62">
        <v>0.06</v>
      </c>
      <c r="DO29" s="62">
        <v>6.74</v>
      </c>
    </row>
    <row r="30" spans="1:119" x14ac:dyDescent="0.3">
      <c r="A30" s="64" t="s">
        <v>9072</v>
      </c>
      <c r="B30" s="62">
        <v>6.94</v>
      </c>
      <c r="C30" s="62">
        <v>0.01</v>
      </c>
      <c r="D30" s="62">
        <v>2.64</v>
      </c>
      <c r="E30" s="62">
        <v>2.77</v>
      </c>
      <c r="F30" s="62">
        <v>0.05</v>
      </c>
      <c r="G30" s="62">
        <v>0</v>
      </c>
      <c r="H30" s="62">
        <v>1.1399999999999999</v>
      </c>
      <c r="I30" s="62">
        <v>0.88</v>
      </c>
      <c r="J30" s="62">
        <v>0.63</v>
      </c>
      <c r="K30" s="62">
        <v>6.28</v>
      </c>
      <c r="L30" s="62">
        <v>0.97</v>
      </c>
      <c r="M30" s="62">
        <v>2.15</v>
      </c>
      <c r="N30" s="62">
        <v>0.63</v>
      </c>
      <c r="O30" s="62">
        <v>0.01</v>
      </c>
      <c r="P30" s="62">
        <v>0.03</v>
      </c>
      <c r="Q30" s="62">
        <v>2.95</v>
      </c>
      <c r="R30" s="62">
        <v>1.94</v>
      </c>
      <c r="S30" s="62">
        <v>0.52</v>
      </c>
      <c r="T30" s="62">
        <v>0.64</v>
      </c>
      <c r="U30" s="62">
        <v>3.9</v>
      </c>
      <c r="V30" s="62">
        <v>5.5</v>
      </c>
      <c r="W30" s="62">
        <v>9.1999999999999993</v>
      </c>
      <c r="X30" s="62">
        <v>4.47</v>
      </c>
      <c r="Y30" s="62">
        <v>0.11</v>
      </c>
      <c r="Z30" s="62">
        <v>0.01</v>
      </c>
      <c r="AA30" s="62">
        <v>5.9</v>
      </c>
      <c r="AB30" s="62">
        <v>16.100000000000001</v>
      </c>
      <c r="AC30" s="62">
        <v>2</v>
      </c>
      <c r="AD30" s="62">
        <v>0.46</v>
      </c>
      <c r="AE30" s="62">
        <v>2.2999999999999998</v>
      </c>
      <c r="AF30" s="62">
        <v>9.1</v>
      </c>
      <c r="AG30" s="62">
        <v>6.73</v>
      </c>
      <c r="AH30" s="62">
        <v>1.42</v>
      </c>
      <c r="AI30" s="62">
        <v>5.95</v>
      </c>
      <c r="AJ30" s="62">
        <v>6.05</v>
      </c>
      <c r="AK30" s="62">
        <v>0.08</v>
      </c>
      <c r="AL30" s="62">
        <v>7.0000000000000007E-2</v>
      </c>
      <c r="AM30" s="62">
        <v>1.95</v>
      </c>
      <c r="AN30" s="62">
        <v>0.39</v>
      </c>
      <c r="AO30" s="62">
        <v>0.57999999999999996</v>
      </c>
      <c r="AP30" s="62">
        <v>1.25</v>
      </c>
      <c r="AQ30" s="62">
        <v>2.6</v>
      </c>
      <c r="AR30" s="62">
        <v>2.9</v>
      </c>
      <c r="AS30" s="62">
        <v>1.1499999999999999</v>
      </c>
      <c r="AT30" s="62">
        <v>0.69</v>
      </c>
      <c r="AU30" s="62">
        <v>3.09</v>
      </c>
      <c r="AW30" s="62">
        <v>0.19</v>
      </c>
      <c r="AX30" s="62">
        <v>1.36</v>
      </c>
      <c r="AY30" s="62">
        <v>3</v>
      </c>
      <c r="AZ30" s="62">
        <v>14.68</v>
      </c>
      <c r="BB30" s="62">
        <v>0.82</v>
      </c>
      <c r="BC30" s="62">
        <v>2.88</v>
      </c>
      <c r="BD30" s="62">
        <v>0.67</v>
      </c>
      <c r="BE30" s="62">
        <v>2.63</v>
      </c>
      <c r="BF30" s="62">
        <v>2.48</v>
      </c>
      <c r="BG30" s="62">
        <v>4.76</v>
      </c>
      <c r="BH30" s="62">
        <v>1.56</v>
      </c>
      <c r="BI30" s="62">
        <v>1.5</v>
      </c>
      <c r="BJ30" s="62">
        <v>0.54</v>
      </c>
      <c r="BK30" s="62">
        <v>0</v>
      </c>
      <c r="BM30" s="62">
        <v>0.9</v>
      </c>
      <c r="BN30" s="62">
        <v>0.09</v>
      </c>
      <c r="BP30" s="62">
        <v>1.01</v>
      </c>
      <c r="BR30" s="62">
        <v>0.51</v>
      </c>
      <c r="BS30" s="62">
        <v>0.04</v>
      </c>
      <c r="BT30" s="62">
        <v>0.42</v>
      </c>
      <c r="BU30" s="62">
        <v>0.37</v>
      </c>
      <c r="BV30" s="62">
        <v>3.65</v>
      </c>
      <c r="BW30" s="62">
        <v>1.21</v>
      </c>
      <c r="BX30" s="62">
        <v>0</v>
      </c>
      <c r="BY30" s="62">
        <v>1.6</v>
      </c>
      <c r="BZ30" s="62">
        <v>1.7</v>
      </c>
      <c r="CA30" s="62">
        <v>0.23</v>
      </c>
      <c r="CB30" s="62">
        <v>4.09</v>
      </c>
      <c r="CC30" s="62">
        <v>0.23</v>
      </c>
      <c r="CD30" s="62">
        <v>8.08</v>
      </c>
      <c r="CE30" s="62">
        <v>6.4</v>
      </c>
      <c r="CF30" s="62">
        <v>2.35</v>
      </c>
      <c r="CG30" s="62">
        <v>1.46</v>
      </c>
      <c r="CH30" s="62">
        <v>0.01</v>
      </c>
      <c r="CI30" s="62">
        <v>3.45</v>
      </c>
      <c r="CJ30" s="62">
        <v>0.74</v>
      </c>
      <c r="CK30" s="62">
        <v>1.3</v>
      </c>
      <c r="CL30" s="62">
        <v>4.37</v>
      </c>
      <c r="CM30" s="62">
        <v>4.17</v>
      </c>
      <c r="CN30" s="62">
        <v>0.12</v>
      </c>
      <c r="CO30" s="62">
        <v>0.51</v>
      </c>
      <c r="CP30" s="62">
        <v>0.79</v>
      </c>
      <c r="CQ30" s="62">
        <v>1.74</v>
      </c>
      <c r="CR30" s="62">
        <v>4.6500000000000004</v>
      </c>
      <c r="CS30" s="62">
        <v>0.12</v>
      </c>
      <c r="CT30" s="62">
        <v>3.52</v>
      </c>
      <c r="CU30" s="62">
        <v>2.16</v>
      </c>
      <c r="CV30" s="62">
        <v>1.77</v>
      </c>
      <c r="CW30" s="62">
        <v>3.92</v>
      </c>
      <c r="CX30" s="62">
        <v>2.7</v>
      </c>
      <c r="CY30" s="62">
        <v>2.1</v>
      </c>
      <c r="CZ30" s="62">
        <v>0.66</v>
      </c>
      <c r="DA30" s="62">
        <v>1.78</v>
      </c>
      <c r="DB30" s="62">
        <v>3.58</v>
      </c>
      <c r="DC30" s="62">
        <v>6.75</v>
      </c>
      <c r="DE30" s="62">
        <v>2.4</v>
      </c>
      <c r="DF30" s="62">
        <v>1.26</v>
      </c>
      <c r="DG30" s="62">
        <v>0</v>
      </c>
      <c r="DI30" s="62">
        <v>2.7</v>
      </c>
      <c r="DJ30" s="62">
        <v>3.27</v>
      </c>
      <c r="DK30" s="62">
        <v>2.38</v>
      </c>
      <c r="DL30" s="62">
        <v>1.9</v>
      </c>
      <c r="DM30" s="62">
        <v>2.66</v>
      </c>
      <c r="DN30" s="62">
        <v>0.08</v>
      </c>
      <c r="DO30" s="62">
        <v>6.49</v>
      </c>
    </row>
    <row r="31" spans="1:119" x14ac:dyDescent="0.3">
      <c r="A31" s="64" t="s">
        <v>9073</v>
      </c>
      <c r="B31" s="62">
        <v>6.92</v>
      </c>
      <c r="C31" s="62">
        <v>0.01</v>
      </c>
      <c r="D31" s="62">
        <v>2.81</v>
      </c>
      <c r="E31" s="62">
        <v>2.85</v>
      </c>
      <c r="F31" s="62">
        <v>0.05</v>
      </c>
      <c r="G31" s="62">
        <v>0</v>
      </c>
      <c r="H31" s="62">
        <v>1.17</v>
      </c>
      <c r="I31" s="62">
        <v>0.99</v>
      </c>
      <c r="J31" s="62">
        <v>0.67</v>
      </c>
      <c r="K31" s="62">
        <v>6.32</v>
      </c>
      <c r="L31" s="62">
        <v>1.05</v>
      </c>
      <c r="M31" s="62">
        <v>2.35</v>
      </c>
      <c r="N31" s="62">
        <v>0.64</v>
      </c>
      <c r="O31" s="62">
        <v>0.01</v>
      </c>
      <c r="P31" s="62">
        <v>0.03</v>
      </c>
      <c r="Q31" s="62">
        <v>3</v>
      </c>
      <c r="R31" s="62">
        <v>2.15</v>
      </c>
      <c r="S31" s="62">
        <v>0.56999999999999995</v>
      </c>
      <c r="T31" s="62">
        <v>0.63</v>
      </c>
      <c r="U31" s="62">
        <v>4.0199999999999996</v>
      </c>
      <c r="V31" s="62">
        <v>6.25</v>
      </c>
      <c r="W31" s="62">
        <v>10.01</v>
      </c>
      <c r="X31" s="62">
        <v>4.99</v>
      </c>
      <c r="Y31" s="62">
        <v>0.11</v>
      </c>
      <c r="Z31" s="62">
        <v>0.01</v>
      </c>
      <c r="AA31" s="62">
        <v>5.8</v>
      </c>
      <c r="AB31" s="62">
        <v>17.03</v>
      </c>
      <c r="AC31" s="62">
        <v>2.75</v>
      </c>
      <c r="AD31" s="62">
        <v>0.49</v>
      </c>
      <c r="AE31" s="62">
        <v>2.25</v>
      </c>
      <c r="AF31" s="62">
        <v>9.75</v>
      </c>
      <c r="AG31" s="62">
        <v>7.29</v>
      </c>
      <c r="AH31" s="62">
        <v>1.4</v>
      </c>
      <c r="AI31" s="62">
        <v>5.94</v>
      </c>
      <c r="AJ31" s="62">
        <v>6.29</v>
      </c>
      <c r="AK31" s="62">
        <v>7.0000000000000007E-2</v>
      </c>
      <c r="AL31" s="62">
        <v>7.0000000000000007E-2</v>
      </c>
      <c r="AM31" s="62">
        <v>2.04</v>
      </c>
      <c r="AN31" s="62">
        <v>0.44</v>
      </c>
      <c r="AO31" s="62">
        <v>0.57999999999999996</v>
      </c>
      <c r="AP31" s="62">
        <v>1.34</v>
      </c>
      <c r="AQ31" s="62">
        <v>2.7</v>
      </c>
      <c r="AR31" s="62">
        <v>3.05</v>
      </c>
      <c r="AS31" s="62">
        <v>1.21</v>
      </c>
      <c r="AT31" s="62">
        <v>0.63</v>
      </c>
      <c r="AU31" s="62">
        <v>3.27</v>
      </c>
      <c r="AW31" s="62">
        <v>0.17</v>
      </c>
      <c r="AX31" s="62">
        <v>1.44</v>
      </c>
      <c r="AY31" s="62">
        <v>2.2000000000000002</v>
      </c>
      <c r="AZ31" s="62">
        <v>15.73</v>
      </c>
      <c r="BB31" s="62">
        <v>0.81</v>
      </c>
      <c r="BC31" s="62">
        <v>3.06</v>
      </c>
      <c r="BD31" s="62">
        <v>0.49</v>
      </c>
      <c r="BE31" s="62">
        <v>2.86</v>
      </c>
      <c r="BF31" s="62">
        <v>2.61</v>
      </c>
      <c r="BG31" s="62">
        <v>5.19</v>
      </c>
      <c r="BH31" s="62">
        <v>1.7</v>
      </c>
      <c r="BI31" s="62">
        <v>1.6</v>
      </c>
      <c r="BJ31" s="62">
        <v>0.64</v>
      </c>
      <c r="BK31" s="62">
        <v>0</v>
      </c>
      <c r="BM31" s="62">
        <v>0.96</v>
      </c>
      <c r="BN31" s="62">
        <v>0.08</v>
      </c>
      <c r="BP31" s="62">
        <v>1.03</v>
      </c>
      <c r="BR31" s="62">
        <v>0.66</v>
      </c>
      <c r="BS31" s="62">
        <v>0.05</v>
      </c>
      <c r="BT31" s="62">
        <v>0.4</v>
      </c>
      <c r="BU31" s="62">
        <v>0.42</v>
      </c>
      <c r="BV31" s="62">
        <v>3.7</v>
      </c>
      <c r="BW31" s="62">
        <v>1.26</v>
      </c>
      <c r="BX31" s="62">
        <v>0</v>
      </c>
      <c r="BY31" s="62">
        <v>1.62</v>
      </c>
      <c r="BZ31" s="62">
        <v>2.2999999999999998</v>
      </c>
      <c r="CA31" s="62">
        <v>0.25</v>
      </c>
      <c r="CB31" s="62">
        <v>4.7699999999999996</v>
      </c>
      <c r="CC31" s="62">
        <v>0.25</v>
      </c>
      <c r="CD31" s="62">
        <v>8.41</v>
      </c>
      <c r="CE31" s="62">
        <v>6.2</v>
      </c>
      <c r="CF31" s="62">
        <v>3.08</v>
      </c>
      <c r="CG31" s="62">
        <v>1.67</v>
      </c>
      <c r="CH31" s="62">
        <v>0.01</v>
      </c>
      <c r="CI31" s="62">
        <v>3.44</v>
      </c>
      <c r="CJ31" s="62">
        <v>0.66</v>
      </c>
      <c r="CK31" s="62">
        <v>1.33</v>
      </c>
      <c r="CL31" s="62">
        <v>4.9400000000000004</v>
      </c>
      <c r="CM31" s="62">
        <v>4.99</v>
      </c>
      <c r="CN31" s="62">
        <v>0.18</v>
      </c>
      <c r="CO31" s="62">
        <v>0.53</v>
      </c>
      <c r="CP31" s="62">
        <v>0.65</v>
      </c>
      <c r="CQ31" s="62">
        <v>1.95</v>
      </c>
      <c r="CR31" s="62">
        <v>4.55</v>
      </c>
      <c r="CS31" s="62">
        <v>0.12</v>
      </c>
      <c r="CT31" s="62">
        <v>3.56</v>
      </c>
      <c r="CU31" s="62">
        <v>2.0699999999999998</v>
      </c>
      <c r="CV31" s="62">
        <v>1.84</v>
      </c>
      <c r="CW31" s="62">
        <v>4.38</v>
      </c>
      <c r="CX31" s="62">
        <v>3.29</v>
      </c>
      <c r="CY31" s="62">
        <v>2.16</v>
      </c>
      <c r="CZ31" s="62">
        <v>0.75</v>
      </c>
      <c r="DA31" s="62">
        <v>1.9</v>
      </c>
      <c r="DB31" s="62">
        <v>3.12</v>
      </c>
      <c r="DC31" s="62">
        <v>6.75</v>
      </c>
      <c r="DE31" s="62">
        <v>2.66</v>
      </c>
      <c r="DF31" s="62">
        <v>1.42</v>
      </c>
      <c r="DG31" s="62">
        <v>0</v>
      </c>
      <c r="DI31" s="62">
        <v>3.01</v>
      </c>
      <c r="DJ31" s="62">
        <v>3.3</v>
      </c>
      <c r="DK31" s="62">
        <v>2.7</v>
      </c>
      <c r="DL31" s="62">
        <v>2.04</v>
      </c>
      <c r="DM31" s="62">
        <v>2.8</v>
      </c>
      <c r="DN31" s="62">
        <v>0.1</v>
      </c>
      <c r="DO31" s="62">
        <v>6.85</v>
      </c>
    </row>
    <row r="32" spans="1:119" x14ac:dyDescent="0.3">
      <c r="A32" s="64" t="s">
        <v>9074</v>
      </c>
      <c r="B32" s="62">
        <v>7.8</v>
      </c>
      <c r="C32" s="62">
        <v>0.01</v>
      </c>
      <c r="D32" s="62">
        <v>3</v>
      </c>
      <c r="E32" s="62">
        <v>2.5099999999999998</v>
      </c>
      <c r="F32" s="62">
        <v>0.05</v>
      </c>
      <c r="G32" s="62">
        <v>0</v>
      </c>
      <c r="H32" s="62">
        <v>1.19</v>
      </c>
      <c r="I32" s="62">
        <v>1.04</v>
      </c>
      <c r="J32" s="62">
        <v>0.69</v>
      </c>
      <c r="K32" s="62">
        <v>6.11</v>
      </c>
      <c r="L32" s="62">
        <v>1.1299999999999999</v>
      </c>
      <c r="M32" s="62">
        <v>2.4500000000000002</v>
      </c>
      <c r="N32" s="62">
        <v>0.63</v>
      </c>
      <c r="O32" s="62">
        <v>0.01</v>
      </c>
      <c r="P32" s="62">
        <v>0.03</v>
      </c>
      <c r="Q32" s="62">
        <v>3.05</v>
      </c>
      <c r="R32" s="62">
        <v>2</v>
      </c>
      <c r="S32" s="62">
        <v>0.65</v>
      </c>
      <c r="T32" s="62">
        <v>0.67</v>
      </c>
      <c r="U32" s="62">
        <v>4.0599999999999996</v>
      </c>
      <c r="V32" s="62">
        <v>6.36</v>
      </c>
      <c r="W32" s="62">
        <v>11.74</v>
      </c>
      <c r="X32" s="62">
        <v>5.07</v>
      </c>
      <c r="Y32" s="62">
        <v>0.11</v>
      </c>
      <c r="Z32" s="62">
        <v>0.01</v>
      </c>
      <c r="AA32" s="62">
        <v>5.9</v>
      </c>
      <c r="AB32" s="62">
        <v>15.9</v>
      </c>
      <c r="AC32" s="62">
        <v>2.65</v>
      </c>
      <c r="AD32" s="62">
        <v>0.49</v>
      </c>
      <c r="AE32" s="62">
        <v>2</v>
      </c>
      <c r="AF32" s="62">
        <v>9.1199999999999992</v>
      </c>
      <c r="AG32" s="62">
        <v>7.91</v>
      </c>
      <c r="AH32" s="62">
        <v>1.42</v>
      </c>
      <c r="AI32" s="62">
        <v>5.81</v>
      </c>
      <c r="AJ32" s="62">
        <v>6.64</v>
      </c>
      <c r="AK32" s="62">
        <v>0.12</v>
      </c>
      <c r="AL32" s="62">
        <v>7.0000000000000007E-2</v>
      </c>
      <c r="AM32" s="62">
        <v>2.04</v>
      </c>
      <c r="AN32" s="62">
        <v>0.41</v>
      </c>
      <c r="AO32" s="62">
        <v>0.56000000000000005</v>
      </c>
      <c r="AP32" s="62">
        <v>1.34</v>
      </c>
      <c r="AQ32" s="62">
        <v>2.9</v>
      </c>
      <c r="AR32" s="62">
        <v>2.85</v>
      </c>
      <c r="AS32" s="62">
        <v>1.19</v>
      </c>
      <c r="AT32" s="62">
        <v>0.65</v>
      </c>
      <c r="AU32" s="62">
        <v>3.26</v>
      </c>
      <c r="AW32" s="62">
        <v>0.15</v>
      </c>
      <c r="AX32" s="62">
        <v>1.46</v>
      </c>
      <c r="AY32" s="62">
        <v>2.1</v>
      </c>
      <c r="AZ32" s="62">
        <v>16.45</v>
      </c>
      <c r="BB32" s="62">
        <v>0.81</v>
      </c>
      <c r="BC32" s="62">
        <v>3.01</v>
      </c>
      <c r="BD32" s="62">
        <v>0.5</v>
      </c>
      <c r="BE32" s="62">
        <v>2.93</v>
      </c>
      <c r="BF32" s="62">
        <v>2.56</v>
      </c>
      <c r="BG32" s="62">
        <v>5.2</v>
      </c>
      <c r="BH32" s="62">
        <v>1.73</v>
      </c>
      <c r="BI32" s="62">
        <v>1.73</v>
      </c>
      <c r="BJ32" s="62">
        <v>0.64</v>
      </c>
      <c r="BK32" s="62">
        <v>0.01</v>
      </c>
      <c r="BM32" s="62">
        <v>0.97</v>
      </c>
      <c r="BN32" s="62">
        <v>0.09</v>
      </c>
      <c r="BP32" s="62">
        <v>1.01</v>
      </c>
      <c r="BR32" s="62">
        <v>0.63</v>
      </c>
      <c r="BS32" s="62">
        <v>0.05</v>
      </c>
      <c r="BT32" s="62">
        <v>0.4</v>
      </c>
      <c r="BU32" s="62">
        <v>0.39</v>
      </c>
      <c r="BV32" s="62">
        <v>3.7</v>
      </c>
      <c r="BW32" s="62">
        <v>1.28</v>
      </c>
      <c r="BX32" s="62">
        <v>0.01</v>
      </c>
      <c r="BY32" s="62">
        <v>1.64</v>
      </c>
      <c r="BZ32" s="62">
        <v>2.25</v>
      </c>
      <c r="CA32" s="62">
        <v>0.27</v>
      </c>
      <c r="CB32" s="62">
        <v>4.97</v>
      </c>
      <c r="CC32" s="62">
        <v>0.25</v>
      </c>
      <c r="CD32" s="62">
        <v>8.89</v>
      </c>
      <c r="CE32" s="62">
        <v>6</v>
      </c>
      <c r="CF32" s="62">
        <v>3.35</v>
      </c>
      <c r="CG32" s="62">
        <v>1.8</v>
      </c>
      <c r="CH32" s="62">
        <v>0.01</v>
      </c>
      <c r="CI32" s="62">
        <v>3.78</v>
      </c>
      <c r="CJ32" s="62">
        <v>0.82</v>
      </c>
      <c r="CK32" s="62">
        <v>1.31</v>
      </c>
      <c r="CL32" s="62">
        <v>4.9800000000000004</v>
      </c>
      <c r="CM32" s="62">
        <v>5.4</v>
      </c>
      <c r="CN32" s="62">
        <v>0.2</v>
      </c>
      <c r="CO32" s="62">
        <v>0.52</v>
      </c>
      <c r="CP32" s="62">
        <v>0.67</v>
      </c>
      <c r="CQ32" s="62">
        <v>2.4</v>
      </c>
      <c r="CR32" s="62">
        <v>4.8499999999999996</v>
      </c>
      <c r="CS32" s="62">
        <v>0.12</v>
      </c>
      <c r="CT32" s="62">
        <v>3.69</v>
      </c>
      <c r="CU32" s="62">
        <v>2.06</v>
      </c>
      <c r="CV32" s="62">
        <v>1.84</v>
      </c>
      <c r="CW32" s="62">
        <v>4.3600000000000003</v>
      </c>
      <c r="CX32" s="62">
        <v>3.55</v>
      </c>
      <c r="CY32" s="62">
        <v>2.31</v>
      </c>
      <c r="CZ32" s="62">
        <v>0.68</v>
      </c>
      <c r="DA32" s="62">
        <v>1.75</v>
      </c>
      <c r="DB32" s="62">
        <v>3</v>
      </c>
      <c r="DC32" s="62">
        <v>6.75</v>
      </c>
      <c r="DE32" s="62">
        <v>2.68</v>
      </c>
      <c r="DF32" s="62">
        <v>1.46</v>
      </c>
      <c r="DG32" s="62">
        <v>0</v>
      </c>
      <c r="DI32" s="62">
        <v>2.85</v>
      </c>
      <c r="DJ32" s="62">
        <v>3.31</v>
      </c>
      <c r="DK32" s="62">
        <v>2.92</v>
      </c>
      <c r="DL32" s="62">
        <v>2.0499999999999998</v>
      </c>
      <c r="DM32" s="62">
        <v>2.72</v>
      </c>
      <c r="DN32" s="62">
        <v>0.09</v>
      </c>
      <c r="DO32" s="62">
        <v>7.88</v>
      </c>
    </row>
    <row r="33" spans="1:119" x14ac:dyDescent="0.3">
      <c r="A33" s="64" t="s">
        <v>9075</v>
      </c>
      <c r="B33" s="62">
        <v>7.65</v>
      </c>
      <c r="C33" s="62">
        <v>0</v>
      </c>
      <c r="D33" s="62">
        <v>3.05</v>
      </c>
      <c r="E33" s="62">
        <v>2.2200000000000002</v>
      </c>
      <c r="F33" s="62">
        <v>0.05</v>
      </c>
      <c r="G33" s="62">
        <v>0</v>
      </c>
      <c r="H33" s="62">
        <v>1.19</v>
      </c>
      <c r="I33" s="62">
        <v>1.21</v>
      </c>
      <c r="J33" s="62">
        <v>0.68</v>
      </c>
      <c r="K33" s="62">
        <v>6.22</v>
      </c>
      <c r="L33" s="62">
        <v>1.1100000000000001</v>
      </c>
      <c r="M33" s="62">
        <v>2.35</v>
      </c>
      <c r="N33" s="62">
        <v>0.65</v>
      </c>
      <c r="O33" s="62">
        <v>0.01</v>
      </c>
      <c r="P33" s="62">
        <v>0.03</v>
      </c>
      <c r="Q33" s="62">
        <v>3.08</v>
      </c>
      <c r="R33" s="62">
        <v>2.1</v>
      </c>
      <c r="S33" s="62">
        <v>0.67</v>
      </c>
      <c r="T33" s="62">
        <v>0.69</v>
      </c>
      <c r="U33" s="62">
        <v>4.0999999999999996</v>
      </c>
      <c r="V33" s="62">
        <v>6.1</v>
      </c>
      <c r="W33" s="62">
        <v>12.5</v>
      </c>
      <c r="X33" s="62">
        <v>5.39</v>
      </c>
      <c r="Y33" s="62">
        <v>0.11</v>
      </c>
      <c r="Z33" s="62">
        <v>0</v>
      </c>
      <c r="AA33" s="62">
        <v>6.3</v>
      </c>
      <c r="AB33" s="62">
        <v>16.329999999999998</v>
      </c>
      <c r="AC33" s="62">
        <v>2.4700000000000002</v>
      </c>
      <c r="AD33" s="62">
        <v>0.44</v>
      </c>
      <c r="AE33" s="62">
        <v>2.25</v>
      </c>
      <c r="AF33" s="62">
        <v>10.74</v>
      </c>
      <c r="AG33" s="62">
        <v>8.4499999999999993</v>
      </c>
      <c r="AH33" s="62">
        <v>1.55</v>
      </c>
      <c r="AI33" s="62">
        <v>5.75</v>
      </c>
      <c r="AJ33" s="62">
        <v>6.81</v>
      </c>
      <c r="AK33" s="62">
        <v>0.12</v>
      </c>
      <c r="AL33" s="62">
        <v>7.0000000000000007E-2</v>
      </c>
      <c r="AM33" s="62">
        <v>2.1</v>
      </c>
      <c r="AN33" s="62">
        <v>0.4</v>
      </c>
      <c r="AO33" s="62">
        <v>0.56000000000000005</v>
      </c>
      <c r="AP33" s="62">
        <v>1.34</v>
      </c>
      <c r="AQ33" s="62">
        <v>2.85</v>
      </c>
      <c r="AR33" s="62">
        <v>2.73</v>
      </c>
      <c r="AS33" s="62">
        <v>1.26</v>
      </c>
      <c r="AT33" s="62">
        <v>0.75</v>
      </c>
      <c r="AU33" s="62">
        <v>3.3</v>
      </c>
      <c r="AW33" s="62">
        <v>0.17</v>
      </c>
      <c r="AX33" s="62">
        <v>1.48</v>
      </c>
      <c r="AY33" s="62">
        <v>2.2000000000000002</v>
      </c>
      <c r="AZ33" s="62">
        <v>17.18</v>
      </c>
      <c r="BB33" s="62">
        <v>0.82</v>
      </c>
      <c r="BC33" s="62">
        <v>3.05</v>
      </c>
      <c r="BD33" s="62">
        <v>0.47</v>
      </c>
      <c r="BE33" s="62">
        <v>3</v>
      </c>
      <c r="BF33" s="62">
        <v>2.67</v>
      </c>
      <c r="BG33" s="62">
        <v>5.89</v>
      </c>
      <c r="BH33" s="62">
        <v>1.72</v>
      </c>
      <c r="BI33" s="62">
        <v>1.9</v>
      </c>
      <c r="BJ33" s="62">
        <v>0.63</v>
      </c>
      <c r="BK33" s="62">
        <v>0.01</v>
      </c>
      <c r="BM33" s="62">
        <v>0.98</v>
      </c>
      <c r="BN33" s="62">
        <v>0.09</v>
      </c>
      <c r="BP33" s="62">
        <v>1.01</v>
      </c>
      <c r="BR33" s="62">
        <v>0.57999999999999996</v>
      </c>
      <c r="BS33" s="62">
        <v>0.06</v>
      </c>
      <c r="BT33" s="62">
        <v>0.39</v>
      </c>
      <c r="BU33" s="62">
        <v>0.37</v>
      </c>
      <c r="BV33" s="62">
        <v>3.86</v>
      </c>
      <c r="BW33" s="62">
        <v>1.3</v>
      </c>
      <c r="BX33" s="62">
        <v>0.01</v>
      </c>
      <c r="BY33" s="62">
        <v>1.65</v>
      </c>
      <c r="BZ33" s="62">
        <v>2.0099999999999998</v>
      </c>
      <c r="CA33" s="62">
        <v>0.24</v>
      </c>
      <c r="CB33" s="62">
        <v>5.42</v>
      </c>
      <c r="CC33" s="62">
        <v>0.25</v>
      </c>
      <c r="CD33" s="62">
        <v>9.59</v>
      </c>
      <c r="CE33" s="62">
        <v>5.8</v>
      </c>
      <c r="CF33" s="62">
        <v>3.31</v>
      </c>
      <c r="CG33" s="62">
        <v>1.8</v>
      </c>
      <c r="CH33" s="62">
        <v>0.01</v>
      </c>
      <c r="CI33" s="62">
        <v>4.1399999999999997</v>
      </c>
      <c r="CJ33" s="62">
        <v>0.69</v>
      </c>
      <c r="CK33" s="62">
        <v>1.32</v>
      </c>
      <c r="CL33" s="62">
        <v>4.7300000000000004</v>
      </c>
      <c r="CM33" s="62">
        <v>4.5599999999999996</v>
      </c>
      <c r="CN33" s="62">
        <v>0.19</v>
      </c>
      <c r="CO33" s="62">
        <v>0.51</v>
      </c>
      <c r="CP33" s="62">
        <v>0.61</v>
      </c>
      <c r="CQ33" s="62">
        <v>2.35</v>
      </c>
      <c r="CR33" s="62">
        <v>5</v>
      </c>
      <c r="CS33" s="62">
        <v>0.12</v>
      </c>
      <c r="CT33" s="62">
        <v>3.71</v>
      </c>
      <c r="CU33" s="62">
        <v>1.8</v>
      </c>
      <c r="CV33" s="62">
        <v>1.85</v>
      </c>
      <c r="CW33" s="62">
        <v>4.7</v>
      </c>
      <c r="CX33" s="62">
        <v>3.05</v>
      </c>
      <c r="CY33" s="62">
        <v>2.4500000000000002</v>
      </c>
      <c r="CZ33" s="62">
        <v>0.62</v>
      </c>
      <c r="DA33" s="62">
        <v>1.57</v>
      </c>
      <c r="DB33" s="62">
        <v>2.5099999999999998</v>
      </c>
      <c r="DC33" s="62">
        <v>2.54</v>
      </c>
      <c r="DE33" s="62">
        <v>2.94</v>
      </c>
      <c r="DF33" s="62">
        <v>1.22</v>
      </c>
      <c r="DG33" s="62">
        <v>0</v>
      </c>
      <c r="DI33" s="62">
        <v>3.04</v>
      </c>
      <c r="DJ33" s="62">
        <v>3.4</v>
      </c>
      <c r="DK33" s="62">
        <v>3.1</v>
      </c>
      <c r="DL33" s="62">
        <v>2.2799999999999998</v>
      </c>
      <c r="DM33" s="62">
        <v>2.72</v>
      </c>
      <c r="DN33" s="62">
        <v>0.11</v>
      </c>
      <c r="DO33" s="62">
        <v>8.19</v>
      </c>
    </row>
    <row r="34" spans="1:119" x14ac:dyDescent="0.3">
      <c r="A34" s="64" t="s">
        <v>9076</v>
      </c>
      <c r="B34" s="62">
        <v>7.32</v>
      </c>
      <c r="C34" s="62">
        <v>0.01</v>
      </c>
      <c r="D34" s="62">
        <v>3.05</v>
      </c>
      <c r="E34" s="62">
        <v>2.09</v>
      </c>
      <c r="F34" s="62">
        <v>0.05</v>
      </c>
      <c r="G34" s="62">
        <v>0</v>
      </c>
      <c r="H34" s="62">
        <v>1.1499999999999999</v>
      </c>
      <c r="I34" s="62">
        <v>1.1200000000000001</v>
      </c>
      <c r="J34" s="62">
        <v>0.67</v>
      </c>
      <c r="K34" s="62">
        <v>6.65</v>
      </c>
      <c r="L34" s="62">
        <v>1.1000000000000001</v>
      </c>
      <c r="M34" s="62">
        <v>2.34</v>
      </c>
      <c r="N34" s="62">
        <v>0.63</v>
      </c>
      <c r="O34" s="62">
        <v>0.01</v>
      </c>
      <c r="P34" s="62">
        <v>0.04</v>
      </c>
      <c r="Q34" s="62">
        <v>3.1</v>
      </c>
      <c r="R34" s="62">
        <v>1.55</v>
      </c>
      <c r="S34" s="62">
        <v>0.75</v>
      </c>
      <c r="T34" s="62">
        <v>0.69</v>
      </c>
      <c r="U34" s="62">
        <v>4.25</v>
      </c>
      <c r="V34" s="62">
        <v>6.2</v>
      </c>
      <c r="W34" s="62">
        <v>11.9</v>
      </c>
      <c r="X34" s="62">
        <v>5.28</v>
      </c>
      <c r="Y34" s="62">
        <v>0.11</v>
      </c>
      <c r="Z34" s="62">
        <v>0</v>
      </c>
      <c r="AA34" s="62">
        <v>6.1</v>
      </c>
      <c r="AB34" s="62">
        <v>16.100000000000001</v>
      </c>
      <c r="AC34" s="62">
        <v>2.17</v>
      </c>
      <c r="AD34" s="62">
        <v>0.42</v>
      </c>
      <c r="AE34" s="62">
        <v>2.25</v>
      </c>
      <c r="AF34" s="62">
        <v>10.19</v>
      </c>
      <c r="AG34" s="62">
        <v>8.2899999999999991</v>
      </c>
      <c r="AH34" s="62">
        <v>1.6</v>
      </c>
      <c r="AI34" s="62">
        <v>5.46</v>
      </c>
      <c r="AJ34" s="62">
        <v>6.51</v>
      </c>
      <c r="AK34" s="62">
        <v>0.12</v>
      </c>
      <c r="AL34" s="62">
        <v>7.0000000000000007E-2</v>
      </c>
      <c r="AM34" s="62">
        <v>2.17</v>
      </c>
      <c r="AN34" s="62">
        <v>0.41</v>
      </c>
      <c r="AO34" s="62">
        <v>0.5</v>
      </c>
      <c r="AP34" s="62">
        <v>1.31</v>
      </c>
      <c r="AQ34" s="62">
        <v>2.57</v>
      </c>
      <c r="AR34" s="62">
        <v>2.68</v>
      </c>
      <c r="AS34" s="62">
        <v>1.19</v>
      </c>
      <c r="AT34" s="62">
        <v>0.65</v>
      </c>
      <c r="AU34" s="62">
        <v>3.25</v>
      </c>
      <c r="AW34" s="62">
        <v>0.17</v>
      </c>
      <c r="AX34" s="62">
        <v>1.49</v>
      </c>
      <c r="AY34" s="62">
        <v>2.75</v>
      </c>
      <c r="AZ34" s="62">
        <v>16.72</v>
      </c>
      <c r="BA34" s="62">
        <v>0.32</v>
      </c>
      <c r="BB34" s="62">
        <v>0.8</v>
      </c>
      <c r="BC34" s="62">
        <v>3.07</v>
      </c>
      <c r="BD34" s="62">
        <v>0.5</v>
      </c>
      <c r="BE34" s="62">
        <v>2.99</v>
      </c>
      <c r="BF34" s="62">
        <v>2.61</v>
      </c>
      <c r="BG34" s="62">
        <v>5.55</v>
      </c>
      <c r="BH34" s="62">
        <v>1.82</v>
      </c>
      <c r="BI34" s="62">
        <v>1.8</v>
      </c>
      <c r="BJ34" s="62">
        <v>0.67</v>
      </c>
      <c r="BK34" s="62">
        <v>0.01</v>
      </c>
      <c r="BM34" s="62">
        <v>0.97</v>
      </c>
      <c r="BN34" s="62">
        <v>0.09</v>
      </c>
      <c r="BO34" s="62">
        <v>0.73</v>
      </c>
      <c r="BP34" s="62">
        <v>1.01</v>
      </c>
      <c r="BR34" s="62">
        <v>0.55000000000000004</v>
      </c>
      <c r="BS34" s="62">
        <v>0.06</v>
      </c>
      <c r="BT34" s="62">
        <v>0.42</v>
      </c>
      <c r="BU34" s="62">
        <v>0.32</v>
      </c>
      <c r="BV34" s="62">
        <v>3.96</v>
      </c>
      <c r="BW34" s="62">
        <v>1.24</v>
      </c>
      <c r="BX34" s="62">
        <v>0.01</v>
      </c>
      <c r="BY34" s="62">
        <v>1.61</v>
      </c>
      <c r="BZ34" s="62">
        <v>2.04</v>
      </c>
      <c r="CA34" s="62">
        <v>0.23</v>
      </c>
      <c r="CB34" s="62">
        <v>5.26</v>
      </c>
      <c r="CC34" s="62">
        <v>0.24</v>
      </c>
      <c r="CD34" s="62">
        <v>9.25</v>
      </c>
      <c r="CE34" s="62">
        <v>5.56</v>
      </c>
      <c r="CF34" s="62">
        <v>2.98</v>
      </c>
      <c r="CG34" s="62">
        <v>1.9</v>
      </c>
      <c r="CH34" s="62">
        <v>0.01</v>
      </c>
      <c r="CI34" s="62">
        <v>4.2300000000000004</v>
      </c>
      <c r="CJ34" s="62">
        <v>0.65</v>
      </c>
      <c r="CK34" s="62">
        <v>1.25</v>
      </c>
      <c r="CL34" s="62">
        <v>4.6399999999999997</v>
      </c>
      <c r="CM34" s="62">
        <v>4.8</v>
      </c>
      <c r="CN34" s="62">
        <v>0.18</v>
      </c>
      <c r="CO34" s="62">
        <v>0.57999999999999996</v>
      </c>
      <c r="CP34" s="62">
        <v>0.62</v>
      </c>
      <c r="CQ34" s="62">
        <v>2.35</v>
      </c>
      <c r="CR34" s="62">
        <v>4.5999999999999996</v>
      </c>
      <c r="CS34" s="62">
        <v>0.12</v>
      </c>
      <c r="CT34" s="62">
        <v>3.53</v>
      </c>
      <c r="CU34" s="62">
        <v>1.72</v>
      </c>
      <c r="CV34" s="62">
        <v>1.94</v>
      </c>
      <c r="CW34" s="62">
        <v>4.4800000000000004</v>
      </c>
      <c r="CX34" s="62">
        <v>3.2</v>
      </c>
      <c r="CY34" s="62">
        <v>2.5</v>
      </c>
      <c r="CZ34" s="62">
        <v>0.4</v>
      </c>
      <c r="DA34" s="62">
        <v>1.83</v>
      </c>
      <c r="DB34" s="62">
        <v>2.4300000000000002</v>
      </c>
      <c r="DC34" s="62">
        <v>1.27</v>
      </c>
      <c r="DE34" s="62">
        <v>2.64</v>
      </c>
      <c r="DF34" s="62">
        <v>1.1000000000000001</v>
      </c>
      <c r="DG34" s="62">
        <v>0</v>
      </c>
      <c r="DI34" s="62">
        <v>2.9</v>
      </c>
      <c r="DJ34" s="62">
        <v>3.25</v>
      </c>
      <c r="DK34" s="62">
        <v>2.92</v>
      </c>
      <c r="DL34" s="62">
        <v>2.19</v>
      </c>
      <c r="DM34" s="62">
        <v>2.82</v>
      </c>
      <c r="DN34" s="62">
        <v>0.1</v>
      </c>
      <c r="DO34" s="62">
        <v>8.0500000000000007</v>
      </c>
    </row>
    <row r="35" spans="1:119" x14ac:dyDescent="0.3">
      <c r="A35" s="64" t="s">
        <v>9077</v>
      </c>
      <c r="B35" s="62">
        <v>7.89</v>
      </c>
      <c r="C35" s="62">
        <v>0.01</v>
      </c>
      <c r="D35" s="62">
        <v>3.12</v>
      </c>
      <c r="E35" s="62">
        <v>2.2599999999999998</v>
      </c>
      <c r="F35" s="62">
        <v>0.05</v>
      </c>
      <c r="G35" s="62">
        <v>0</v>
      </c>
      <c r="H35" s="62">
        <v>1.1499999999999999</v>
      </c>
      <c r="I35" s="62">
        <v>1.1399999999999999</v>
      </c>
      <c r="J35" s="62">
        <v>0.66</v>
      </c>
      <c r="K35" s="62">
        <v>7.33</v>
      </c>
      <c r="L35" s="62">
        <v>1.1200000000000001</v>
      </c>
      <c r="M35" s="62">
        <v>2.35</v>
      </c>
      <c r="N35" s="62">
        <v>0.64</v>
      </c>
      <c r="O35" s="62">
        <v>0.01</v>
      </c>
      <c r="P35" s="62">
        <v>0.06</v>
      </c>
      <c r="Q35" s="62">
        <v>3.27</v>
      </c>
      <c r="R35" s="62">
        <v>1.6</v>
      </c>
      <c r="S35" s="62">
        <v>0.95</v>
      </c>
      <c r="T35" s="62">
        <v>0.67</v>
      </c>
      <c r="U35" s="62">
        <v>4.49</v>
      </c>
      <c r="V35" s="62">
        <v>6.35</v>
      </c>
      <c r="W35" s="62">
        <v>11.55</v>
      </c>
      <c r="X35" s="62">
        <v>5.36</v>
      </c>
      <c r="Y35" s="62">
        <v>0.08</v>
      </c>
      <c r="Z35" s="62">
        <v>0</v>
      </c>
      <c r="AA35" s="62">
        <v>6.1</v>
      </c>
      <c r="AB35" s="62">
        <v>16.45</v>
      </c>
      <c r="AC35" s="62">
        <v>2.08</v>
      </c>
      <c r="AD35" s="62">
        <v>0.43</v>
      </c>
      <c r="AE35" s="62">
        <v>2.2999999999999998</v>
      </c>
      <c r="AF35" s="62">
        <v>10.61</v>
      </c>
      <c r="AG35" s="62">
        <v>9.15</v>
      </c>
      <c r="AH35" s="62">
        <v>1.6</v>
      </c>
      <c r="AI35" s="62">
        <v>5.79</v>
      </c>
      <c r="AJ35" s="62">
        <v>6.7</v>
      </c>
      <c r="AK35" s="62">
        <v>0.11</v>
      </c>
      <c r="AL35" s="62">
        <v>7.0000000000000007E-2</v>
      </c>
      <c r="AM35" s="62">
        <v>2.25</v>
      </c>
      <c r="AN35" s="62">
        <v>0.48</v>
      </c>
      <c r="AO35" s="62">
        <v>0.55000000000000004</v>
      </c>
      <c r="AP35" s="62">
        <v>1.33</v>
      </c>
      <c r="AQ35" s="62">
        <v>2.74</v>
      </c>
      <c r="AR35" s="62">
        <v>2.65</v>
      </c>
      <c r="AS35" s="62">
        <v>1.34</v>
      </c>
      <c r="AT35" s="62">
        <v>0.71</v>
      </c>
      <c r="AU35" s="62">
        <v>3.4</v>
      </c>
      <c r="AV35" s="62">
        <v>1.65</v>
      </c>
      <c r="AW35" s="62">
        <v>0.17</v>
      </c>
      <c r="AX35" s="62">
        <v>1.55</v>
      </c>
      <c r="AY35" s="62">
        <v>2.6</v>
      </c>
      <c r="AZ35" s="62">
        <v>17.39</v>
      </c>
      <c r="BA35" s="62">
        <v>0.36</v>
      </c>
      <c r="BB35" s="62">
        <v>0.8</v>
      </c>
      <c r="BC35" s="62">
        <v>3.3</v>
      </c>
      <c r="BD35" s="62">
        <v>0.67</v>
      </c>
      <c r="BE35" s="62">
        <v>3.14</v>
      </c>
      <c r="BF35" s="62">
        <v>2.86</v>
      </c>
      <c r="BG35" s="62">
        <v>5.63</v>
      </c>
      <c r="BH35" s="62">
        <v>1.9</v>
      </c>
      <c r="BI35" s="62">
        <v>1.8</v>
      </c>
      <c r="BJ35" s="62">
        <v>0.82</v>
      </c>
      <c r="BK35" s="62">
        <v>0.01</v>
      </c>
      <c r="BM35" s="62">
        <v>0.94</v>
      </c>
      <c r="BN35" s="62">
        <v>0.08</v>
      </c>
      <c r="BO35" s="62">
        <v>0.86</v>
      </c>
      <c r="BP35" s="62">
        <v>1.03</v>
      </c>
      <c r="BR35" s="62">
        <v>0.54</v>
      </c>
      <c r="BS35" s="62">
        <v>0.06</v>
      </c>
      <c r="BT35" s="62">
        <v>0.47</v>
      </c>
      <c r="BU35" s="62">
        <v>0.3</v>
      </c>
      <c r="BV35" s="62">
        <v>3.88</v>
      </c>
      <c r="BW35" s="62">
        <v>1.26</v>
      </c>
      <c r="BX35" s="62">
        <v>0.01</v>
      </c>
      <c r="BY35" s="62">
        <v>1.61</v>
      </c>
      <c r="BZ35" s="62">
        <v>2.52</v>
      </c>
      <c r="CA35" s="62">
        <v>0.23</v>
      </c>
      <c r="CB35" s="62">
        <v>5.38</v>
      </c>
      <c r="CC35" s="62">
        <v>0.24</v>
      </c>
      <c r="CD35" s="62">
        <v>9.48</v>
      </c>
      <c r="CE35" s="62">
        <v>5.62</v>
      </c>
      <c r="CF35" s="62">
        <v>3.27</v>
      </c>
      <c r="CG35" s="62">
        <v>1.93</v>
      </c>
      <c r="CH35" s="62">
        <v>0.01</v>
      </c>
      <c r="CI35" s="62">
        <v>4</v>
      </c>
      <c r="CJ35" s="62">
        <v>0.66</v>
      </c>
      <c r="CK35" s="62">
        <v>1.31</v>
      </c>
      <c r="CL35" s="62">
        <v>5.0599999999999996</v>
      </c>
      <c r="CM35" s="62">
        <v>5</v>
      </c>
      <c r="CN35" s="62">
        <v>0.23</v>
      </c>
      <c r="CO35" s="62">
        <v>0.61</v>
      </c>
      <c r="CP35" s="62">
        <v>0.59</v>
      </c>
      <c r="CQ35" s="62">
        <v>2.2000000000000002</v>
      </c>
      <c r="CR35" s="62">
        <v>5</v>
      </c>
      <c r="CS35" s="62">
        <v>0.12</v>
      </c>
      <c r="CT35" s="62">
        <v>3.92</v>
      </c>
      <c r="CU35" s="62">
        <v>1.92</v>
      </c>
      <c r="CV35" s="62">
        <v>2</v>
      </c>
      <c r="CW35" s="62">
        <v>4.7300000000000004</v>
      </c>
      <c r="CX35" s="62">
        <v>3.45</v>
      </c>
      <c r="CY35" s="62">
        <v>2.9</v>
      </c>
      <c r="CZ35" s="62">
        <v>0.4</v>
      </c>
      <c r="DA35" s="62">
        <v>2</v>
      </c>
      <c r="DB35" s="62">
        <v>2.52</v>
      </c>
      <c r="DC35" s="62">
        <v>1.27</v>
      </c>
      <c r="DE35" s="62">
        <v>2.94</v>
      </c>
      <c r="DF35" s="62">
        <v>1.0900000000000001</v>
      </c>
      <c r="DG35" s="62">
        <v>0</v>
      </c>
      <c r="DI35" s="62">
        <v>3.07</v>
      </c>
      <c r="DJ35" s="62">
        <v>3.5</v>
      </c>
      <c r="DK35" s="62">
        <v>3.15</v>
      </c>
      <c r="DL35" s="62">
        <v>2.23</v>
      </c>
      <c r="DM35" s="62">
        <v>2.84</v>
      </c>
      <c r="DN35" s="62">
        <v>0.1</v>
      </c>
      <c r="DO35" s="62">
        <v>8.58</v>
      </c>
    </row>
    <row r="36" spans="1:119" x14ac:dyDescent="0.3">
      <c r="A36" s="64" t="s">
        <v>9078</v>
      </c>
      <c r="B36" s="62">
        <v>7.99</v>
      </c>
      <c r="C36" s="62">
        <v>0.01</v>
      </c>
      <c r="D36" s="62">
        <v>3.01</v>
      </c>
      <c r="E36" s="62">
        <v>2.2599999999999998</v>
      </c>
      <c r="F36" s="62">
        <v>0.06</v>
      </c>
      <c r="G36" s="62">
        <v>0</v>
      </c>
      <c r="H36" s="62">
        <v>1.1499999999999999</v>
      </c>
      <c r="I36" s="62">
        <v>1.1499999999999999</v>
      </c>
      <c r="J36" s="62">
        <v>0.64</v>
      </c>
      <c r="K36" s="62">
        <v>7.65</v>
      </c>
      <c r="L36" s="62">
        <v>1.08</v>
      </c>
      <c r="M36" s="62">
        <v>2.34</v>
      </c>
      <c r="N36" s="62">
        <v>0.65</v>
      </c>
      <c r="O36" s="62">
        <v>0.01</v>
      </c>
      <c r="P36" s="62">
        <v>0.05</v>
      </c>
      <c r="Q36" s="62">
        <v>3.82</v>
      </c>
      <c r="R36" s="62">
        <v>1.73</v>
      </c>
      <c r="S36" s="62">
        <v>0.86</v>
      </c>
      <c r="T36" s="62">
        <v>0.77</v>
      </c>
      <c r="U36" s="62">
        <v>4.1500000000000004</v>
      </c>
      <c r="V36" s="62">
        <v>6.9</v>
      </c>
      <c r="W36" s="62">
        <v>9.9499999999999993</v>
      </c>
      <c r="X36" s="62">
        <v>5.2</v>
      </c>
      <c r="Y36" s="62">
        <v>0.09</v>
      </c>
      <c r="Z36" s="62">
        <v>0.01</v>
      </c>
      <c r="AA36" s="62">
        <v>6.09</v>
      </c>
      <c r="AB36" s="62">
        <v>17.920000000000002</v>
      </c>
      <c r="AC36" s="62">
        <v>2.3199999999999998</v>
      </c>
      <c r="AD36" s="62">
        <v>0.44</v>
      </c>
      <c r="AE36" s="62">
        <v>2.5</v>
      </c>
      <c r="AF36" s="62">
        <v>9.8699999999999992</v>
      </c>
      <c r="AG36" s="62">
        <v>10.199999999999999</v>
      </c>
      <c r="AH36" s="62">
        <v>1.64</v>
      </c>
      <c r="AI36" s="62">
        <v>5.74</v>
      </c>
      <c r="AJ36" s="62">
        <v>6.8</v>
      </c>
      <c r="AK36" s="62">
        <v>0.11</v>
      </c>
      <c r="AL36" s="62">
        <v>0.06</v>
      </c>
      <c r="AM36" s="62">
        <v>2.21</v>
      </c>
      <c r="AN36" s="62">
        <v>0.43</v>
      </c>
      <c r="AO36" s="62">
        <v>0.54</v>
      </c>
      <c r="AP36" s="62">
        <v>1.37</v>
      </c>
      <c r="AQ36" s="62">
        <v>2.74</v>
      </c>
      <c r="AR36" s="62">
        <v>2.83</v>
      </c>
      <c r="AS36" s="62">
        <v>1.48</v>
      </c>
      <c r="AT36" s="62">
        <v>0.61</v>
      </c>
      <c r="AU36" s="62">
        <v>3.35</v>
      </c>
      <c r="AV36" s="62">
        <v>1.62</v>
      </c>
      <c r="AW36" s="62">
        <v>0.21</v>
      </c>
      <c r="AX36" s="62">
        <v>1.57</v>
      </c>
      <c r="AY36" s="62">
        <v>2.35</v>
      </c>
      <c r="AZ36" s="62">
        <v>17.23</v>
      </c>
      <c r="BA36" s="62">
        <v>0.37</v>
      </c>
      <c r="BB36" s="62">
        <v>0.8</v>
      </c>
      <c r="BC36" s="62">
        <v>3.4</v>
      </c>
      <c r="BD36" s="62">
        <v>0.5</v>
      </c>
      <c r="BE36" s="62">
        <v>3.2</v>
      </c>
      <c r="BF36" s="62">
        <v>2.85</v>
      </c>
      <c r="BG36" s="62">
        <v>6.14</v>
      </c>
      <c r="BH36" s="62">
        <v>2.02</v>
      </c>
      <c r="BI36" s="62">
        <v>2.15</v>
      </c>
      <c r="BJ36" s="62">
        <v>0.77</v>
      </c>
      <c r="BK36" s="62">
        <v>0.01</v>
      </c>
      <c r="BM36" s="62">
        <v>1.07</v>
      </c>
      <c r="BN36" s="62">
        <v>0.08</v>
      </c>
      <c r="BO36" s="62">
        <v>0.8</v>
      </c>
      <c r="BP36" s="62">
        <v>1.02</v>
      </c>
      <c r="BR36" s="62">
        <v>0.52</v>
      </c>
      <c r="BS36" s="62">
        <v>0.05</v>
      </c>
      <c r="BT36" s="62">
        <v>0.53</v>
      </c>
      <c r="BU36" s="62">
        <v>0.25</v>
      </c>
      <c r="BV36" s="62">
        <v>3.96</v>
      </c>
      <c r="BW36" s="62">
        <v>1.3</v>
      </c>
      <c r="BX36" s="62">
        <v>0.01</v>
      </c>
      <c r="BY36" s="62">
        <v>1.66</v>
      </c>
      <c r="BZ36" s="62">
        <v>2.57</v>
      </c>
      <c r="CA36" s="62">
        <v>0.2</v>
      </c>
      <c r="CB36" s="62">
        <v>5.41</v>
      </c>
      <c r="CC36" s="62">
        <v>0.26</v>
      </c>
      <c r="CD36" s="62">
        <v>9.6300000000000008</v>
      </c>
      <c r="CE36" s="62">
        <v>5.85</v>
      </c>
      <c r="CF36" s="62">
        <v>3.21</v>
      </c>
      <c r="CG36" s="62">
        <v>1.94</v>
      </c>
      <c r="CH36" s="62">
        <v>0.01</v>
      </c>
      <c r="CI36" s="62">
        <v>4</v>
      </c>
      <c r="CJ36" s="62">
        <v>0.65</v>
      </c>
      <c r="CK36" s="62">
        <v>1.4</v>
      </c>
      <c r="CL36" s="62">
        <v>4.9000000000000004</v>
      </c>
      <c r="CM36" s="62">
        <v>4.9400000000000004</v>
      </c>
      <c r="CN36" s="62">
        <v>0.19</v>
      </c>
      <c r="CO36" s="62">
        <v>0.68</v>
      </c>
      <c r="CP36" s="62">
        <v>0.57999999999999996</v>
      </c>
      <c r="CQ36" s="62">
        <v>2.36</v>
      </c>
      <c r="CR36" s="62">
        <v>4.8499999999999996</v>
      </c>
      <c r="CS36" s="62">
        <v>0.12</v>
      </c>
      <c r="CT36" s="62">
        <v>3.82</v>
      </c>
      <c r="CU36" s="62">
        <v>2.0499999999999998</v>
      </c>
      <c r="CV36" s="62">
        <v>2.0699999999999998</v>
      </c>
      <c r="CW36" s="62">
        <v>5.49</v>
      </c>
      <c r="CX36" s="62">
        <v>3.73</v>
      </c>
      <c r="CY36" s="62">
        <v>3.12</v>
      </c>
      <c r="CZ36" s="62">
        <v>0.38</v>
      </c>
      <c r="DA36" s="62">
        <v>1.9</v>
      </c>
      <c r="DB36" s="62">
        <v>2.31</v>
      </c>
      <c r="DC36" s="62">
        <v>1.02</v>
      </c>
      <c r="DE36" s="62">
        <v>3.18</v>
      </c>
      <c r="DF36" s="62">
        <v>1.07</v>
      </c>
      <c r="DG36" s="62">
        <v>0</v>
      </c>
      <c r="DI36" s="62">
        <v>3.05</v>
      </c>
      <c r="DJ36" s="62">
        <v>3.47</v>
      </c>
      <c r="DK36" s="62">
        <v>3.2</v>
      </c>
      <c r="DL36" s="62">
        <v>2.29</v>
      </c>
      <c r="DM36" s="62">
        <v>2.83</v>
      </c>
      <c r="DN36" s="62">
        <v>0.12</v>
      </c>
      <c r="DO36" s="62">
        <v>8.44</v>
      </c>
    </row>
    <row r="37" spans="1:119" x14ac:dyDescent="0.3">
      <c r="A37" s="64" t="s">
        <v>9079</v>
      </c>
      <c r="B37" s="62">
        <v>8.3800000000000008</v>
      </c>
      <c r="C37" s="62">
        <v>0.01</v>
      </c>
      <c r="D37" s="62">
        <v>3.12</v>
      </c>
      <c r="E37" s="62">
        <v>1.82</v>
      </c>
      <c r="F37" s="62">
        <v>0.05</v>
      </c>
      <c r="G37" s="62">
        <v>0</v>
      </c>
      <c r="H37" s="62">
        <v>1.1100000000000001</v>
      </c>
      <c r="I37" s="62">
        <v>1.1599999999999999</v>
      </c>
      <c r="J37" s="62">
        <v>0.69</v>
      </c>
      <c r="K37" s="62">
        <v>7.35</v>
      </c>
      <c r="L37" s="62">
        <v>1.05</v>
      </c>
      <c r="M37" s="62">
        <v>2.4</v>
      </c>
      <c r="N37" s="62">
        <v>0.65</v>
      </c>
      <c r="O37" s="62">
        <v>0.01</v>
      </c>
      <c r="P37" s="62">
        <v>0.05</v>
      </c>
      <c r="Q37" s="62">
        <v>3.75</v>
      </c>
      <c r="R37" s="62">
        <v>1.65</v>
      </c>
      <c r="S37" s="62">
        <v>0.83</v>
      </c>
      <c r="T37" s="62">
        <v>0.73</v>
      </c>
      <c r="U37" s="62">
        <v>3.91</v>
      </c>
      <c r="V37" s="62">
        <v>7.4</v>
      </c>
      <c r="W37" s="62">
        <v>11.23</v>
      </c>
      <c r="X37" s="62">
        <v>5.03</v>
      </c>
      <c r="Y37" s="62">
        <v>0.09</v>
      </c>
      <c r="Z37" s="62">
        <v>0.01</v>
      </c>
      <c r="AA37" s="62">
        <v>6.14</v>
      </c>
      <c r="AB37" s="62">
        <v>18.97</v>
      </c>
      <c r="AC37" s="62">
        <v>1.7</v>
      </c>
      <c r="AD37" s="62">
        <v>0.48</v>
      </c>
      <c r="AE37" s="62">
        <v>2.5</v>
      </c>
      <c r="AF37" s="62">
        <v>10.050000000000001</v>
      </c>
      <c r="AG37" s="62">
        <v>10.130000000000001</v>
      </c>
      <c r="AH37" s="62">
        <v>1.6</v>
      </c>
      <c r="AI37" s="62">
        <v>5.95</v>
      </c>
      <c r="AJ37" s="62">
        <v>6.54</v>
      </c>
      <c r="AK37" s="62">
        <v>0.1</v>
      </c>
      <c r="AL37" s="62">
        <v>7.0000000000000007E-2</v>
      </c>
      <c r="AM37" s="62">
        <v>2.12</v>
      </c>
      <c r="AN37" s="62">
        <v>0.41</v>
      </c>
      <c r="AO37" s="62">
        <v>0.41</v>
      </c>
      <c r="AP37" s="62">
        <v>1.31</v>
      </c>
      <c r="AQ37" s="62">
        <v>2.7</v>
      </c>
      <c r="AR37" s="62">
        <v>3.05</v>
      </c>
      <c r="AS37" s="62">
        <v>1.49</v>
      </c>
      <c r="AT37" s="62">
        <v>0.57999999999999996</v>
      </c>
      <c r="AU37" s="62">
        <v>3.23</v>
      </c>
      <c r="AV37" s="62">
        <v>1.58</v>
      </c>
      <c r="AW37" s="62">
        <v>0.21</v>
      </c>
      <c r="AX37" s="62">
        <v>1.51</v>
      </c>
      <c r="AY37" s="62">
        <v>2.6</v>
      </c>
      <c r="AZ37" s="62">
        <v>17.8</v>
      </c>
      <c r="BA37" s="62">
        <v>0.37</v>
      </c>
      <c r="BB37" s="62">
        <v>0.8</v>
      </c>
      <c r="BC37" s="62">
        <v>3.7</v>
      </c>
      <c r="BD37" s="62">
        <v>0.34</v>
      </c>
      <c r="BE37" s="62">
        <v>3.06</v>
      </c>
      <c r="BF37" s="62">
        <v>2.68</v>
      </c>
      <c r="BG37" s="62">
        <v>6.26</v>
      </c>
      <c r="BH37" s="62">
        <v>2.2200000000000002</v>
      </c>
      <c r="BI37" s="62">
        <v>2.12</v>
      </c>
      <c r="BJ37" s="62">
        <v>0.87</v>
      </c>
      <c r="BK37" s="62">
        <v>0.01</v>
      </c>
      <c r="BM37" s="62">
        <v>1.1000000000000001</v>
      </c>
      <c r="BN37" s="62">
        <v>7.0000000000000007E-2</v>
      </c>
      <c r="BO37" s="62">
        <v>0.73</v>
      </c>
      <c r="BP37" s="62">
        <v>1.05</v>
      </c>
      <c r="BR37" s="62">
        <v>0.47</v>
      </c>
      <c r="BS37" s="62">
        <v>0.04</v>
      </c>
      <c r="BT37" s="62">
        <v>0.52</v>
      </c>
      <c r="BU37" s="62">
        <v>0.32</v>
      </c>
      <c r="BV37" s="62">
        <v>3.94</v>
      </c>
      <c r="BW37" s="62">
        <v>1.3</v>
      </c>
      <c r="BX37" s="62">
        <v>0.01</v>
      </c>
      <c r="BY37" s="62">
        <v>1.63</v>
      </c>
      <c r="BZ37" s="62">
        <v>2.56</v>
      </c>
      <c r="CA37" s="62">
        <v>0.21</v>
      </c>
      <c r="CB37" s="62">
        <v>5.61</v>
      </c>
      <c r="CC37" s="62">
        <v>0.21</v>
      </c>
      <c r="CD37" s="62">
        <v>9.58</v>
      </c>
      <c r="CE37" s="62">
        <v>6.38</v>
      </c>
      <c r="CF37" s="62">
        <v>3.2</v>
      </c>
      <c r="CG37" s="62">
        <v>2.12</v>
      </c>
      <c r="CH37" s="62">
        <v>0.01</v>
      </c>
      <c r="CI37" s="62">
        <v>4.09</v>
      </c>
      <c r="CJ37" s="62">
        <v>0.53</v>
      </c>
      <c r="CK37" s="62">
        <v>1.36</v>
      </c>
      <c r="CL37" s="62">
        <v>4.62</v>
      </c>
      <c r="CM37" s="62">
        <v>4.9400000000000004</v>
      </c>
      <c r="CN37" s="62">
        <v>0.18</v>
      </c>
      <c r="CO37" s="62">
        <v>0.73</v>
      </c>
      <c r="CP37" s="62">
        <v>0.55000000000000004</v>
      </c>
      <c r="CQ37" s="62">
        <v>2.25</v>
      </c>
      <c r="CR37" s="62">
        <v>5.75</v>
      </c>
      <c r="CS37" s="62">
        <v>0.12</v>
      </c>
      <c r="CT37" s="62">
        <v>3.63</v>
      </c>
      <c r="CU37" s="62">
        <v>2.0699999999999998</v>
      </c>
      <c r="CV37" s="62">
        <v>1.97</v>
      </c>
      <c r="CW37" s="62">
        <v>5.33</v>
      </c>
      <c r="CX37" s="62">
        <v>3.26</v>
      </c>
      <c r="CY37" s="62">
        <v>3.3</v>
      </c>
      <c r="CZ37" s="62">
        <v>0.41</v>
      </c>
      <c r="DA37" s="62">
        <v>1.85</v>
      </c>
      <c r="DB37" s="62">
        <v>2.46</v>
      </c>
      <c r="DC37" s="62">
        <v>1.02</v>
      </c>
      <c r="DE37" s="62">
        <v>3.29</v>
      </c>
      <c r="DF37" s="62">
        <v>0.74</v>
      </c>
      <c r="DG37" s="62">
        <v>0</v>
      </c>
      <c r="DI37" s="62">
        <v>3.02</v>
      </c>
      <c r="DJ37" s="62">
        <v>3.29</v>
      </c>
      <c r="DK37" s="62">
        <v>3.25</v>
      </c>
      <c r="DL37" s="62">
        <v>2.2400000000000002</v>
      </c>
      <c r="DM37" s="62">
        <v>2.94</v>
      </c>
      <c r="DN37" s="62">
        <v>0.15</v>
      </c>
      <c r="DO37" s="62">
        <v>8.34</v>
      </c>
    </row>
    <row r="38" spans="1:119" x14ac:dyDescent="0.3">
      <c r="A38" s="64" t="s">
        <v>9080</v>
      </c>
      <c r="B38" s="62">
        <v>7.7</v>
      </c>
      <c r="C38" s="62">
        <v>0</v>
      </c>
      <c r="D38" s="62">
        <v>3.07</v>
      </c>
      <c r="E38" s="62">
        <v>1.92</v>
      </c>
      <c r="F38" s="62">
        <v>0.05</v>
      </c>
      <c r="G38" s="62">
        <v>0</v>
      </c>
      <c r="H38" s="62">
        <v>1.05</v>
      </c>
      <c r="I38" s="62">
        <v>1.1299999999999999</v>
      </c>
      <c r="J38" s="62">
        <v>0.69</v>
      </c>
      <c r="K38" s="62">
        <v>6.64</v>
      </c>
      <c r="L38" s="62">
        <v>1.02</v>
      </c>
      <c r="M38" s="62">
        <v>2.42</v>
      </c>
      <c r="N38" s="62">
        <v>0.63</v>
      </c>
      <c r="O38" s="62">
        <v>0.01</v>
      </c>
      <c r="P38" s="62">
        <v>0.05</v>
      </c>
      <c r="Q38" s="62">
        <v>3.73</v>
      </c>
      <c r="R38" s="62">
        <v>1.54</v>
      </c>
      <c r="S38" s="62">
        <v>0.78</v>
      </c>
      <c r="T38" s="62">
        <v>0.72</v>
      </c>
      <c r="U38" s="62">
        <v>3.65</v>
      </c>
      <c r="V38" s="62">
        <v>7.2</v>
      </c>
      <c r="W38" s="62">
        <v>9.4</v>
      </c>
      <c r="X38" s="62">
        <v>4.78</v>
      </c>
      <c r="Y38" s="62">
        <v>0.09</v>
      </c>
      <c r="Z38" s="62">
        <v>0.02</v>
      </c>
      <c r="AA38" s="62">
        <v>5.95</v>
      </c>
      <c r="AB38" s="62">
        <v>17.02</v>
      </c>
      <c r="AC38" s="62">
        <v>1.81</v>
      </c>
      <c r="AD38" s="62">
        <v>0.47</v>
      </c>
      <c r="AE38" s="62">
        <v>2.5</v>
      </c>
      <c r="AF38" s="62">
        <v>8.76</v>
      </c>
      <c r="AG38" s="62">
        <v>9.92</v>
      </c>
      <c r="AH38" s="62">
        <v>1.6</v>
      </c>
      <c r="AI38" s="62">
        <v>5.88</v>
      </c>
      <c r="AJ38" s="62">
        <v>6.37</v>
      </c>
      <c r="AK38" s="62">
        <v>0.1</v>
      </c>
      <c r="AL38" s="62">
        <v>7.0000000000000007E-2</v>
      </c>
      <c r="AM38" s="62">
        <v>1.92</v>
      </c>
      <c r="AN38" s="62">
        <v>0.41</v>
      </c>
      <c r="AO38" s="62">
        <v>0.43</v>
      </c>
      <c r="AP38" s="62">
        <v>1.23</v>
      </c>
      <c r="AQ38" s="62">
        <v>2.6</v>
      </c>
      <c r="AR38" s="62">
        <v>3</v>
      </c>
      <c r="AS38" s="62">
        <v>1.49</v>
      </c>
      <c r="AT38" s="62">
        <v>0.57999999999999996</v>
      </c>
      <c r="AU38" s="62">
        <v>3</v>
      </c>
      <c r="AV38" s="62">
        <v>1.51</v>
      </c>
      <c r="AW38" s="62">
        <v>0.21</v>
      </c>
      <c r="AX38" s="62">
        <v>1.45</v>
      </c>
      <c r="AY38" s="62">
        <v>2.65</v>
      </c>
      <c r="AZ38" s="62">
        <v>18.559999999999999</v>
      </c>
      <c r="BA38" s="62">
        <v>0.35</v>
      </c>
      <c r="BB38" s="62">
        <v>0.79</v>
      </c>
      <c r="BC38" s="62">
        <v>3.45</v>
      </c>
      <c r="BD38" s="62">
        <v>0.26</v>
      </c>
      <c r="BE38" s="62">
        <v>3.05</v>
      </c>
      <c r="BF38" s="62">
        <v>2.57</v>
      </c>
      <c r="BG38" s="62">
        <v>5.67</v>
      </c>
      <c r="BH38" s="62">
        <v>2.1800000000000002</v>
      </c>
      <c r="BI38" s="62">
        <v>2.2000000000000002</v>
      </c>
      <c r="BJ38" s="62">
        <v>0.79</v>
      </c>
      <c r="BK38" s="62">
        <v>0.01</v>
      </c>
      <c r="BL38" s="62">
        <v>1.0900000000000001</v>
      </c>
      <c r="BM38" s="62">
        <v>1.05</v>
      </c>
      <c r="BN38" s="62">
        <v>7.0000000000000007E-2</v>
      </c>
      <c r="BO38" s="62">
        <v>0.66</v>
      </c>
      <c r="BP38" s="62">
        <v>1.03</v>
      </c>
      <c r="BR38" s="62">
        <v>0.46</v>
      </c>
      <c r="BS38" s="62">
        <v>0.04</v>
      </c>
      <c r="BT38" s="62">
        <v>0.48</v>
      </c>
      <c r="BU38" s="62">
        <v>0.24</v>
      </c>
      <c r="BV38" s="62">
        <v>3.84</v>
      </c>
      <c r="BW38" s="62">
        <v>1.24</v>
      </c>
      <c r="BX38" s="62">
        <v>0.01</v>
      </c>
      <c r="BY38" s="62">
        <v>1.62</v>
      </c>
      <c r="BZ38" s="62">
        <v>1.68</v>
      </c>
      <c r="CA38" s="62">
        <v>0.2</v>
      </c>
      <c r="CB38" s="62">
        <v>5.28</v>
      </c>
      <c r="CC38" s="62">
        <v>0.22</v>
      </c>
      <c r="CD38" s="62">
        <v>8.9</v>
      </c>
      <c r="CE38" s="62">
        <v>6.26</v>
      </c>
      <c r="CF38" s="62">
        <v>3.1</v>
      </c>
      <c r="CG38" s="62">
        <v>2.08</v>
      </c>
      <c r="CH38" s="62">
        <v>0.01</v>
      </c>
      <c r="CI38" s="62">
        <v>4.08</v>
      </c>
      <c r="CJ38" s="62">
        <v>0.41</v>
      </c>
      <c r="CK38" s="62">
        <v>1.43</v>
      </c>
      <c r="CL38" s="62">
        <v>3.85</v>
      </c>
      <c r="CM38" s="62">
        <v>4.5</v>
      </c>
      <c r="CN38" s="62">
        <v>0.14000000000000001</v>
      </c>
      <c r="CO38" s="62">
        <v>0.73</v>
      </c>
      <c r="CP38" s="62">
        <v>0.45</v>
      </c>
      <c r="CQ38" s="62">
        <v>2.2000000000000002</v>
      </c>
      <c r="CR38" s="62">
        <v>5.65</v>
      </c>
      <c r="CS38" s="62">
        <v>0.12</v>
      </c>
      <c r="CT38" s="62">
        <v>3.63</v>
      </c>
      <c r="CU38" s="62">
        <v>2.0299999999999998</v>
      </c>
      <c r="CV38" s="62">
        <v>1.86</v>
      </c>
      <c r="CW38" s="62">
        <v>4.74</v>
      </c>
      <c r="CX38" s="62">
        <v>3.1</v>
      </c>
      <c r="CY38" s="62">
        <v>3.35</v>
      </c>
      <c r="CZ38" s="62">
        <v>0.38</v>
      </c>
      <c r="DA38" s="62">
        <v>1.84</v>
      </c>
      <c r="DB38" s="62">
        <v>2.25</v>
      </c>
      <c r="DC38" s="62">
        <v>1.02</v>
      </c>
      <c r="DD38" s="62">
        <v>2.0099999999999998</v>
      </c>
      <c r="DE38" s="62">
        <v>3.24</v>
      </c>
      <c r="DF38" s="62">
        <v>0.72</v>
      </c>
      <c r="DG38" s="62">
        <v>0</v>
      </c>
      <c r="DH38" s="62">
        <v>4.9000000000000004</v>
      </c>
      <c r="DI38" s="62">
        <v>3.05</v>
      </c>
      <c r="DJ38" s="62">
        <v>3.17</v>
      </c>
      <c r="DK38" s="62">
        <v>3</v>
      </c>
      <c r="DL38" s="62">
        <v>2.04</v>
      </c>
      <c r="DM38" s="62">
        <v>2.95</v>
      </c>
      <c r="DN38" s="62">
        <v>0.15</v>
      </c>
      <c r="DO38" s="62">
        <v>7.72</v>
      </c>
    </row>
    <row r="39" spans="1:119" x14ac:dyDescent="0.3">
      <c r="A39" s="64" t="s">
        <v>9081</v>
      </c>
      <c r="B39" s="62">
        <v>8.06</v>
      </c>
      <c r="C39" s="62">
        <v>0</v>
      </c>
      <c r="D39" s="62">
        <v>2.9</v>
      </c>
      <c r="E39" s="62">
        <v>2.17</v>
      </c>
      <c r="F39" s="62">
        <v>7.0000000000000007E-2</v>
      </c>
      <c r="G39" s="62">
        <v>0</v>
      </c>
      <c r="H39" s="62">
        <v>1.04</v>
      </c>
      <c r="I39" s="62">
        <v>1.17</v>
      </c>
      <c r="J39" s="62">
        <v>0.67</v>
      </c>
      <c r="K39" s="62">
        <v>6.34</v>
      </c>
      <c r="L39" s="62">
        <v>1.04</v>
      </c>
      <c r="M39" s="62">
        <v>2.65</v>
      </c>
      <c r="N39" s="62">
        <v>0.63</v>
      </c>
      <c r="O39" s="62">
        <v>0.01</v>
      </c>
      <c r="P39" s="62">
        <v>0.05</v>
      </c>
      <c r="Q39" s="62">
        <v>3.75</v>
      </c>
      <c r="R39" s="62">
        <v>1.39</v>
      </c>
      <c r="S39" s="62">
        <v>0.82</v>
      </c>
      <c r="T39" s="62">
        <v>0.72</v>
      </c>
      <c r="U39" s="62">
        <v>3.97</v>
      </c>
      <c r="V39" s="62">
        <v>7</v>
      </c>
      <c r="W39" s="62">
        <v>9.3800000000000008</v>
      </c>
      <c r="X39" s="62">
        <v>4.7</v>
      </c>
      <c r="Y39" s="62">
        <v>0.09</v>
      </c>
      <c r="Z39" s="62">
        <v>0.02</v>
      </c>
      <c r="AA39" s="62">
        <v>5.8</v>
      </c>
      <c r="AB39" s="62">
        <v>16.64</v>
      </c>
      <c r="AC39" s="62">
        <v>1.77</v>
      </c>
      <c r="AD39" s="62">
        <v>0.5</v>
      </c>
      <c r="AE39" s="62">
        <v>2.5</v>
      </c>
      <c r="AF39" s="62">
        <v>8.2100000000000009</v>
      </c>
      <c r="AG39" s="62">
        <v>10</v>
      </c>
      <c r="AH39" s="62">
        <v>1.5</v>
      </c>
      <c r="AI39" s="62">
        <v>5.9</v>
      </c>
      <c r="AJ39" s="62">
        <v>6.69</v>
      </c>
      <c r="AK39" s="62">
        <v>0.11</v>
      </c>
      <c r="AL39" s="62">
        <v>0.06</v>
      </c>
      <c r="AM39" s="62">
        <v>2.0299999999999998</v>
      </c>
      <c r="AN39" s="62">
        <v>0.46</v>
      </c>
      <c r="AO39" s="62">
        <v>0.32</v>
      </c>
      <c r="AP39" s="62">
        <v>1.22</v>
      </c>
      <c r="AQ39" s="62">
        <v>2.58</v>
      </c>
      <c r="AR39" s="62">
        <v>2.96</v>
      </c>
      <c r="AS39" s="62">
        <v>1.51</v>
      </c>
      <c r="AT39" s="62">
        <v>0.35</v>
      </c>
      <c r="AU39" s="62">
        <v>2.8</v>
      </c>
      <c r="AV39" s="62">
        <v>1.43</v>
      </c>
      <c r="AW39" s="62">
        <v>0.21</v>
      </c>
      <c r="AX39" s="62">
        <v>1.46</v>
      </c>
      <c r="AY39" s="62">
        <v>2.6</v>
      </c>
      <c r="AZ39" s="62">
        <v>20.39</v>
      </c>
      <c r="BA39" s="62">
        <v>0.35</v>
      </c>
      <c r="BB39" s="62">
        <v>0.8</v>
      </c>
      <c r="BC39" s="62">
        <v>3.6</v>
      </c>
      <c r="BD39" s="62">
        <v>0.26</v>
      </c>
      <c r="BE39" s="62">
        <v>3.02</v>
      </c>
      <c r="BF39" s="62">
        <v>2.6</v>
      </c>
      <c r="BG39" s="62">
        <v>5.6</v>
      </c>
      <c r="BH39" s="62">
        <v>1.94</v>
      </c>
      <c r="BI39" s="62">
        <v>2.2999999999999998</v>
      </c>
      <c r="BJ39" s="62">
        <v>0.81</v>
      </c>
      <c r="BK39" s="62">
        <v>0.01</v>
      </c>
      <c r="BL39" s="62">
        <v>1.19</v>
      </c>
      <c r="BM39" s="62">
        <v>1.25</v>
      </c>
      <c r="BN39" s="62">
        <v>0.08</v>
      </c>
      <c r="BO39" s="62">
        <v>0.56000000000000005</v>
      </c>
      <c r="BP39" s="62">
        <v>1</v>
      </c>
      <c r="BR39" s="62">
        <v>0.52</v>
      </c>
      <c r="BS39" s="62">
        <v>0.04</v>
      </c>
      <c r="BT39" s="62">
        <v>0.47</v>
      </c>
      <c r="BU39" s="62">
        <v>0.2</v>
      </c>
      <c r="BV39" s="62">
        <v>3.75</v>
      </c>
      <c r="BW39" s="62">
        <v>1.19</v>
      </c>
      <c r="BX39" s="62">
        <v>0.02</v>
      </c>
      <c r="BY39" s="62">
        <v>1.53</v>
      </c>
      <c r="BZ39" s="62">
        <v>1.7</v>
      </c>
      <c r="CA39" s="62">
        <v>0.19</v>
      </c>
      <c r="CB39" s="62">
        <v>5.14</v>
      </c>
      <c r="CC39" s="62">
        <v>0.2</v>
      </c>
      <c r="CD39" s="62">
        <v>8.77</v>
      </c>
      <c r="CE39" s="62">
        <v>6.75</v>
      </c>
      <c r="CF39" s="62">
        <v>3.47</v>
      </c>
      <c r="CG39" s="62">
        <v>2.06</v>
      </c>
      <c r="CH39" s="62">
        <v>0.01</v>
      </c>
      <c r="CI39" s="62">
        <v>4</v>
      </c>
      <c r="CJ39" s="62">
        <v>0.36</v>
      </c>
      <c r="CK39" s="62">
        <v>1.51</v>
      </c>
      <c r="CL39" s="62">
        <v>3.94</v>
      </c>
      <c r="CM39" s="62">
        <v>4.75</v>
      </c>
      <c r="CN39" s="62">
        <v>0.17</v>
      </c>
      <c r="CO39" s="62">
        <v>0.75</v>
      </c>
      <c r="CP39" s="62">
        <v>0.4</v>
      </c>
      <c r="CQ39" s="62">
        <v>2.35</v>
      </c>
      <c r="CR39" s="62">
        <v>5.5</v>
      </c>
      <c r="CS39" s="62">
        <v>0.05</v>
      </c>
      <c r="CT39" s="62">
        <v>3.52</v>
      </c>
      <c r="CU39" s="62">
        <v>2.1800000000000002</v>
      </c>
      <c r="CV39" s="62">
        <v>1.82</v>
      </c>
      <c r="CW39" s="62">
        <v>4.87</v>
      </c>
      <c r="CX39" s="62">
        <v>3.27</v>
      </c>
      <c r="CY39" s="62">
        <v>3.2</v>
      </c>
      <c r="CZ39" s="62">
        <v>0.39</v>
      </c>
      <c r="DA39" s="62">
        <v>2.58</v>
      </c>
      <c r="DB39" s="62">
        <v>2.59</v>
      </c>
      <c r="DC39" s="62">
        <v>1.27</v>
      </c>
      <c r="DD39" s="62">
        <v>1.72</v>
      </c>
      <c r="DE39" s="62">
        <v>3.26</v>
      </c>
      <c r="DF39" s="62">
        <v>0.57999999999999996</v>
      </c>
      <c r="DG39" s="62">
        <v>0</v>
      </c>
      <c r="DH39" s="62">
        <v>4.4000000000000004</v>
      </c>
      <c r="DI39" s="62">
        <v>3.45</v>
      </c>
      <c r="DJ39" s="62">
        <v>3.14</v>
      </c>
      <c r="DK39" s="62">
        <v>2.99</v>
      </c>
      <c r="DL39" s="62">
        <v>2.0099999999999998</v>
      </c>
      <c r="DM39" s="62">
        <v>3</v>
      </c>
      <c r="DN39" s="62">
        <v>0.16</v>
      </c>
      <c r="DO39" s="62">
        <v>7.1</v>
      </c>
    </row>
    <row r="40" spans="1:119" x14ac:dyDescent="0.3">
      <c r="A40" s="64" t="s">
        <v>9082</v>
      </c>
      <c r="B40" s="62">
        <v>8.09</v>
      </c>
      <c r="C40" s="62">
        <v>0</v>
      </c>
      <c r="D40" s="62">
        <v>2.75</v>
      </c>
      <c r="E40" s="62">
        <v>2.19</v>
      </c>
      <c r="F40" s="62">
        <v>7.0000000000000007E-2</v>
      </c>
      <c r="G40" s="62">
        <v>0</v>
      </c>
      <c r="H40" s="62">
        <v>1.01</v>
      </c>
      <c r="I40" s="62">
        <v>1.25</v>
      </c>
      <c r="J40" s="62">
        <v>0.64</v>
      </c>
      <c r="K40" s="62">
        <v>6.25</v>
      </c>
      <c r="L40" s="62">
        <v>0.98</v>
      </c>
      <c r="M40" s="62">
        <v>2.6</v>
      </c>
      <c r="N40" s="62">
        <v>0.64</v>
      </c>
      <c r="O40" s="62">
        <v>0.01</v>
      </c>
      <c r="P40" s="62">
        <v>0.04</v>
      </c>
      <c r="Q40" s="62">
        <v>4.03</v>
      </c>
      <c r="R40" s="62">
        <v>1.4</v>
      </c>
      <c r="S40" s="62">
        <v>0.78</v>
      </c>
      <c r="T40" s="62">
        <v>0.72</v>
      </c>
      <c r="U40" s="62">
        <v>3.97</v>
      </c>
      <c r="V40" s="62">
        <v>7</v>
      </c>
      <c r="W40" s="62">
        <v>8.0299999999999994</v>
      </c>
      <c r="X40" s="62">
        <v>4.66</v>
      </c>
      <c r="Y40" s="62">
        <v>0.09</v>
      </c>
      <c r="Z40" s="62">
        <v>0.02</v>
      </c>
      <c r="AA40" s="62">
        <v>5.8</v>
      </c>
      <c r="AB40" s="62">
        <v>16.7</v>
      </c>
      <c r="AC40" s="62">
        <v>1.6</v>
      </c>
      <c r="AD40" s="62">
        <v>0.47</v>
      </c>
      <c r="AE40" s="62">
        <v>2.5</v>
      </c>
      <c r="AF40" s="62">
        <v>8.52</v>
      </c>
      <c r="AG40" s="62">
        <v>10.14</v>
      </c>
      <c r="AH40" s="62">
        <v>1.49</v>
      </c>
      <c r="AI40" s="62">
        <v>6</v>
      </c>
      <c r="AJ40" s="62">
        <v>6.75</v>
      </c>
      <c r="AK40" s="62">
        <v>0.12</v>
      </c>
      <c r="AL40" s="62">
        <v>7.0000000000000007E-2</v>
      </c>
      <c r="AM40" s="62">
        <v>2.1</v>
      </c>
      <c r="AN40" s="62">
        <v>0.47</v>
      </c>
      <c r="AO40" s="62">
        <v>0.35</v>
      </c>
      <c r="AP40" s="62">
        <v>1.22</v>
      </c>
      <c r="AQ40" s="62">
        <v>2.52</v>
      </c>
      <c r="AR40" s="62">
        <v>3.05</v>
      </c>
      <c r="AS40" s="62">
        <v>1.49</v>
      </c>
      <c r="AT40" s="62">
        <v>0.39</v>
      </c>
      <c r="AU40" s="62">
        <v>2.75</v>
      </c>
      <c r="AV40" s="62">
        <v>1.37</v>
      </c>
      <c r="AW40" s="62">
        <v>0.23</v>
      </c>
      <c r="AX40" s="62">
        <v>1.38</v>
      </c>
      <c r="AY40" s="62">
        <v>2.56</v>
      </c>
      <c r="AZ40" s="62">
        <v>20.71</v>
      </c>
      <c r="BA40" s="62">
        <v>0.33</v>
      </c>
      <c r="BB40" s="62">
        <v>0.8</v>
      </c>
      <c r="BC40" s="62">
        <v>3.6</v>
      </c>
      <c r="BD40" s="62">
        <v>0.38</v>
      </c>
      <c r="BE40" s="62">
        <v>2.96</v>
      </c>
      <c r="BF40" s="62">
        <v>2.6</v>
      </c>
      <c r="BG40" s="62">
        <v>5.55</v>
      </c>
      <c r="BH40" s="62">
        <v>1.92</v>
      </c>
      <c r="BI40" s="62">
        <v>2.48</v>
      </c>
      <c r="BJ40" s="62">
        <v>0.75</v>
      </c>
      <c r="BK40" s="62">
        <v>0.01</v>
      </c>
      <c r="BL40" s="62">
        <v>1.28</v>
      </c>
      <c r="BM40" s="62">
        <v>1.26</v>
      </c>
      <c r="BN40" s="62">
        <v>0.08</v>
      </c>
      <c r="BO40" s="62">
        <v>0.59</v>
      </c>
      <c r="BP40" s="62">
        <v>1.05</v>
      </c>
      <c r="BR40" s="62">
        <v>0.59</v>
      </c>
      <c r="BS40" s="62">
        <v>0.04</v>
      </c>
      <c r="BT40" s="62">
        <v>0.5</v>
      </c>
      <c r="BU40" s="62">
        <v>0.32</v>
      </c>
      <c r="BV40" s="62">
        <v>3.85</v>
      </c>
      <c r="BW40" s="62">
        <v>1.2</v>
      </c>
      <c r="BX40" s="62">
        <v>0.02</v>
      </c>
      <c r="BY40" s="62">
        <v>1.57</v>
      </c>
      <c r="BZ40" s="62">
        <v>1.4</v>
      </c>
      <c r="CA40" s="62">
        <v>0.22</v>
      </c>
      <c r="CB40" s="62">
        <v>5.08</v>
      </c>
      <c r="CC40" s="62">
        <v>0.22</v>
      </c>
      <c r="CD40" s="62">
        <v>8.11</v>
      </c>
      <c r="CE40" s="62">
        <v>6.78</v>
      </c>
      <c r="CF40" s="62">
        <v>3.45</v>
      </c>
      <c r="CG40" s="62">
        <v>2.15</v>
      </c>
      <c r="CH40" s="62">
        <v>0.01</v>
      </c>
      <c r="CI40" s="62">
        <v>4.17</v>
      </c>
      <c r="CJ40" s="62">
        <v>0.28999999999999998</v>
      </c>
      <c r="CK40" s="62">
        <v>1.52</v>
      </c>
      <c r="CL40" s="62">
        <v>3.93</v>
      </c>
      <c r="CM40" s="62">
        <v>4.55</v>
      </c>
      <c r="CN40" s="62">
        <v>0.17</v>
      </c>
      <c r="CO40" s="62">
        <v>0.69</v>
      </c>
      <c r="CP40" s="62">
        <v>0.38</v>
      </c>
      <c r="CQ40" s="62">
        <v>2.35</v>
      </c>
      <c r="CR40" s="62">
        <v>5.5</v>
      </c>
      <c r="CS40" s="62">
        <v>0.05</v>
      </c>
      <c r="CT40" s="62">
        <v>3.41</v>
      </c>
      <c r="CU40" s="62">
        <v>2.19</v>
      </c>
      <c r="CV40" s="62">
        <v>1.77</v>
      </c>
      <c r="CW40" s="62">
        <v>4.68</v>
      </c>
      <c r="CX40" s="62">
        <v>3.11</v>
      </c>
      <c r="CY40" s="62">
        <v>3.2</v>
      </c>
      <c r="CZ40" s="62">
        <v>0.41</v>
      </c>
      <c r="DA40" s="62">
        <v>2.13</v>
      </c>
      <c r="DB40" s="62">
        <v>2.6</v>
      </c>
      <c r="DC40" s="62">
        <v>1.27</v>
      </c>
      <c r="DD40" s="62">
        <v>1.77</v>
      </c>
      <c r="DE40" s="62">
        <v>3.7</v>
      </c>
      <c r="DF40" s="62">
        <v>0.67</v>
      </c>
      <c r="DG40" s="62">
        <v>0</v>
      </c>
      <c r="DH40" s="62">
        <v>4.74</v>
      </c>
      <c r="DI40" s="62">
        <v>3.5</v>
      </c>
      <c r="DJ40" s="62">
        <v>3.24</v>
      </c>
      <c r="DK40" s="62">
        <v>2.8</v>
      </c>
      <c r="DL40" s="62">
        <v>2.02</v>
      </c>
      <c r="DM40" s="62">
        <v>2.85</v>
      </c>
      <c r="DN40" s="62">
        <v>0.16</v>
      </c>
      <c r="DO40" s="62">
        <v>7.26</v>
      </c>
    </row>
    <row r="41" spans="1:119" x14ac:dyDescent="0.3">
      <c r="A41" s="64" t="s">
        <v>9083</v>
      </c>
      <c r="B41" s="62">
        <v>8.66</v>
      </c>
      <c r="C41" s="62">
        <v>0</v>
      </c>
      <c r="D41" s="62">
        <v>2.65</v>
      </c>
      <c r="E41" s="62">
        <v>2.11</v>
      </c>
      <c r="F41" s="62">
        <v>7.0000000000000007E-2</v>
      </c>
      <c r="G41" s="62">
        <v>0</v>
      </c>
      <c r="H41" s="62">
        <v>1.03</v>
      </c>
      <c r="I41" s="62">
        <v>1.32</v>
      </c>
      <c r="J41" s="62">
        <v>0.64</v>
      </c>
      <c r="K41" s="62">
        <v>6.85</v>
      </c>
      <c r="L41" s="62">
        <v>1</v>
      </c>
      <c r="M41" s="62">
        <v>2.7</v>
      </c>
      <c r="N41" s="62">
        <v>0.63</v>
      </c>
      <c r="O41" s="62">
        <v>0.01</v>
      </c>
      <c r="P41" s="62">
        <v>0.05</v>
      </c>
      <c r="Q41" s="62">
        <v>4.08</v>
      </c>
      <c r="R41" s="62">
        <v>1.2</v>
      </c>
      <c r="S41" s="62">
        <v>0.78</v>
      </c>
      <c r="T41" s="62">
        <v>0.8</v>
      </c>
      <c r="U41" s="62">
        <v>4.1100000000000003</v>
      </c>
      <c r="V41" s="62">
        <v>7.25</v>
      </c>
      <c r="W41" s="62">
        <v>7.1</v>
      </c>
      <c r="X41" s="62">
        <v>4.79</v>
      </c>
      <c r="Y41" s="62">
        <v>0.09</v>
      </c>
      <c r="Z41" s="62">
        <v>0.02</v>
      </c>
      <c r="AA41" s="62">
        <v>5.95</v>
      </c>
      <c r="AB41" s="62">
        <v>17.14</v>
      </c>
      <c r="AC41" s="62">
        <v>1.8</v>
      </c>
      <c r="AD41" s="62">
        <v>0.52</v>
      </c>
      <c r="AE41" s="62">
        <v>2.5</v>
      </c>
      <c r="AF41" s="62">
        <v>8.69</v>
      </c>
      <c r="AG41" s="62">
        <v>9.89</v>
      </c>
      <c r="AH41" s="62">
        <v>1.48</v>
      </c>
      <c r="AI41" s="62">
        <v>6.19</v>
      </c>
      <c r="AJ41" s="62">
        <v>6.99</v>
      </c>
      <c r="AK41" s="62">
        <v>0.13</v>
      </c>
      <c r="AL41" s="62">
        <v>7.0000000000000007E-2</v>
      </c>
      <c r="AM41" s="62">
        <v>2.15</v>
      </c>
      <c r="AN41" s="62">
        <v>0.48</v>
      </c>
      <c r="AO41" s="62">
        <v>0.35</v>
      </c>
      <c r="AP41" s="62">
        <v>1.27</v>
      </c>
      <c r="AQ41" s="62">
        <v>2.4300000000000002</v>
      </c>
      <c r="AR41" s="62">
        <v>3.24</v>
      </c>
      <c r="AS41" s="62">
        <v>1.55</v>
      </c>
      <c r="AT41" s="62">
        <v>0.34</v>
      </c>
      <c r="AU41" s="62">
        <v>2.85</v>
      </c>
      <c r="AV41" s="62">
        <v>1.39</v>
      </c>
      <c r="AW41" s="62">
        <v>0.23</v>
      </c>
      <c r="AX41" s="62">
        <v>1.44</v>
      </c>
      <c r="AY41" s="62">
        <v>2.5499999999999998</v>
      </c>
      <c r="AZ41" s="62">
        <v>21.09</v>
      </c>
      <c r="BA41" s="62">
        <v>0.33</v>
      </c>
      <c r="BB41" s="62">
        <v>0.79</v>
      </c>
      <c r="BC41" s="62">
        <v>3.59</v>
      </c>
      <c r="BD41" s="62">
        <v>0.38</v>
      </c>
      <c r="BE41" s="62">
        <v>3.07</v>
      </c>
      <c r="BF41" s="62">
        <v>2.71</v>
      </c>
      <c r="BG41" s="62">
        <v>5.5</v>
      </c>
      <c r="BH41" s="62">
        <v>1.89</v>
      </c>
      <c r="BI41" s="62">
        <v>2.85</v>
      </c>
      <c r="BJ41" s="62">
        <v>0.73</v>
      </c>
      <c r="BK41" s="62">
        <v>0</v>
      </c>
      <c r="BL41" s="62">
        <v>1.36</v>
      </c>
      <c r="BM41" s="62">
        <v>1.27</v>
      </c>
      <c r="BN41" s="62">
        <v>0.08</v>
      </c>
      <c r="BO41" s="62">
        <v>0.67</v>
      </c>
      <c r="BP41" s="62">
        <v>1.1000000000000001</v>
      </c>
      <c r="BR41" s="62">
        <v>0.52</v>
      </c>
      <c r="BS41" s="62">
        <v>0.04</v>
      </c>
      <c r="BT41" s="62">
        <v>0.53</v>
      </c>
      <c r="BU41" s="62">
        <v>0.27</v>
      </c>
      <c r="BV41" s="62">
        <v>4.3499999999999996</v>
      </c>
      <c r="BW41" s="62">
        <v>1.24</v>
      </c>
      <c r="BX41" s="62">
        <v>0.02</v>
      </c>
      <c r="BY41" s="62">
        <v>1.6</v>
      </c>
      <c r="BZ41" s="62">
        <v>1.58</v>
      </c>
      <c r="CA41" s="62">
        <v>0.21</v>
      </c>
      <c r="CB41" s="62">
        <v>5.42</v>
      </c>
      <c r="CC41" s="62">
        <v>0.25</v>
      </c>
      <c r="CD41" s="62">
        <v>8.7200000000000006</v>
      </c>
      <c r="CE41" s="62">
        <v>7</v>
      </c>
      <c r="CF41" s="62">
        <v>3.41</v>
      </c>
      <c r="CG41" s="62">
        <v>2.2400000000000002</v>
      </c>
      <c r="CH41" s="62">
        <v>0.01</v>
      </c>
      <c r="CI41" s="62">
        <v>4.13</v>
      </c>
      <c r="CJ41" s="62">
        <v>0.33</v>
      </c>
      <c r="CK41" s="62">
        <v>1.58</v>
      </c>
      <c r="CL41" s="62">
        <v>3.78</v>
      </c>
      <c r="CM41" s="62">
        <v>4.57</v>
      </c>
      <c r="CN41" s="62">
        <v>0.19</v>
      </c>
      <c r="CO41" s="62">
        <v>0.75</v>
      </c>
      <c r="CP41" s="62">
        <v>0.36</v>
      </c>
      <c r="CQ41" s="62">
        <v>2.3199999999999998</v>
      </c>
      <c r="CR41" s="62">
        <v>5.7</v>
      </c>
      <c r="CS41" s="62">
        <v>0.05</v>
      </c>
      <c r="CT41" s="62">
        <v>3.5</v>
      </c>
      <c r="CU41" s="62">
        <v>2.4300000000000002</v>
      </c>
      <c r="CV41" s="62">
        <v>1.79</v>
      </c>
      <c r="CW41" s="62">
        <v>4.9000000000000004</v>
      </c>
      <c r="CX41" s="62">
        <v>3.11</v>
      </c>
      <c r="CY41" s="62">
        <v>3.2</v>
      </c>
      <c r="CZ41" s="62">
        <v>0.43</v>
      </c>
      <c r="DA41" s="62">
        <v>2.23</v>
      </c>
      <c r="DB41" s="62">
        <v>2.73</v>
      </c>
      <c r="DC41" s="62">
        <v>1.53</v>
      </c>
      <c r="DD41" s="62">
        <v>2.08</v>
      </c>
      <c r="DE41" s="62">
        <v>3.86</v>
      </c>
      <c r="DF41" s="62">
        <v>0.67</v>
      </c>
      <c r="DG41" s="62">
        <v>0</v>
      </c>
      <c r="DH41" s="62">
        <v>4.7300000000000004</v>
      </c>
      <c r="DI41" s="62">
        <v>3.85</v>
      </c>
      <c r="DJ41" s="62">
        <v>3.23</v>
      </c>
      <c r="DK41" s="62">
        <v>2.77</v>
      </c>
      <c r="DL41" s="62">
        <v>2.06</v>
      </c>
      <c r="DM41" s="62">
        <v>2.63</v>
      </c>
      <c r="DN41" s="62">
        <v>0.2</v>
      </c>
      <c r="DO41" s="62">
        <v>7.12</v>
      </c>
    </row>
    <row r="42" spans="1:119" x14ac:dyDescent="0.3">
      <c r="A42" s="64" t="s">
        <v>9084</v>
      </c>
      <c r="B42" s="62">
        <v>8.57</v>
      </c>
      <c r="C42" s="62">
        <v>0</v>
      </c>
      <c r="D42" s="62">
        <v>2.75</v>
      </c>
      <c r="E42" s="62">
        <v>2.44</v>
      </c>
      <c r="F42" s="62">
        <v>7.0000000000000007E-2</v>
      </c>
      <c r="G42" s="62">
        <v>0</v>
      </c>
      <c r="H42" s="62">
        <v>1.01</v>
      </c>
      <c r="I42" s="62">
        <v>1.34</v>
      </c>
      <c r="J42" s="62">
        <v>0.63</v>
      </c>
      <c r="K42" s="62">
        <v>7.35</v>
      </c>
      <c r="L42" s="62">
        <v>1.03</v>
      </c>
      <c r="M42" s="62">
        <v>2.75</v>
      </c>
      <c r="N42" s="62">
        <v>0.64</v>
      </c>
      <c r="O42" s="62">
        <v>0.01</v>
      </c>
      <c r="P42" s="62">
        <v>0.04</v>
      </c>
      <c r="Q42" s="62">
        <v>4.37</v>
      </c>
      <c r="R42" s="62">
        <v>1.1499999999999999</v>
      </c>
      <c r="S42" s="62">
        <v>0.57999999999999996</v>
      </c>
      <c r="T42" s="62">
        <v>0.85</v>
      </c>
      <c r="U42" s="62">
        <v>4.07</v>
      </c>
      <c r="V42" s="62">
        <v>7.35</v>
      </c>
      <c r="W42" s="62">
        <v>7.27</v>
      </c>
      <c r="X42" s="62">
        <v>4.8</v>
      </c>
      <c r="Y42" s="62">
        <v>0.1</v>
      </c>
      <c r="Z42" s="62">
        <v>0.02</v>
      </c>
      <c r="AA42" s="62">
        <v>6.2</v>
      </c>
      <c r="AB42" s="62">
        <v>18.600000000000001</v>
      </c>
      <c r="AC42" s="62">
        <v>2.1</v>
      </c>
      <c r="AD42" s="62">
        <v>0.51</v>
      </c>
      <c r="AE42" s="62">
        <v>2.5</v>
      </c>
      <c r="AF42" s="62">
        <v>9.2100000000000009</v>
      </c>
      <c r="AG42" s="62">
        <v>9.1999999999999993</v>
      </c>
      <c r="AH42" s="62">
        <v>1.5</v>
      </c>
      <c r="AI42" s="62">
        <v>6.35</v>
      </c>
      <c r="AJ42" s="62">
        <v>7.03</v>
      </c>
      <c r="AK42" s="62">
        <v>0.14000000000000001</v>
      </c>
      <c r="AL42" s="62">
        <v>7.0000000000000007E-2</v>
      </c>
      <c r="AM42" s="62">
        <v>2.14</v>
      </c>
      <c r="AN42" s="62">
        <v>0.42</v>
      </c>
      <c r="AO42" s="62">
        <v>0.33</v>
      </c>
      <c r="AP42" s="62">
        <v>1.24</v>
      </c>
      <c r="AQ42" s="62">
        <v>2.34</v>
      </c>
      <c r="AR42" s="62">
        <v>3.36</v>
      </c>
      <c r="AS42" s="62">
        <v>1.58</v>
      </c>
      <c r="AT42" s="62">
        <v>0.38</v>
      </c>
      <c r="AU42" s="62">
        <v>2.88</v>
      </c>
      <c r="AV42" s="62">
        <v>1.34</v>
      </c>
      <c r="AW42" s="62">
        <v>0.4</v>
      </c>
      <c r="AX42" s="62">
        <v>1.41</v>
      </c>
      <c r="AY42" s="62">
        <v>2.6</v>
      </c>
      <c r="AZ42" s="62">
        <v>21.41</v>
      </c>
      <c r="BA42" s="62">
        <v>0.3</v>
      </c>
      <c r="BB42" s="62">
        <v>0.8</v>
      </c>
      <c r="BC42" s="62">
        <v>4.1500000000000004</v>
      </c>
      <c r="BD42" s="62">
        <v>0.38</v>
      </c>
      <c r="BE42" s="62">
        <v>3.06</v>
      </c>
      <c r="BF42" s="62">
        <v>2.69</v>
      </c>
      <c r="BG42" s="62">
        <v>5.95</v>
      </c>
      <c r="BH42" s="62">
        <v>1.5</v>
      </c>
      <c r="BI42" s="62">
        <v>3.03</v>
      </c>
      <c r="BJ42" s="62">
        <v>0.71</v>
      </c>
      <c r="BK42" s="62">
        <v>0</v>
      </c>
      <c r="BL42" s="62">
        <v>1.37</v>
      </c>
      <c r="BM42" s="62">
        <v>1.28</v>
      </c>
      <c r="BN42" s="62">
        <v>0.09</v>
      </c>
      <c r="BO42" s="62">
        <v>0.8</v>
      </c>
      <c r="BP42" s="62">
        <v>1.1100000000000001</v>
      </c>
      <c r="BR42" s="62">
        <v>0.51</v>
      </c>
      <c r="BS42" s="62">
        <v>0.02</v>
      </c>
      <c r="BT42" s="62">
        <v>0.54</v>
      </c>
      <c r="BU42" s="62">
        <v>0.26</v>
      </c>
      <c r="BV42" s="62">
        <v>4.37</v>
      </c>
      <c r="BW42" s="62">
        <v>1.19</v>
      </c>
      <c r="BX42" s="62">
        <v>0.02</v>
      </c>
      <c r="BY42" s="62">
        <v>1.58</v>
      </c>
      <c r="BZ42" s="62">
        <v>1.89</v>
      </c>
      <c r="CA42" s="62">
        <v>0.2</v>
      </c>
      <c r="CB42" s="62">
        <v>5.26</v>
      </c>
      <c r="CC42" s="62">
        <v>0.23</v>
      </c>
      <c r="CD42" s="62">
        <v>8.92</v>
      </c>
      <c r="CE42" s="62">
        <v>7.5</v>
      </c>
      <c r="CF42" s="62">
        <v>3.45</v>
      </c>
      <c r="CG42" s="62">
        <v>2.36</v>
      </c>
      <c r="CH42" s="62">
        <v>0.01</v>
      </c>
      <c r="CI42" s="62">
        <v>4.45</v>
      </c>
      <c r="CJ42" s="62">
        <v>0.28000000000000003</v>
      </c>
      <c r="CK42" s="62">
        <v>1.53</v>
      </c>
      <c r="CL42" s="62">
        <v>4.0599999999999996</v>
      </c>
      <c r="CM42" s="62">
        <v>3.8</v>
      </c>
      <c r="CN42" s="62">
        <v>0.2</v>
      </c>
      <c r="CO42" s="62">
        <v>0.69</v>
      </c>
      <c r="CP42" s="62">
        <v>0.36</v>
      </c>
      <c r="CQ42" s="62">
        <v>2.4</v>
      </c>
      <c r="CR42" s="62">
        <v>5.8</v>
      </c>
      <c r="CS42" s="62">
        <v>0.05</v>
      </c>
      <c r="CT42" s="62">
        <v>3.56</v>
      </c>
      <c r="CU42" s="62">
        <v>2.2599999999999998</v>
      </c>
      <c r="CV42" s="62">
        <v>1.82</v>
      </c>
      <c r="CW42" s="62">
        <v>5.3</v>
      </c>
      <c r="CX42" s="62">
        <v>3.15</v>
      </c>
      <c r="CY42" s="62">
        <v>3.5</v>
      </c>
      <c r="CZ42" s="62">
        <v>0.74</v>
      </c>
      <c r="DA42" s="62">
        <v>2.34</v>
      </c>
      <c r="DB42" s="62">
        <v>2.67</v>
      </c>
      <c r="DC42" s="62">
        <v>2.0299999999999998</v>
      </c>
      <c r="DD42" s="62">
        <v>1.96</v>
      </c>
      <c r="DE42" s="62">
        <v>3.9</v>
      </c>
      <c r="DF42" s="62">
        <v>1.06</v>
      </c>
      <c r="DG42" s="62">
        <v>0</v>
      </c>
      <c r="DH42" s="62">
        <v>4.5999999999999996</v>
      </c>
      <c r="DI42" s="62">
        <v>3.8</v>
      </c>
      <c r="DJ42" s="62">
        <v>3.27</v>
      </c>
      <c r="DK42" s="62">
        <v>2.73</v>
      </c>
      <c r="DL42" s="62">
        <v>2.0699999999999998</v>
      </c>
      <c r="DM42" s="62">
        <v>2.62</v>
      </c>
      <c r="DN42" s="62">
        <v>0.24</v>
      </c>
      <c r="DO42" s="62">
        <v>7.27</v>
      </c>
    </row>
    <row r="43" spans="1:119" x14ac:dyDescent="0.3">
      <c r="A43" s="64" t="s">
        <v>9085</v>
      </c>
      <c r="B43" s="62">
        <v>8.27</v>
      </c>
      <c r="C43" s="62">
        <v>0</v>
      </c>
      <c r="D43" s="62">
        <v>2.65</v>
      </c>
      <c r="E43" s="62">
        <v>2.42</v>
      </c>
      <c r="F43" s="62">
        <v>0.06</v>
      </c>
      <c r="G43" s="62">
        <v>0</v>
      </c>
      <c r="H43" s="62">
        <v>0.98</v>
      </c>
      <c r="I43" s="62">
        <v>1.26</v>
      </c>
      <c r="J43" s="62">
        <v>0.59</v>
      </c>
      <c r="K43" s="62">
        <v>6.78</v>
      </c>
      <c r="L43" s="62">
        <v>1.01</v>
      </c>
      <c r="M43" s="62">
        <v>2.65</v>
      </c>
      <c r="N43" s="62">
        <v>0.61</v>
      </c>
      <c r="O43" s="62">
        <v>0.01</v>
      </c>
      <c r="P43" s="62">
        <v>0.04</v>
      </c>
      <c r="Q43" s="62">
        <v>4.3600000000000003</v>
      </c>
      <c r="R43" s="62">
        <v>1.21</v>
      </c>
      <c r="S43" s="62">
        <v>0.63</v>
      </c>
      <c r="T43" s="62">
        <v>0.84</v>
      </c>
      <c r="U43" s="62">
        <v>4.2</v>
      </c>
      <c r="V43" s="62">
        <v>7.4</v>
      </c>
      <c r="W43" s="62">
        <v>8.5500000000000007</v>
      </c>
      <c r="X43" s="62">
        <v>5.16</v>
      </c>
      <c r="Y43" s="62">
        <v>0.1</v>
      </c>
      <c r="Z43" s="62">
        <v>0.02</v>
      </c>
      <c r="AA43" s="62">
        <v>6.3</v>
      </c>
      <c r="AB43" s="62">
        <v>18.37</v>
      </c>
      <c r="AC43" s="62">
        <v>2.11</v>
      </c>
      <c r="AD43" s="62">
        <v>0.51</v>
      </c>
      <c r="AE43" s="62">
        <v>2.5</v>
      </c>
      <c r="AF43" s="62">
        <v>9.85</v>
      </c>
      <c r="AG43" s="62">
        <v>7.96</v>
      </c>
      <c r="AH43" s="62">
        <v>1.36</v>
      </c>
      <c r="AI43" s="62">
        <v>6.11</v>
      </c>
      <c r="AJ43" s="62">
        <v>7.45</v>
      </c>
      <c r="AK43" s="62">
        <v>0.17</v>
      </c>
      <c r="AL43" s="62">
        <v>0.06</v>
      </c>
      <c r="AM43" s="62">
        <v>2.06</v>
      </c>
      <c r="AN43" s="62">
        <v>0.44</v>
      </c>
      <c r="AO43" s="62">
        <v>0.37</v>
      </c>
      <c r="AP43" s="62">
        <v>1.21</v>
      </c>
      <c r="AQ43" s="62">
        <v>2.2000000000000002</v>
      </c>
      <c r="AR43" s="62">
        <v>3.55</v>
      </c>
      <c r="AS43" s="62">
        <v>1.65</v>
      </c>
      <c r="AT43" s="62">
        <v>0.4</v>
      </c>
      <c r="AU43" s="62">
        <v>2.91</v>
      </c>
      <c r="AV43" s="62">
        <v>1.32</v>
      </c>
      <c r="AW43" s="62">
        <v>0.39</v>
      </c>
      <c r="AX43" s="62">
        <v>1.43</v>
      </c>
      <c r="AY43" s="62">
        <v>2.6</v>
      </c>
      <c r="AZ43" s="62">
        <v>22.5</v>
      </c>
      <c r="BA43" s="62">
        <v>0.3</v>
      </c>
      <c r="BB43" s="62">
        <v>0.77</v>
      </c>
      <c r="BC43" s="62">
        <v>4.25</v>
      </c>
      <c r="BD43" s="62">
        <v>0.33</v>
      </c>
      <c r="BE43" s="62">
        <v>3.13</v>
      </c>
      <c r="BF43" s="62">
        <v>2.8</v>
      </c>
      <c r="BG43" s="62">
        <v>6.2</v>
      </c>
      <c r="BH43" s="62">
        <v>1.31</v>
      </c>
      <c r="BI43" s="62">
        <v>2.9</v>
      </c>
      <c r="BJ43" s="62">
        <v>0.69</v>
      </c>
      <c r="BK43" s="62">
        <v>0</v>
      </c>
      <c r="BL43" s="62">
        <v>1.35</v>
      </c>
      <c r="BM43" s="62">
        <v>1.17</v>
      </c>
      <c r="BN43" s="62">
        <v>0.08</v>
      </c>
      <c r="BO43" s="62">
        <v>0.93</v>
      </c>
      <c r="BP43" s="62">
        <v>1.07</v>
      </c>
      <c r="BR43" s="62">
        <v>0.57999999999999996</v>
      </c>
      <c r="BS43" s="62">
        <v>0.02</v>
      </c>
      <c r="BT43" s="62">
        <v>0.54</v>
      </c>
      <c r="BU43" s="62">
        <v>0.24</v>
      </c>
      <c r="BV43" s="62">
        <v>4.13</v>
      </c>
      <c r="BW43" s="62">
        <v>1.2</v>
      </c>
      <c r="BX43" s="62">
        <v>0.01</v>
      </c>
      <c r="BY43" s="62">
        <v>1.6</v>
      </c>
      <c r="BZ43" s="62">
        <v>1.8</v>
      </c>
      <c r="CA43" s="62">
        <v>0.2</v>
      </c>
      <c r="CB43" s="62">
        <v>5.42</v>
      </c>
      <c r="CC43" s="62">
        <v>0.24</v>
      </c>
      <c r="CD43" s="62">
        <v>8.51</v>
      </c>
      <c r="CE43" s="62">
        <v>7.32</v>
      </c>
      <c r="CF43" s="62">
        <v>3.43</v>
      </c>
      <c r="CG43" s="62">
        <v>2.75</v>
      </c>
      <c r="CH43" s="62">
        <v>0.01</v>
      </c>
      <c r="CI43" s="62">
        <v>4.87</v>
      </c>
      <c r="CJ43" s="62">
        <v>0.28999999999999998</v>
      </c>
      <c r="CK43" s="62">
        <v>1.49</v>
      </c>
      <c r="CL43" s="62">
        <v>4.1500000000000004</v>
      </c>
      <c r="CM43" s="62">
        <v>3.88</v>
      </c>
      <c r="CN43" s="62">
        <v>0.21</v>
      </c>
      <c r="CO43" s="62">
        <v>0.69</v>
      </c>
      <c r="CP43" s="62">
        <v>0.27</v>
      </c>
      <c r="CQ43" s="62">
        <v>2.4500000000000002</v>
      </c>
      <c r="CR43" s="62">
        <v>5.2</v>
      </c>
      <c r="CS43" s="62">
        <v>0.05</v>
      </c>
      <c r="CT43" s="62">
        <v>3.61</v>
      </c>
      <c r="CU43" s="62">
        <v>2.17</v>
      </c>
      <c r="CV43" s="62">
        <v>1.72</v>
      </c>
      <c r="CW43" s="62">
        <v>5.18</v>
      </c>
      <c r="CX43" s="62">
        <v>3.47</v>
      </c>
      <c r="CY43" s="62">
        <v>3.45</v>
      </c>
      <c r="CZ43" s="62">
        <v>0.92</v>
      </c>
      <c r="DA43" s="62">
        <v>3.04</v>
      </c>
      <c r="DB43" s="62">
        <v>2.37</v>
      </c>
      <c r="DC43" s="62">
        <v>4.58</v>
      </c>
      <c r="DD43" s="62">
        <v>1.95</v>
      </c>
      <c r="DE43" s="62">
        <v>3.7</v>
      </c>
      <c r="DF43" s="62">
        <v>1.01</v>
      </c>
      <c r="DG43" s="62">
        <v>0</v>
      </c>
      <c r="DH43" s="62">
        <v>4.55</v>
      </c>
      <c r="DI43" s="62">
        <v>3.6</v>
      </c>
      <c r="DJ43" s="62">
        <v>3.15</v>
      </c>
      <c r="DK43" s="62">
        <v>2.97</v>
      </c>
      <c r="DL43" s="62">
        <v>2.06</v>
      </c>
      <c r="DM43" s="62">
        <v>2.2999999999999998</v>
      </c>
      <c r="DN43" s="62">
        <v>0.26</v>
      </c>
      <c r="DO43" s="62">
        <v>7.12</v>
      </c>
    </row>
    <row r="44" spans="1:119" x14ac:dyDescent="0.3">
      <c r="A44" s="64" t="s">
        <v>9086</v>
      </c>
      <c r="B44" s="62">
        <v>8.3800000000000008</v>
      </c>
      <c r="C44" s="62">
        <v>0</v>
      </c>
      <c r="D44" s="62">
        <v>2.2999999999999998</v>
      </c>
      <c r="E44" s="62">
        <v>2.61</v>
      </c>
      <c r="F44" s="62">
        <v>7.0000000000000007E-2</v>
      </c>
      <c r="G44" s="62">
        <v>0</v>
      </c>
      <c r="H44" s="62">
        <v>1.01</v>
      </c>
      <c r="I44" s="62">
        <v>1.31</v>
      </c>
      <c r="J44" s="62">
        <v>0.63</v>
      </c>
      <c r="K44" s="62">
        <v>6.93</v>
      </c>
      <c r="L44" s="62">
        <v>1.01</v>
      </c>
      <c r="M44" s="62">
        <v>2.95</v>
      </c>
      <c r="N44" s="62">
        <v>0.6</v>
      </c>
      <c r="O44" s="62">
        <v>0.01</v>
      </c>
      <c r="P44" s="62">
        <v>0.04</v>
      </c>
      <c r="Q44" s="62">
        <v>4.01</v>
      </c>
      <c r="R44" s="62">
        <v>1.6</v>
      </c>
      <c r="S44" s="62">
        <v>0.57999999999999996</v>
      </c>
      <c r="T44" s="62">
        <v>0.85</v>
      </c>
      <c r="U44" s="62">
        <v>4.4400000000000004</v>
      </c>
      <c r="V44" s="62">
        <v>7.6</v>
      </c>
      <c r="W44" s="62">
        <v>6.95</v>
      </c>
      <c r="X44" s="62">
        <v>5.16</v>
      </c>
      <c r="Y44" s="62">
        <v>7.0000000000000007E-2</v>
      </c>
      <c r="Z44" s="62">
        <v>0.02</v>
      </c>
      <c r="AA44" s="62">
        <v>6.15</v>
      </c>
      <c r="AB44" s="62">
        <v>18.350000000000001</v>
      </c>
      <c r="AC44" s="62">
        <v>1.9</v>
      </c>
      <c r="AD44" s="62">
        <v>0.51</v>
      </c>
      <c r="AE44" s="62">
        <v>2.5</v>
      </c>
      <c r="AF44" s="62">
        <v>10.15</v>
      </c>
      <c r="AG44" s="62">
        <v>8.07</v>
      </c>
      <c r="AH44" s="62">
        <v>1.3</v>
      </c>
      <c r="AI44" s="62">
        <v>5.94</v>
      </c>
      <c r="AJ44" s="62">
        <v>7.52</v>
      </c>
      <c r="AK44" s="62">
        <v>0.2</v>
      </c>
      <c r="AL44" s="62">
        <v>0.06</v>
      </c>
      <c r="AM44" s="62">
        <v>2.15</v>
      </c>
      <c r="AN44" s="62">
        <v>0.45</v>
      </c>
      <c r="AO44" s="62">
        <v>0.36</v>
      </c>
      <c r="AP44" s="62">
        <v>1.22</v>
      </c>
      <c r="AQ44" s="62">
        <v>2.2999999999999998</v>
      </c>
      <c r="AR44" s="62">
        <v>3.16</v>
      </c>
      <c r="AS44" s="62">
        <v>1.68</v>
      </c>
      <c r="AT44" s="62">
        <v>0.36</v>
      </c>
      <c r="AU44" s="62">
        <v>2.98</v>
      </c>
      <c r="AV44" s="62">
        <v>1.32</v>
      </c>
      <c r="AW44" s="62">
        <v>0.39</v>
      </c>
      <c r="AX44" s="62">
        <v>1.42</v>
      </c>
      <c r="AY44" s="62">
        <v>2.6</v>
      </c>
      <c r="AZ44" s="62">
        <v>22.04</v>
      </c>
      <c r="BA44" s="62">
        <v>0.3</v>
      </c>
      <c r="BB44" s="62">
        <v>0.78</v>
      </c>
      <c r="BC44" s="62">
        <v>4.3499999999999996</v>
      </c>
      <c r="BD44" s="62">
        <v>0.34</v>
      </c>
      <c r="BE44" s="62">
        <v>3.17</v>
      </c>
      <c r="BF44" s="62">
        <v>2.79</v>
      </c>
      <c r="BG44" s="62">
        <v>5.77</v>
      </c>
      <c r="BH44" s="62">
        <v>1.35</v>
      </c>
      <c r="BI44" s="62">
        <v>2.89</v>
      </c>
      <c r="BJ44" s="62">
        <v>0.64</v>
      </c>
      <c r="BK44" s="62">
        <v>0.01</v>
      </c>
      <c r="BL44" s="62">
        <v>1.32</v>
      </c>
      <c r="BM44" s="62">
        <v>1.26</v>
      </c>
      <c r="BN44" s="62">
        <v>0.08</v>
      </c>
      <c r="BO44" s="62">
        <v>0.91</v>
      </c>
      <c r="BP44" s="62">
        <v>1.07</v>
      </c>
      <c r="BR44" s="62">
        <v>0.59</v>
      </c>
      <c r="BS44" s="62">
        <v>0.02</v>
      </c>
      <c r="BT44" s="62">
        <v>0.56000000000000005</v>
      </c>
      <c r="BU44" s="62">
        <v>0.21</v>
      </c>
      <c r="BV44" s="62">
        <v>4.0599999999999996</v>
      </c>
      <c r="BW44" s="62">
        <v>1.22</v>
      </c>
      <c r="BX44" s="62">
        <v>0.02</v>
      </c>
      <c r="BY44" s="62">
        <v>1.62</v>
      </c>
      <c r="BZ44" s="62">
        <v>1.72</v>
      </c>
      <c r="CA44" s="62">
        <v>0.19</v>
      </c>
      <c r="CB44" s="62">
        <v>5.36</v>
      </c>
      <c r="CC44" s="62">
        <v>0.23</v>
      </c>
      <c r="CD44" s="62">
        <v>8.6999999999999993</v>
      </c>
      <c r="CE44" s="62">
        <v>7.27</v>
      </c>
      <c r="CF44" s="62">
        <v>3.35</v>
      </c>
      <c r="CG44" s="62">
        <v>3</v>
      </c>
      <c r="CH44" s="62">
        <v>0.01</v>
      </c>
      <c r="CI44" s="62">
        <v>4.55</v>
      </c>
      <c r="CJ44" s="62">
        <v>0.34</v>
      </c>
      <c r="CK44" s="62">
        <v>1.53</v>
      </c>
      <c r="CL44" s="62">
        <v>4.3600000000000003</v>
      </c>
      <c r="CM44" s="62">
        <v>3.78</v>
      </c>
      <c r="CN44" s="62">
        <v>0.19</v>
      </c>
      <c r="CO44" s="62">
        <v>0.71</v>
      </c>
      <c r="CP44" s="62">
        <v>0.09</v>
      </c>
      <c r="CQ44" s="62">
        <v>2.2799999999999998</v>
      </c>
      <c r="CR44" s="62">
        <v>5.45</v>
      </c>
      <c r="CS44" s="62">
        <v>0.05</v>
      </c>
      <c r="CT44" s="62">
        <v>3.69</v>
      </c>
      <c r="CU44" s="62">
        <v>2.23</v>
      </c>
      <c r="CV44" s="62">
        <v>1.75</v>
      </c>
      <c r="CW44" s="62">
        <v>5.19</v>
      </c>
      <c r="CX44" s="62">
        <v>3.8</v>
      </c>
      <c r="CY44" s="62">
        <v>3.8</v>
      </c>
      <c r="CZ44" s="62">
        <v>0.66</v>
      </c>
      <c r="DA44" s="62">
        <v>3.43</v>
      </c>
      <c r="DB44" s="62">
        <v>2.3199999999999998</v>
      </c>
      <c r="DC44" s="62">
        <v>3.05</v>
      </c>
      <c r="DD44" s="62">
        <v>1.98</v>
      </c>
      <c r="DE44" s="62">
        <v>3.75</v>
      </c>
      <c r="DF44" s="62">
        <v>0.98</v>
      </c>
      <c r="DG44" s="62">
        <v>0</v>
      </c>
      <c r="DH44" s="62">
        <v>4.82</v>
      </c>
      <c r="DI44" s="62">
        <v>3.58</v>
      </c>
      <c r="DJ44" s="62">
        <v>3.26</v>
      </c>
      <c r="DK44" s="62">
        <v>2.95</v>
      </c>
      <c r="DL44" s="62">
        <v>2.2200000000000002</v>
      </c>
      <c r="DM44" s="62">
        <v>2.14</v>
      </c>
      <c r="DN44" s="62">
        <v>0.28999999999999998</v>
      </c>
      <c r="DO44" s="62">
        <v>7.4</v>
      </c>
    </row>
    <row r="45" spans="1:119" x14ac:dyDescent="0.3">
      <c r="A45" s="64" t="s">
        <v>9087</v>
      </c>
      <c r="B45" s="62">
        <v>8.57</v>
      </c>
      <c r="C45" s="62">
        <v>0</v>
      </c>
      <c r="D45" s="62">
        <v>2.25</v>
      </c>
      <c r="E45" s="62">
        <v>3.02</v>
      </c>
      <c r="F45" s="62">
        <v>0.06</v>
      </c>
      <c r="G45" s="62">
        <v>0</v>
      </c>
      <c r="H45" s="62">
        <v>1.02</v>
      </c>
      <c r="I45" s="62">
        <v>1.36</v>
      </c>
      <c r="J45" s="62">
        <v>0.6</v>
      </c>
      <c r="K45" s="62">
        <v>7.03</v>
      </c>
      <c r="L45" s="62">
        <v>1.01</v>
      </c>
      <c r="M45" s="62">
        <v>2.92</v>
      </c>
      <c r="N45" s="62">
        <v>0.62</v>
      </c>
      <c r="O45" s="62">
        <v>0.01</v>
      </c>
      <c r="P45" s="62">
        <v>0.03</v>
      </c>
      <c r="Q45" s="62">
        <v>4.1399999999999997</v>
      </c>
      <c r="R45" s="62">
        <v>1.67</v>
      </c>
      <c r="S45" s="62">
        <v>0.5</v>
      </c>
      <c r="T45" s="62">
        <v>0.81</v>
      </c>
      <c r="U45" s="62">
        <v>4.4800000000000004</v>
      </c>
      <c r="V45" s="62">
        <v>7.45</v>
      </c>
      <c r="W45" s="62">
        <v>5.7</v>
      </c>
      <c r="X45" s="62">
        <v>5.14</v>
      </c>
      <c r="Y45" s="62">
        <v>7.0000000000000007E-2</v>
      </c>
      <c r="Z45" s="62">
        <v>0.02</v>
      </c>
      <c r="AA45" s="62">
        <v>6.5</v>
      </c>
      <c r="AB45" s="62">
        <v>17.25</v>
      </c>
      <c r="AC45" s="62">
        <v>1.75</v>
      </c>
      <c r="AD45" s="62">
        <v>0.48</v>
      </c>
      <c r="AE45" s="62">
        <v>2.5</v>
      </c>
      <c r="AF45" s="62">
        <v>10.75</v>
      </c>
      <c r="AG45" s="62">
        <v>7.15</v>
      </c>
      <c r="AH45" s="62">
        <v>1.36</v>
      </c>
      <c r="AI45" s="62">
        <v>5.99</v>
      </c>
      <c r="AJ45" s="62">
        <v>7.63</v>
      </c>
      <c r="AK45" s="62">
        <v>0.18</v>
      </c>
      <c r="AL45" s="62">
        <v>0.06</v>
      </c>
      <c r="AM45" s="62">
        <v>2.3199999999999998</v>
      </c>
      <c r="AN45" s="62">
        <v>0.57999999999999996</v>
      </c>
      <c r="AO45" s="62">
        <v>0.39</v>
      </c>
      <c r="AP45" s="62">
        <v>1.26</v>
      </c>
      <c r="AQ45" s="62">
        <v>2.27</v>
      </c>
      <c r="AR45" s="62">
        <v>3</v>
      </c>
      <c r="AS45" s="62">
        <v>1.7</v>
      </c>
      <c r="AT45" s="62">
        <v>0.39</v>
      </c>
      <c r="AU45" s="62">
        <v>2.95</v>
      </c>
      <c r="AV45" s="62">
        <v>1.36</v>
      </c>
      <c r="AW45" s="62">
        <v>0.28999999999999998</v>
      </c>
      <c r="AX45" s="62">
        <v>1.44</v>
      </c>
      <c r="AY45" s="62">
        <v>2.5</v>
      </c>
      <c r="AZ45" s="62">
        <v>22.7</v>
      </c>
      <c r="BA45" s="62">
        <v>0.3</v>
      </c>
      <c r="BB45" s="62">
        <v>0.79</v>
      </c>
      <c r="BC45" s="62">
        <v>4.3</v>
      </c>
      <c r="BD45" s="62">
        <v>0.34</v>
      </c>
      <c r="BE45" s="62">
        <v>3.27</v>
      </c>
      <c r="BF45" s="62">
        <v>2.89</v>
      </c>
      <c r="BG45" s="62">
        <v>5.51</v>
      </c>
      <c r="BH45" s="62">
        <v>1.36</v>
      </c>
      <c r="BI45" s="62">
        <v>2.74</v>
      </c>
      <c r="BJ45" s="62">
        <v>0.64</v>
      </c>
      <c r="BK45" s="62">
        <v>0.01</v>
      </c>
      <c r="BL45" s="62">
        <v>1.36</v>
      </c>
      <c r="BM45" s="62">
        <v>0.64</v>
      </c>
      <c r="BN45" s="62">
        <v>0.08</v>
      </c>
      <c r="BO45" s="62">
        <v>0.77</v>
      </c>
      <c r="BP45" s="62">
        <v>1.0900000000000001</v>
      </c>
      <c r="BQ45" s="62">
        <v>0.83</v>
      </c>
      <c r="BR45" s="62">
        <v>0.47</v>
      </c>
      <c r="BS45" s="62">
        <v>0.01</v>
      </c>
      <c r="BT45" s="62">
        <v>0.6</v>
      </c>
      <c r="BU45" s="62">
        <v>0.1</v>
      </c>
      <c r="BV45" s="62">
        <v>4.46</v>
      </c>
      <c r="BW45" s="62">
        <v>1.2</v>
      </c>
      <c r="BX45" s="62">
        <v>0.02</v>
      </c>
      <c r="BY45" s="62">
        <v>1.62</v>
      </c>
      <c r="BZ45" s="62">
        <v>1.63</v>
      </c>
      <c r="CA45" s="62">
        <v>0.19</v>
      </c>
      <c r="CB45" s="62">
        <v>5.95</v>
      </c>
      <c r="CC45" s="62">
        <v>0.23</v>
      </c>
      <c r="CD45" s="62">
        <v>8.4</v>
      </c>
      <c r="CE45" s="62">
        <v>7.15</v>
      </c>
      <c r="CF45" s="62">
        <v>3.33</v>
      </c>
      <c r="CG45" s="62">
        <v>2.7</v>
      </c>
      <c r="CH45" s="62">
        <v>0.01</v>
      </c>
      <c r="CI45" s="62">
        <v>4.63</v>
      </c>
      <c r="CJ45" s="62">
        <v>0.46</v>
      </c>
      <c r="CK45" s="62">
        <v>1.58</v>
      </c>
      <c r="CL45" s="62">
        <v>4.45</v>
      </c>
      <c r="CM45" s="62">
        <v>3.68</v>
      </c>
      <c r="CN45" s="62">
        <v>0.19</v>
      </c>
      <c r="CO45" s="62">
        <v>0.72</v>
      </c>
      <c r="CP45" s="62">
        <v>0.12</v>
      </c>
      <c r="CQ45" s="62">
        <v>2.2000000000000002</v>
      </c>
      <c r="CR45" s="62">
        <v>5.7</v>
      </c>
      <c r="CS45" s="62">
        <v>7.0000000000000007E-2</v>
      </c>
      <c r="CT45" s="62">
        <v>3.83</v>
      </c>
      <c r="CU45" s="62">
        <v>2.29</v>
      </c>
      <c r="CV45" s="62">
        <v>1.73</v>
      </c>
      <c r="CW45" s="62">
        <v>4.83</v>
      </c>
      <c r="CX45" s="62">
        <v>3.99</v>
      </c>
      <c r="CY45" s="62">
        <v>3.65</v>
      </c>
      <c r="CZ45" s="62">
        <v>0.74</v>
      </c>
      <c r="DA45" s="62">
        <v>3.38</v>
      </c>
      <c r="DB45" s="62">
        <v>2.5299999999999998</v>
      </c>
      <c r="DC45" s="62">
        <v>4.07</v>
      </c>
      <c r="DD45" s="62">
        <v>1.92</v>
      </c>
      <c r="DE45" s="62">
        <v>3.87</v>
      </c>
      <c r="DF45" s="62">
        <v>0.89</v>
      </c>
      <c r="DG45" s="62">
        <v>0</v>
      </c>
      <c r="DH45" s="62">
        <v>5.15</v>
      </c>
      <c r="DI45" s="62">
        <v>3.74</v>
      </c>
      <c r="DJ45" s="62">
        <v>3.27</v>
      </c>
      <c r="DK45" s="62">
        <v>3.06</v>
      </c>
      <c r="DL45" s="62">
        <v>2.27</v>
      </c>
      <c r="DM45" s="62">
        <v>2.0499999999999998</v>
      </c>
      <c r="DN45" s="62">
        <v>0.25</v>
      </c>
      <c r="DO45" s="62">
        <v>7.57</v>
      </c>
    </row>
    <row r="46" spans="1:119" x14ac:dyDescent="0.3">
      <c r="A46" s="64" t="s">
        <v>9088</v>
      </c>
      <c r="B46" s="62">
        <v>9.15</v>
      </c>
      <c r="C46" s="62">
        <v>0</v>
      </c>
      <c r="D46" s="62">
        <v>2.2400000000000002</v>
      </c>
      <c r="E46" s="62">
        <v>3.3</v>
      </c>
      <c r="F46" s="62">
        <v>0.08</v>
      </c>
      <c r="G46" s="62">
        <v>0</v>
      </c>
      <c r="H46" s="62">
        <v>1.03</v>
      </c>
      <c r="I46" s="62">
        <v>1.32</v>
      </c>
      <c r="J46" s="62">
        <v>0.6</v>
      </c>
      <c r="K46" s="62">
        <v>7.13</v>
      </c>
      <c r="L46" s="62">
        <v>1.06</v>
      </c>
      <c r="M46" s="62">
        <v>2.88</v>
      </c>
      <c r="N46" s="62">
        <v>0.59</v>
      </c>
      <c r="O46" s="62">
        <v>0.01</v>
      </c>
      <c r="P46" s="62">
        <v>0.03</v>
      </c>
      <c r="Q46" s="62">
        <v>3.94</v>
      </c>
      <c r="R46" s="62">
        <v>1.41</v>
      </c>
      <c r="S46" s="62">
        <v>0.34</v>
      </c>
      <c r="T46" s="62">
        <v>0.79</v>
      </c>
      <c r="U46" s="62">
        <v>4.59</v>
      </c>
      <c r="V46" s="62">
        <v>7.5</v>
      </c>
      <c r="W46" s="62">
        <v>5.85</v>
      </c>
      <c r="X46" s="62">
        <v>5.2</v>
      </c>
      <c r="Y46" s="62">
        <v>0.08</v>
      </c>
      <c r="Z46" s="62">
        <v>0.02</v>
      </c>
      <c r="AA46" s="62">
        <v>6.51</v>
      </c>
      <c r="AB46" s="62">
        <v>17.190000000000001</v>
      </c>
      <c r="AC46" s="62">
        <v>1.66</v>
      </c>
      <c r="AD46" s="62">
        <v>0.45</v>
      </c>
      <c r="AE46" s="62">
        <v>2.5</v>
      </c>
      <c r="AF46" s="62">
        <v>11.22</v>
      </c>
      <c r="AG46" s="62">
        <v>7.59</v>
      </c>
      <c r="AH46" s="62">
        <v>1.36</v>
      </c>
      <c r="AI46" s="62">
        <v>5.98</v>
      </c>
      <c r="AJ46" s="62">
        <v>7.69</v>
      </c>
      <c r="AK46" s="62">
        <v>0.17</v>
      </c>
      <c r="AL46" s="62">
        <v>0.02</v>
      </c>
      <c r="AM46" s="62">
        <v>2.4300000000000002</v>
      </c>
      <c r="AN46" s="62">
        <v>0.56999999999999995</v>
      </c>
      <c r="AO46" s="62">
        <v>0.43</v>
      </c>
      <c r="AP46" s="62">
        <v>1.25</v>
      </c>
      <c r="AQ46" s="62">
        <v>2.11</v>
      </c>
      <c r="AR46" s="62">
        <v>3.05</v>
      </c>
      <c r="AS46" s="62">
        <v>1.77</v>
      </c>
      <c r="AT46" s="62">
        <v>0.28999999999999998</v>
      </c>
      <c r="AU46" s="62">
        <v>2.97</v>
      </c>
      <c r="AV46" s="62">
        <v>1.38</v>
      </c>
      <c r="AW46" s="62">
        <v>0.28999999999999998</v>
      </c>
      <c r="AX46" s="62">
        <v>1.41</v>
      </c>
      <c r="AY46" s="62">
        <v>2.4</v>
      </c>
      <c r="AZ46" s="62">
        <v>23.49</v>
      </c>
      <c r="BA46" s="62">
        <v>0.3</v>
      </c>
      <c r="BB46" s="62">
        <v>0.78</v>
      </c>
      <c r="BC46" s="62">
        <v>4.3499999999999996</v>
      </c>
      <c r="BD46" s="62">
        <v>0.34</v>
      </c>
      <c r="BE46" s="62">
        <v>3.32</v>
      </c>
      <c r="BF46" s="62">
        <v>2.91</v>
      </c>
      <c r="BG46" s="62">
        <v>5.33</v>
      </c>
      <c r="BH46" s="62">
        <v>1.37</v>
      </c>
      <c r="BI46" s="62">
        <v>2.79</v>
      </c>
      <c r="BJ46" s="62">
        <v>0.56999999999999995</v>
      </c>
      <c r="BK46" s="62">
        <v>0.01</v>
      </c>
      <c r="BL46" s="62">
        <v>1.66</v>
      </c>
      <c r="BM46" s="62">
        <v>0.63</v>
      </c>
      <c r="BN46" s="62">
        <v>0.09</v>
      </c>
      <c r="BO46" s="62">
        <v>0.91</v>
      </c>
      <c r="BP46" s="62">
        <v>1.1299999999999999</v>
      </c>
      <c r="BQ46" s="62">
        <v>0.85</v>
      </c>
      <c r="BR46" s="62">
        <v>0.51</v>
      </c>
      <c r="BS46" s="62">
        <v>0.01</v>
      </c>
      <c r="BT46" s="62">
        <v>0.57999999999999996</v>
      </c>
      <c r="BU46" s="62">
        <v>0.1</v>
      </c>
      <c r="BV46" s="62">
        <v>4.46</v>
      </c>
      <c r="BW46" s="62">
        <v>1.23</v>
      </c>
      <c r="BX46" s="62">
        <v>0.01</v>
      </c>
      <c r="BY46" s="62">
        <v>1.63</v>
      </c>
      <c r="BZ46" s="62">
        <v>1.69</v>
      </c>
      <c r="CA46" s="62">
        <v>0.18</v>
      </c>
      <c r="CB46" s="62">
        <v>6.23</v>
      </c>
      <c r="CC46" s="62">
        <v>0.23</v>
      </c>
      <c r="CD46" s="62">
        <v>8.2899999999999991</v>
      </c>
      <c r="CE46" s="62">
        <v>6.95</v>
      </c>
      <c r="CF46" s="62">
        <v>3.34</v>
      </c>
      <c r="CG46" s="62">
        <v>3.08</v>
      </c>
      <c r="CH46" s="62">
        <v>0.01</v>
      </c>
      <c r="CI46" s="62">
        <v>4.6399999999999997</v>
      </c>
      <c r="CJ46" s="62">
        <v>0.5</v>
      </c>
      <c r="CK46" s="62">
        <v>1.7</v>
      </c>
      <c r="CL46" s="62">
        <v>4.05</v>
      </c>
      <c r="CM46" s="62">
        <v>3.48</v>
      </c>
      <c r="CN46" s="62">
        <v>0.19</v>
      </c>
      <c r="CO46" s="62">
        <v>0.7</v>
      </c>
      <c r="CP46" s="62">
        <v>0.12</v>
      </c>
      <c r="CQ46" s="62">
        <v>2.36</v>
      </c>
      <c r="CR46" s="62">
        <v>5.93</v>
      </c>
      <c r="CS46" s="62">
        <v>7.0000000000000007E-2</v>
      </c>
      <c r="CT46" s="62">
        <v>3.78</v>
      </c>
      <c r="CU46" s="62">
        <v>2.3199999999999998</v>
      </c>
      <c r="CV46" s="62">
        <v>1.73</v>
      </c>
      <c r="CW46" s="62">
        <v>4.75</v>
      </c>
      <c r="CX46" s="62">
        <v>4.25</v>
      </c>
      <c r="CY46" s="62">
        <v>3.6</v>
      </c>
      <c r="CZ46" s="62">
        <v>0.68</v>
      </c>
      <c r="DA46" s="62">
        <v>3.98</v>
      </c>
      <c r="DB46" s="62">
        <v>2.4500000000000002</v>
      </c>
      <c r="DC46" s="62">
        <v>4.83</v>
      </c>
      <c r="DD46" s="62">
        <v>1.86</v>
      </c>
      <c r="DE46" s="62">
        <v>4.2</v>
      </c>
      <c r="DF46" s="62">
        <v>1.04</v>
      </c>
      <c r="DG46" s="62">
        <v>0</v>
      </c>
      <c r="DH46" s="62">
        <v>5.43</v>
      </c>
      <c r="DI46" s="62">
        <v>3.6</v>
      </c>
      <c r="DJ46" s="62">
        <v>3.34</v>
      </c>
      <c r="DK46" s="62">
        <v>2.9</v>
      </c>
      <c r="DL46" s="62">
        <v>2.2400000000000002</v>
      </c>
      <c r="DM46" s="62">
        <v>2.0499999999999998</v>
      </c>
      <c r="DN46" s="62">
        <v>0.25</v>
      </c>
      <c r="DO46" s="62">
        <v>7.89</v>
      </c>
    </row>
    <row r="47" spans="1:119" x14ac:dyDescent="0.3">
      <c r="A47" s="64" t="s">
        <v>9089</v>
      </c>
      <c r="B47" s="62">
        <v>10.11</v>
      </c>
      <c r="C47" s="62">
        <v>0</v>
      </c>
      <c r="D47" s="62">
        <v>2.5</v>
      </c>
      <c r="E47" s="62">
        <v>3.36</v>
      </c>
      <c r="F47" s="62">
        <v>0.09</v>
      </c>
      <c r="G47" s="62">
        <v>0</v>
      </c>
      <c r="H47" s="62">
        <v>1.04</v>
      </c>
      <c r="I47" s="62">
        <v>1.27</v>
      </c>
      <c r="J47" s="62">
        <v>0.6</v>
      </c>
      <c r="K47" s="62">
        <v>6.94</v>
      </c>
      <c r="L47" s="62">
        <v>1.08</v>
      </c>
      <c r="M47" s="62">
        <v>2.61</v>
      </c>
      <c r="N47" s="62">
        <v>0.59</v>
      </c>
      <c r="O47" s="62">
        <v>0.01</v>
      </c>
      <c r="P47" s="62">
        <v>0.03</v>
      </c>
      <c r="Q47" s="62">
        <v>4.0199999999999996</v>
      </c>
      <c r="R47" s="62">
        <v>1.41</v>
      </c>
      <c r="S47" s="62">
        <v>0.33</v>
      </c>
      <c r="T47" s="62">
        <v>0.8</v>
      </c>
      <c r="U47" s="62">
        <v>4.43</v>
      </c>
      <c r="V47" s="62">
        <v>7.63</v>
      </c>
      <c r="W47" s="62">
        <v>6.05</v>
      </c>
      <c r="X47" s="62">
        <v>5.39</v>
      </c>
      <c r="Y47" s="62">
        <v>0.08</v>
      </c>
      <c r="Z47" s="62">
        <v>0.01</v>
      </c>
      <c r="AA47" s="62">
        <v>6.75</v>
      </c>
      <c r="AB47" s="62">
        <v>18</v>
      </c>
      <c r="AC47" s="62">
        <v>2.2000000000000002</v>
      </c>
      <c r="AD47" s="62">
        <v>0.46</v>
      </c>
      <c r="AE47" s="62">
        <v>2.5</v>
      </c>
      <c r="AF47" s="62">
        <v>11.14</v>
      </c>
      <c r="AG47" s="62">
        <v>7.67</v>
      </c>
      <c r="AH47" s="62">
        <v>1.3</v>
      </c>
      <c r="AI47" s="62">
        <v>6.07</v>
      </c>
      <c r="AJ47" s="62">
        <v>7.96</v>
      </c>
      <c r="AK47" s="62">
        <v>0.15</v>
      </c>
      <c r="AL47" s="62">
        <v>0.02</v>
      </c>
      <c r="AM47" s="62">
        <v>2.4300000000000002</v>
      </c>
      <c r="AN47" s="62">
        <v>0.56000000000000005</v>
      </c>
      <c r="AO47" s="62">
        <v>0.43</v>
      </c>
      <c r="AP47" s="62">
        <v>1.25</v>
      </c>
      <c r="AQ47" s="62">
        <v>2.23</v>
      </c>
      <c r="AR47" s="62">
        <v>3.15</v>
      </c>
      <c r="AS47" s="62">
        <v>1.8</v>
      </c>
      <c r="AT47" s="62">
        <v>0.31</v>
      </c>
      <c r="AU47" s="62">
        <v>3.12</v>
      </c>
      <c r="AV47" s="62">
        <v>1.36</v>
      </c>
      <c r="AW47" s="62">
        <v>0.3</v>
      </c>
      <c r="AX47" s="62">
        <v>1.36</v>
      </c>
      <c r="AY47" s="62">
        <v>2.4</v>
      </c>
      <c r="AZ47" s="62">
        <v>24.48</v>
      </c>
      <c r="BA47" s="62">
        <v>0.3</v>
      </c>
      <c r="BB47" s="62">
        <v>0.8</v>
      </c>
      <c r="BC47" s="62">
        <v>4.75</v>
      </c>
      <c r="BD47" s="62">
        <v>0.34</v>
      </c>
      <c r="BE47" s="62">
        <v>3.45</v>
      </c>
      <c r="BF47" s="62">
        <v>2.9</v>
      </c>
      <c r="BG47" s="62">
        <v>5.7</v>
      </c>
      <c r="BH47" s="62">
        <v>1.5</v>
      </c>
      <c r="BI47" s="62">
        <v>2.78</v>
      </c>
      <c r="BJ47" s="62">
        <v>0.49</v>
      </c>
      <c r="BK47" s="62">
        <v>0.02</v>
      </c>
      <c r="BL47" s="62">
        <v>1.69</v>
      </c>
      <c r="BM47" s="62">
        <v>0.61</v>
      </c>
      <c r="BN47" s="62">
        <v>0.08</v>
      </c>
      <c r="BO47" s="62">
        <v>0.93</v>
      </c>
      <c r="BP47" s="62">
        <v>1.1599999999999999</v>
      </c>
      <c r="BQ47" s="62">
        <v>0.98</v>
      </c>
      <c r="BR47" s="62">
        <v>0.45</v>
      </c>
      <c r="BS47" s="62">
        <v>0</v>
      </c>
      <c r="BT47" s="62">
        <v>0.59</v>
      </c>
      <c r="BU47" s="62">
        <v>0.12</v>
      </c>
      <c r="BV47" s="62">
        <v>4.6399999999999997</v>
      </c>
      <c r="BW47" s="62">
        <v>1.25</v>
      </c>
      <c r="BX47" s="62">
        <v>0.01</v>
      </c>
      <c r="BY47" s="62">
        <v>1.62</v>
      </c>
      <c r="BZ47" s="62">
        <v>2.12</v>
      </c>
      <c r="CA47" s="62">
        <v>0.18</v>
      </c>
      <c r="CB47" s="62">
        <v>6.39</v>
      </c>
      <c r="CC47" s="62">
        <v>0.22</v>
      </c>
      <c r="CD47" s="62">
        <v>8.8800000000000008</v>
      </c>
      <c r="CE47" s="62">
        <v>7.25</v>
      </c>
      <c r="CF47" s="62">
        <v>3.4</v>
      </c>
      <c r="CG47" s="62">
        <v>3.4</v>
      </c>
      <c r="CH47" s="62">
        <v>0.01</v>
      </c>
      <c r="CI47" s="62">
        <v>4.57</v>
      </c>
      <c r="CJ47" s="62">
        <v>0.65</v>
      </c>
      <c r="CK47" s="62">
        <v>1.68</v>
      </c>
      <c r="CL47" s="62">
        <v>4.07</v>
      </c>
      <c r="CM47" s="62">
        <v>3.38</v>
      </c>
      <c r="CN47" s="62">
        <v>0.17</v>
      </c>
      <c r="CO47" s="62">
        <v>0.71</v>
      </c>
      <c r="CP47" s="62">
        <v>0.11</v>
      </c>
      <c r="CQ47" s="62">
        <v>2.38</v>
      </c>
      <c r="CR47" s="62">
        <v>5.74</v>
      </c>
      <c r="CS47" s="62">
        <v>7.0000000000000007E-2</v>
      </c>
      <c r="CT47" s="62">
        <v>3.86</v>
      </c>
      <c r="CU47" s="62">
        <v>1.99</v>
      </c>
      <c r="CV47" s="62">
        <v>1.65</v>
      </c>
      <c r="CW47" s="62">
        <v>4.8499999999999996</v>
      </c>
      <c r="CX47" s="62">
        <v>4.4400000000000004</v>
      </c>
      <c r="CY47" s="62">
        <v>3.38</v>
      </c>
      <c r="CZ47" s="62">
        <v>0.68</v>
      </c>
      <c r="DA47" s="62">
        <v>4.4400000000000004</v>
      </c>
      <c r="DB47" s="62">
        <v>2.4700000000000002</v>
      </c>
      <c r="DC47" s="62">
        <v>2.54</v>
      </c>
      <c r="DD47" s="62">
        <v>1.99</v>
      </c>
      <c r="DE47" s="62">
        <v>4.28</v>
      </c>
      <c r="DF47" s="62">
        <v>0.76</v>
      </c>
      <c r="DG47" s="62">
        <v>0</v>
      </c>
      <c r="DH47" s="62">
        <v>5.8</v>
      </c>
      <c r="DI47" s="62">
        <v>3.55</v>
      </c>
      <c r="DJ47" s="62">
        <v>3.37</v>
      </c>
      <c r="DK47" s="62">
        <v>3</v>
      </c>
      <c r="DL47" s="62">
        <v>2.25</v>
      </c>
      <c r="DM47" s="62">
        <v>2.13</v>
      </c>
      <c r="DN47" s="62">
        <v>0.24</v>
      </c>
      <c r="DO47" s="62">
        <v>7.74</v>
      </c>
    </row>
    <row r="48" spans="1:119" x14ac:dyDescent="0.3">
      <c r="A48" s="64" t="s">
        <v>9090</v>
      </c>
      <c r="B48" s="62">
        <v>9.2799999999999994</v>
      </c>
      <c r="C48" s="62">
        <v>0</v>
      </c>
      <c r="D48" s="62">
        <v>2.52</v>
      </c>
      <c r="E48" s="62">
        <v>3.59</v>
      </c>
      <c r="F48" s="62">
        <v>0.09</v>
      </c>
      <c r="G48" s="62">
        <v>0</v>
      </c>
      <c r="H48" s="62">
        <v>1.05</v>
      </c>
      <c r="I48" s="62">
        <v>1.29</v>
      </c>
      <c r="J48" s="62">
        <v>0.59</v>
      </c>
      <c r="K48" s="62">
        <v>6.67</v>
      </c>
      <c r="L48" s="62">
        <v>1.05</v>
      </c>
      <c r="M48" s="62">
        <v>2.7</v>
      </c>
      <c r="N48" s="62">
        <v>0.59</v>
      </c>
      <c r="O48" s="62">
        <v>0.01</v>
      </c>
      <c r="P48" s="62">
        <v>0.04</v>
      </c>
      <c r="Q48" s="62">
        <v>3.73</v>
      </c>
      <c r="R48" s="62">
        <v>1.21</v>
      </c>
      <c r="S48" s="62">
        <v>0.28000000000000003</v>
      </c>
      <c r="T48" s="62">
        <v>0.82</v>
      </c>
      <c r="U48" s="62">
        <v>3.94</v>
      </c>
      <c r="V48" s="62">
        <v>7.7</v>
      </c>
      <c r="W48" s="62">
        <v>7.55</v>
      </c>
      <c r="X48" s="62">
        <v>5.51</v>
      </c>
      <c r="Y48" s="62">
        <v>7.0000000000000007E-2</v>
      </c>
      <c r="Z48" s="62">
        <v>0.01</v>
      </c>
      <c r="AA48" s="62">
        <v>6.8</v>
      </c>
      <c r="AB48" s="62">
        <v>17.36</v>
      </c>
      <c r="AC48" s="62">
        <v>2.31</v>
      </c>
      <c r="AD48" s="62">
        <v>0.33</v>
      </c>
      <c r="AE48" s="62">
        <v>2.5</v>
      </c>
      <c r="AF48" s="62">
        <v>12.03</v>
      </c>
      <c r="AG48" s="62">
        <v>8.01</v>
      </c>
      <c r="AH48" s="62">
        <v>1.3</v>
      </c>
      <c r="AI48" s="62">
        <v>6.19</v>
      </c>
      <c r="AJ48" s="62">
        <v>7.77</v>
      </c>
      <c r="AK48" s="62">
        <v>0.14000000000000001</v>
      </c>
      <c r="AL48" s="62">
        <v>0.02</v>
      </c>
      <c r="AM48" s="62">
        <v>2.46</v>
      </c>
      <c r="AN48" s="62">
        <v>0.63</v>
      </c>
      <c r="AO48" s="62">
        <v>0.43</v>
      </c>
      <c r="AP48" s="62">
        <v>1.27</v>
      </c>
      <c r="AQ48" s="62">
        <v>2.12</v>
      </c>
      <c r="AR48" s="62">
        <v>3.26</v>
      </c>
      <c r="AS48" s="62">
        <v>1.89</v>
      </c>
      <c r="AT48" s="62">
        <v>0.28999999999999998</v>
      </c>
      <c r="AU48" s="62">
        <v>3.15</v>
      </c>
      <c r="AV48" s="62">
        <v>1.36</v>
      </c>
      <c r="AW48" s="62">
        <v>0.35</v>
      </c>
      <c r="AX48" s="62">
        <v>1.35</v>
      </c>
      <c r="AY48" s="62">
        <v>2.2999999999999998</v>
      </c>
      <c r="AZ48" s="62">
        <v>24.8</v>
      </c>
      <c r="BA48" s="62">
        <v>0.3</v>
      </c>
      <c r="BB48" s="62">
        <v>0.79</v>
      </c>
      <c r="BC48" s="62">
        <v>5.25</v>
      </c>
      <c r="BD48" s="62">
        <v>0.35</v>
      </c>
      <c r="BE48" s="62">
        <v>3.41</v>
      </c>
      <c r="BF48" s="62">
        <v>2.9</v>
      </c>
      <c r="BG48" s="62">
        <v>6.09</v>
      </c>
      <c r="BH48" s="62">
        <v>1.1000000000000001</v>
      </c>
      <c r="BI48" s="62">
        <v>2.73</v>
      </c>
      <c r="BJ48" s="62">
        <v>0.47</v>
      </c>
      <c r="BK48" s="62">
        <v>0.02</v>
      </c>
      <c r="BL48" s="62">
        <v>1.8</v>
      </c>
      <c r="BM48" s="62">
        <v>0.7</v>
      </c>
      <c r="BN48" s="62">
        <v>0.1</v>
      </c>
      <c r="BO48" s="62">
        <v>0.88</v>
      </c>
      <c r="BP48" s="62">
        <v>1.17</v>
      </c>
      <c r="BQ48" s="62">
        <v>1.04</v>
      </c>
      <c r="BR48" s="62">
        <v>0.48</v>
      </c>
      <c r="BS48" s="62">
        <v>0</v>
      </c>
      <c r="BT48" s="62">
        <v>0.62</v>
      </c>
      <c r="BU48" s="62">
        <v>0.12</v>
      </c>
      <c r="BV48" s="62">
        <v>4.41</v>
      </c>
      <c r="BW48" s="62">
        <v>1.28</v>
      </c>
      <c r="BX48" s="62">
        <v>0.01</v>
      </c>
      <c r="BY48" s="62">
        <v>1.64</v>
      </c>
      <c r="BZ48" s="62">
        <v>1.97</v>
      </c>
      <c r="CA48" s="62">
        <v>0.24</v>
      </c>
      <c r="CB48" s="62">
        <v>6.47</v>
      </c>
      <c r="CC48" s="62">
        <v>0.21</v>
      </c>
      <c r="CD48" s="62">
        <v>9.25</v>
      </c>
      <c r="CE48" s="62">
        <v>7.36</v>
      </c>
      <c r="CF48" s="62">
        <v>3.39</v>
      </c>
      <c r="CG48" s="62">
        <v>3.16</v>
      </c>
      <c r="CH48" s="62">
        <v>0.01</v>
      </c>
      <c r="CI48" s="62">
        <v>4.78</v>
      </c>
      <c r="CJ48" s="62">
        <v>0.7</v>
      </c>
      <c r="CK48" s="62">
        <v>1.7</v>
      </c>
      <c r="CL48" s="62">
        <v>3.78</v>
      </c>
      <c r="CM48" s="62">
        <v>2.8</v>
      </c>
      <c r="CN48" s="62">
        <v>0.23</v>
      </c>
      <c r="CO48" s="62">
        <v>0.67</v>
      </c>
      <c r="CP48" s="62">
        <v>0.11</v>
      </c>
      <c r="CQ48" s="62">
        <v>2.33</v>
      </c>
      <c r="CR48" s="62">
        <v>6.02</v>
      </c>
      <c r="CS48" s="62">
        <v>0.05</v>
      </c>
      <c r="CT48" s="62">
        <v>3.85</v>
      </c>
      <c r="CU48" s="62">
        <v>1.99</v>
      </c>
      <c r="CV48" s="62">
        <v>1.67</v>
      </c>
      <c r="CW48" s="62">
        <v>5.12</v>
      </c>
      <c r="CX48" s="62">
        <v>4.84</v>
      </c>
      <c r="CY48" s="62">
        <v>3.65</v>
      </c>
      <c r="CZ48" s="62">
        <v>0.69</v>
      </c>
      <c r="DA48" s="62">
        <v>5.71</v>
      </c>
      <c r="DB48" s="62">
        <v>2.54</v>
      </c>
      <c r="DC48" s="62">
        <v>2.54</v>
      </c>
      <c r="DD48" s="62">
        <v>1.86</v>
      </c>
      <c r="DE48" s="62">
        <v>4.57</v>
      </c>
      <c r="DF48" s="62">
        <v>0.71</v>
      </c>
      <c r="DG48" s="62">
        <v>0</v>
      </c>
      <c r="DH48" s="62">
        <v>5.42</v>
      </c>
      <c r="DI48" s="62">
        <v>3.47</v>
      </c>
      <c r="DJ48" s="62">
        <v>3.25</v>
      </c>
      <c r="DK48" s="62">
        <v>2.66</v>
      </c>
      <c r="DL48" s="62">
        <v>2.25</v>
      </c>
      <c r="DM48" s="62">
        <v>2.12</v>
      </c>
      <c r="DN48" s="62">
        <v>0.19</v>
      </c>
      <c r="DO48" s="62">
        <v>7.72</v>
      </c>
    </row>
    <row r="49" spans="1:120" x14ac:dyDescent="0.3">
      <c r="A49" s="64" t="s">
        <v>9091</v>
      </c>
      <c r="B49" s="62">
        <v>9.25</v>
      </c>
      <c r="C49" s="62">
        <v>0</v>
      </c>
      <c r="D49" s="62">
        <v>2.5</v>
      </c>
      <c r="E49" s="62">
        <v>3.36</v>
      </c>
      <c r="F49" s="62">
        <v>0.08</v>
      </c>
      <c r="G49" s="62">
        <v>0</v>
      </c>
      <c r="H49" s="62">
        <v>1.04</v>
      </c>
      <c r="I49" s="62">
        <v>1.21</v>
      </c>
      <c r="J49" s="62">
        <v>0.57999999999999996</v>
      </c>
      <c r="K49" s="62">
        <v>6.44</v>
      </c>
      <c r="L49" s="62">
        <v>1.05</v>
      </c>
      <c r="M49" s="62">
        <v>2.41</v>
      </c>
      <c r="N49" s="62">
        <v>0.57999999999999996</v>
      </c>
      <c r="O49" s="62">
        <v>0.01</v>
      </c>
      <c r="P49" s="62">
        <v>0.03</v>
      </c>
      <c r="Q49" s="62">
        <v>3.4</v>
      </c>
      <c r="R49" s="62">
        <v>1.2</v>
      </c>
      <c r="S49" s="62">
        <v>0.33</v>
      </c>
      <c r="T49" s="62">
        <v>0.81</v>
      </c>
      <c r="U49" s="62">
        <v>3.9</v>
      </c>
      <c r="V49" s="62">
        <v>7.95</v>
      </c>
      <c r="W49" s="62">
        <v>7.5</v>
      </c>
      <c r="X49" s="62">
        <v>5.48</v>
      </c>
      <c r="Y49" s="62">
        <v>0.08</v>
      </c>
      <c r="Z49" s="62">
        <v>0.02</v>
      </c>
      <c r="AA49" s="62">
        <v>6.8</v>
      </c>
      <c r="AB49" s="62">
        <v>17.13</v>
      </c>
      <c r="AC49" s="62">
        <v>2.2000000000000002</v>
      </c>
      <c r="AD49" s="62">
        <v>0.36</v>
      </c>
      <c r="AE49" s="62">
        <v>2.5</v>
      </c>
      <c r="AF49" s="62">
        <v>12.71</v>
      </c>
      <c r="AG49" s="62">
        <v>7.65</v>
      </c>
      <c r="AH49" s="62">
        <v>1.34</v>
      </c>
      <c r="AI49" s="62">
        <v>6.24</v>
      </c>
      <c r="AJ49" s="62">
        <v>7.77</v>
      </c>
      <c r="AK49" s="62">
        <v>0.14000000000000001</v>
      </c>
      <c r="AL49" s="62">
        <v>0.02</v>
      </c>
      <c r="AM49" s="62">
        <v>2.39</v>
      </c>
      <c r="AN49" s="62">
        <v>0.57999999999999996</v>
      </c>
      <c r="AO49" s="62">
        <v>0.43</v>
      </c>
      <c r="AP49" s="62">
        <v>1.28</v>
      </c>
      <c r="AQ49" s="62">
        <v>2.16</v>
      </c>
      <c r="AR49" s="62">
        <v>3.35</v>
      </c>
      <c r="AS49" s="62">
        <v>1.8</v>
      </c>
      <c r="AT49" s="62">
        <v>0.26</v>
      </c>
      <c r="AU49" s="62">
        <v>3.11</v>
      </c>
      <c r="AV49" s="62">
        <v>1.33</v>
      </c>
      <c r="AW49" s="62">
        <v>0.35</v>
      </c>
      <c r="AX49" s="62">
        <v>1.34</v>
      </c>
      <c r="AY49" s="62">
        <v>2.2999999999999998</v>
      </c>
      <c r="AZ49" s="62">
        <v>24.98</v>
      </c>
      <c r="BA49" s="62">
        <v>0.25</v>
      </c>
      <c r="BB49" s="62">
        <v>0.78</v>
      </c>
      <c r="BC49" s="62">
        <v>5.3</v>
      </c>
      <c r="BD49" s="62">
        <v>0.35</v>
      </c>
      <c r="BE49" s="62">
        <v>3.37</v>
      </c>
      <c r="BF49" s="62">
        <v>2.85</v>
      </c>
      <c r="BG49" s="62">
        <v>5.81</v>
      </c>
      <c r="BH49" s="62">
        <v>0.98</v>
      </c>
      <c r="BI49" s="62">
        <v>2.76</v>
      </c>
      <c r="BJ49" s="62">
        <v>0.44</v>
      </c>
      <c r="BK49" s="62">
        <v>0.02</v>
      </c>
      <c r="BL49" s="62">
        <v>1.82</v>
      </c>
      <c r="BM49" s="62">
        <v>0.74</v>
      </c>
      <c r="BN49" s="62">
        <v>0.12</v>
      </c>
      <c r="BO49" s="62">
        <v>0.88</v>
      </c>
      <c r="BP49" s="62">
        <v>1.18</v>
      </c>
      <c r="BQ49" s="62">
        <v>0.95</v>
      </c>
      <c r="BR49" s="62">
        <v>0.46</v>
      </c>
      <c r="BS49" s="62">
        <v>0</v>
      </c>
      <c r="BT49" s="62">
        <v>0.59</v>
      </c>
      <c r="BU49" s="62">
        <v>0.13</v>
      </c>
      <c r="BV49" s="62">
        <v>4.3600000000000003</v>
      </c>
      <c r="BW49" s="62">
        <v>1.27</v>
      </c>
      <c r="BX49" s="62">
        <v>0.01</v>
      </c>
      <c r="BY49" s="62">
        <v>1.67</v>
      </c>
      <c r="BZ49" s="62">
        <v>2.4700000000000002</v>
      </c>
      <c r="CA49" s="62">
        <v>0.23</v>
      </c>
      <c r="CB49" s="62">
        <v>6.8</v>
      </c>
      <c r="CC49" s="62">
        <v>0.19</v>
      </c>
      <c r="CD49" s="62">
        <v>9.2799999999999994</v>
      </c>
      <c r="CE49" s="62">
        <v>7.9</v>
      </c>
      <c r="CF49" s="62">
        <v>3.7</v>
      </c>
      <c r="CG49" s="62">
        <v>3.1</v>
      </c>
      <c r="CH49" s="62">
        <v>0.01</v>
      </c>
      <c r="CI49" s="62">
        <v>4.68</v>
      </c>
      <c r="CJ49" s="62">
        <v>0.64</v>
      </c>
      <c r="CK49" s="62">
        <v>1.69</v>
      </c>
      <c r="CL49" s="62">
        <v>3.76</v>
      </c>
      <c r="CM49" s="62">
        <v>2.76</v>
      </c>
      <c r="CN49" s="62">
        <v>0.23</v>
      </c>
      <c r="CO49" s="62">
        <v>0.64</v>
      </c>
      <c r="CP49" s="62">
        <v>0.08</v>
      </c>
      <c r="CQ49" s="62">
        <v>2</v>
      </c>
      <c r="CR49" s="62">
        <v>5.9</v>
      </c>
      <c r="CS49" s="62">
        <v>0.05</v>
      </c>
      <c r="CT49" s="62">
        <v>3.58</v>
      </c>
      <c r="CU49" s="62">
        <v>1.93</v>
      </c>
      <c r="CV49" s="62">
        <v>1.63</v>
      </c>
      <c r="CW49" s="62">
        <v>5.08</v>
      </c>
      <c r="CX49" s="62">
        <v>6.75</v>
      </c>
      <c r="CY49" s="62">
        <v>3.4</v>
      </c>
      <c r="CZ49" s="62">
        <v>0.68</v>
      </c>
      <c r="DA49" s="62">
        <v>6.67</v>
      </c>
      <c r="DB49" s="62">
        <v>2.5499999999999998</v>
      </c>
      <c r="DC49" s="62">
        <v>2.0299999999999998</v>
      </c>
      <c r="DD49" s="62">
        <v>1.86</v>
      </c>
      <c r="DE49" s="62">
        <v>4.87</v>
      </c>
      <c r="DF49" s="62">
        <v>0.66</v>
      </c>
      <c r="DG49" s="62">
        <v>0</v>
      </c>
      <c r="DH49" s="62">
        <v>5.5</v>
      </c>
      <c r="DI49" s="62">
        <v>3.23</v>
      </c>
      <c r="DJ49" s="62">
        <v>3.28</v>
      </c>
      <c r="DK49" s="62">
        <v>2.91</v>
      </c>
      <c r="DL49" s="62">
        <v>2.2200000000000002</v>
      </c>
      <c r="DM49" s="62">
        <v>2.2000000000000002</v>
      </c>
      <c r="DN49" s="62">
        <v>0.19</v>
      </c>
      <c r="DO49" s="62">
        <v>7.37</v>
      </c>
    </row>
    <row r="50" spans="1:120" x14ac:dyDescent="0.3">
      <c r="A50" s="64" t="s">
        <v>9092</v>
      </c>
      <c r="B50" s="62">
        <v>9.8000000000000007</v>
      </c>
      <c r="C50" s="62">
        <v>0</v>
      </c>
      <c r="D50" s="62">
        <v>2.42</v>
      </c>
      <c r="E50" s="62">
        <v>3.22</v>
      </c>
      <c r="F50" s="62">
        <v>0.09</v>
      </c>
      <c r="G50" s="62">
        <v>0</v>
      </c>
      <c r="H50" s="62">
        <v>1.03</v>
      </c>
      <c r="I50" s="62">
        <v>1.19</v>
      </c>
      <c r="J50" s="62">
        <v>0.59</v>
      </c>
      <c r="K50" s="62">
        <v>6.1</v>
      </c>
      <c r="L50" s="62">
        <v>1.04</v>
      </c>
      <c r="M50" s="62">
        <v>2.41</v>
      </c>
      <c r="N50" s="62">
        <v>0.59</v>
      </c>
      <c r="O50" s="62">
        <v>0.01</v>
      </c>
      <c r="P50" s="62">
        <v>0.02</v>
      </c>
      <c r="Q50" s="62">
        <v>3.28</v>
      </c>
      <c r="R50" s="62">
        <v>1</v>
      </c>
      <c r="S50" s="62">
        <v>0.44</v>
      </c>
      <c r="T50" s="62">
        <v>0.83</v>
      </c>
      <c r="U50" s="62">
        <v>3.9</v>
      </c>
      <c r="V50" s="62">
        <v>7.62</v>
      </c>
      <c r="W50" s="62">
        <v>8</v>
      </c>
      <c r="X50" s="62">
        <v>5.76</v>
      </c>
      <c r="Y50" s="62">
        <v>0.08</v>
      </c>
      <c r="Z50" s="62">
        <v>0.02</v>
      </c>
      <c r="AA50" s="62">
        <v>7.1</v>
      </c>
      <c r="AB50" s="62">
        <v>17.27</v>
      </c>
      <c r="AC50" s="62">
        <v>2.75</v>
      </c>
      <c r="AD50" s="62">
        <v>0.35</v>
      </c>
      <c r="AE50" s="62">
        <v>2.5</v>
      </c>
      <c r="AF50" s="62">
        <v>13.3</v>
      </c>
      <c r="AG50" s="62">
        <v>6.79</v>
      </c>
      <c r="AH50" s="62">
        <v>1.4</v>
      </c>
      <c r="AI50" s="62">
        <v>6.41</v>
      </c>
      <c r="AJ50" s="62">
        <v>7.67</v>
      </c>
      <c r="AK50" s="62">
        <v>0.14000000000000001</v>
      </c>
      <c r="AL50" s="62">
        <v>0.06</v>
      </c>
      <c r="AM50" s="62">
        <v>2.44</v>
      </c>
      <c r="AN50" s="62">
        <v>0.6</v>
      </c>
      <c r="AO50" s="62">
        <v>0.28999999999999998</v>
      </c>
      <c r="AP50" s="62">
        <v>1.31</v>
      </c>
      <c r="AQ50" s="62">
        <v>1.9</v>
      </c>
      <c r="AR50" s="62">
        <v>3.33</v>
      </c>
      <c r="AS50" s="62">
        <v>1.87</v>
      </c>
      <c r="AT50" s="62">
        <v>0.31</v>
      </c>
      <c r="AU50" s="62">
        <v>3.26</v>
      </c>
      <c r="AV50" s="62">
        <v>1.34</v>
      </c>
      <c r="AW50" s="62">
        <v>0.45</v>
      </c>
      <c r="AX50" s="62">
        <v>1.32</v>
      </c>
      <c r="AY50" s="62">
        <v>2.2999999999999998</v>
      </c>
      <c r="AZ50" s="62">
        <v>24.48</v>
      </c>
      <c r="BA50" s="62">
        <v>0.25</v>
      </c>
      <c r="BB50" s="62">
        <v>0.82</v>
      </c>
      <c r="BC50" s="62">
        <v>5.55</v>
      </c>
      <c r="BD50" s="62">
        <v>0.36</v>
      </c>
      <c r="BE50" s="62">
        <v>3.36</v>
      </c>
      <c r="BF50" s="62">
        <v>2.85</v>
      </c>
      <c r="BG50" s="62">
        <v>5.76</v>
      </c>
      <c r="BH50" s="62">
        <v>0.94</v>
      </c>
      <c r="BI50" s="62">
        <v>2.81</v>
      </c>
      <c r="BJ50" s="62">
        <v>0.44</v>
      </c>
      <c r="BK50" s="62">
        <v>0.02</v>
      </c>
      <c r="BL50" s="62">
        <v>2.27</v>
      </c>
      <c r="BM50" s="62">
        <v>0.72</v>
      </c>
      <c r="BN50" s="62">
        <v>0.13</v>
      </c>
      <c r="BO50" s="62">
        <v>0.88</v>
      </c>
      <c r="BP50" s="62">
        <v>1.18</v>
      </c>
      <c r="BQ50" s="62">
        <v>0.94</v>
      </c>
      <c r="BR50" s="62">
        <v>0.38</v>
      </c>
      <c r="BS50" s="62">
        <v>0</v>
      </c>
      <c r="BT50" s="62">
        <v>0.56000000000000005</v>
      </c>
      <c r="BU50" s="62">
        <v>0.11</v>
      </c>
      <c r="BV50" s="62">
        <v>4.5599999999999996</v>
      </c>
      <c r="BW50" s="62">
        <v>1.3</v>
      </c>
      <c r="BX50" s="62">
        <v>0.01</v>
      </c>
      <c r="BY50" s="62">
        <v>1.63</v>
      </c>
      <c r="BZ50" s="62">
        <v>3.08</v>
      </c>
      <c r="CA50" s="62">
        <v>0.21</v>
      </c>
      <c r="CB50" s="62">
        <v>6.8</v>
      </c>
      <c r="CC50" s="62">
        <v>0.19</v>
      </c>
      <c r="CD50" s="62">
        <v>9.1999999999999993</v>
      </c>
      <c r="CE50" s="62">
        <v>7.9</v>
      </c>
      <c r="CF50" s="62">
        <v>3.78</v>
      </c>
      <c r="CG50" s="62">
        <v>3.5</v>
      </c>
      <c r="CH50" s="62">
        <v>0.01</v>
      </c>
      <c r="CI50" s="62">
        <v>5.0999999999999996</v>
      </c>
      <c r="CJ50" s="62">
        <v>1.06</v>
      </c>
      <c r="CK50" s="62">
        <v>1.81</v>
      </c>
      <c r="CL50" s="62">
        <v>3.96</v>
      </c>
      <c r="CM50" s="62">
        <v>2.46</v>
      </c>
      <c r="CN50" s="62">
        <v>0.22</v>
      </c>
      <c r="CO50" s="62">
        <v>0.54</v>
      </c>
      <c r="CP50" s="62">
        <v>0.08</v>
      </c>
      <c r="CQ50" s="62">
        <v>2</v>
      </c>
      <c r="CR50" s="62">
        <v>6</v>
      </c>
      <c r="CS50" s="62">
        <v>0.05</v>
      </c>
      <c r="CT50" s="62">
        <v>3.73</v>
      </c>
      <c r="CU50" s="62">
        <v>1.85</v>
      </c>
      <c r="CV50" s="62">
        <v>1.62</v>
      </c>
      <c r="CW50" s="62">
        <v>4.8499999999999996</v>
      </c>
      <c r="CX50" s="62">
        <v>7.7</v>
      </c>
      <c r="CY50" s="62">
        <v>3.35</v>
      </c>
      <c r="CZ50" s="62">
        <v>0.76</v>
      </c>
      <c r="DA50" s="62">
        <v>7.94</v>
      </c>
      <c r="DB50" s="62">
        <v>2.5099999999999998</v>
      </c>
      <c r="DC50" s="62">
        <v>5.08</v>
      </c>
      <c r="DD50" s="62">
        <v>1.77</v>
      </c>
      <c r="DE50" s="62">
        <v>5.09</v>
      </c>
      <c r="DF50" s="62">
        <v>0.65</v>
      </c>
      <c r="DG50" s="62">
        <v>0</v>
      </c>
      <c r="DH50" s="62">
        <v>5.83</v>
      </c>
      <c r="DI50" s="62">
        <v>3.11</v>
      </c>
      <c r="DJ50" s="62">
        <v>3.38</v>
      </c>
      <c r="DK50" s="62">
        <v>2.61</v>
      </c>
      <c r="DL50" s="62">
        <v>2.21</v>
      </c>
      <c r="DM50" s="62">
        <v>2.1</v>
      </c>
      <c r="DN50" s="62">
        <v>0.18</v>
      </c>
      <c r="DO50" s="62">
        <v>7.24</v>
      </c>
    </row>
    <row r="51" spans="1:120" x14ac:dyDescent="0.3">
      <c r="A51" s="64" t="s">
        <v>9093</v>
      </c>
      <c r="B51" s="62">
        <v>9.67</v>
      </c>
      <c r="C51" s="62">
        <v>0</v>
      </c>
      <c r="D51" s="62">
        <v>2.46</v>
      </c>
      <c r="E51" s="62">
        <v>3.16</v>
      </c>
      <c r="F51" s="62">
        <v>0.09</v>
      </c>
      <c r="G51" s="62">
        <v>0</v>
      </c>
      <c r="H51" s="62">
        <v>1.06</v>
      </c>
      <c r="I51" s="62">
        <v>1.24</v>
      </c>
      <c r="J51" s="62">
        <v>0.6</v>
      </c>
      <c r="K51" s="62">
        <v>6.45</v>
      </c>
      <c r="L51" s="62">
        <v>1.05</v>
      </c>
      <c r="M51" s="62">
        <v>2.2200000000000002</v>
      </c>
      <c r="N51" s="62">
        <v>0.61</v>
      </c>
      <c r="O51" s="62">
        <v>0.01</v>
      </c>
      <c r="P51" s="62">
        <v>0.02</v>
      </c>
      <c r="Q51" s="62">
        <v>3.3</v>
      </c>
      <c r="R51" s="62">
        <v>0.94</v>
      </c>
      <c r="S51" s="62">
        <v>0.42</v>
      </c>
      <c r="T51" s="62">
        <v>0.87</v>
      </c>
      <c r="U51" s="62">
        <v>3.93</v>
      </c>
      <c r="V51" s="62">
        <v>7.5</v>
      </c>
      <c r="W51" s="62">
        <v>7.45</v>
      </c>
      <c r="X51" s="62">
        <v>5.45</v>
      </c>
      <c r="Y51" s="62">
        <v>7.0000000000000007E-2</v>
      </c>
      <c r="Z51" s="62">
        <v>0.02</v>
      </c>
      <c r="AA51" s="62">
        <v>7.44</v>
      </c>
      <c r="AB51" s="62">
        <v>17.420000000000002</v>
      </c>
      <c r="AC51" s="62">
        <v>3.11</v>
      </c>
      <c r="AD51" s="62">
        <v>0.37</v>
      </c>
      <c r="AE51" s="62">
        <v>2.5</v>
      </c>
      <c r="AF51" s="62">
        <v>13.15</v>
      </c>
      <c r="AG51" s="62">
        <v>6.69</v>
      </c>
      <c r="AH51" s="62">
        <v>1.52</v>
      </c>
      <c r="AI51" s="62">
        <v>6.4</v>
      </c>
      <c r="AJ51" s="62">
        <v>7.8</v>
      </c>
      <c r="AK51" s="62">
        <v>0.13</v>
      </c>
      <c r="AL51" s="62">
        <v>0.06</v>
      </c>
      <c r="AM51" s="62">
        <v>2.38</v>
      </c>
      <c r="AN51" s="62">
        <v>0.64</v>
      </c>
      <c r="AO51" s="62">
        <v>0.24</v>
      </c>
      <c r="AP51" s="62">
        <v>1.36</v>
      </c>
      <c r="AQ51" s="62">
        <v>1.71</v>
      </c>
      <c r="AR51" s="62">
        <v>3.56</v>
      </c>
      <c r="AS51" s="62">
        <v>2.02</v>
      </c>
      <c r="AT51" s="62">
        <v>0.31</v>
      </c>
      <c r="AU51" s="62">
        <v>3.26</v>
      </c>
      <c r="AV51" s="62">
        <v>1.43</v>
      </c>
      <c r="AW51" s="62">
        <v>0.45</v>
      </c>
      <c r="AX51" s="62">
        <v>1.37</v>
      </c>
      <c r="AY51" s="62">
        <v>2.2999999999999998</v>
      </c>
      <c r="AZ51" s="62">
        <v>24.95</v>
      </c>
      <c r="BA51" s="62">
        <v>0.25</v>
      </c>
      <c r="BB51" s="62">
        <v>0.86</v>
      </c>
      <c r="BC51" s="62">
        <v>5.45</v>
      </c>
      <c r="BD51" s="62">
        <v>0.4</v>
      </c>
      <c r="BE51" s="62">
        <v>3.33</v>
      </c>
      <c r="BF51" s="62">
        <v>2.9</v>
      </c>
      <c r="BG51" s="62">
        <v>5.95</v>
      </c>
      <c r="BH51" s="62">
        <v>0.92</v>
      </c>
      <c r="BI51" s="62">
        <v>2.79</v>
      </c>
      <c r="BJ51" s="62">
        <v>0.42</v>
      </c>
      <c r="BK51" s="62">
        <v>0.01</v>
      </c>
      <c r="BL51" s="62">
        <v>2.2599999999999998</v>
      </c>
      <c r="BM51" s="62">
        <v>0.71</v>
      </c>
      <c r="BN51" s="62">
        <v>0.13</v>
      </c>
      <c r="BO51" s="62">
        <v>0.89</v>
      </c>
      <c r="BP51" s="62">
        <v>1.1200000000000001</v>
      </c>
      <c r="BQ51" s="62">
        <v>0.97</v>
      </c>
      <c r="BR51" s="62">
        <v>0.35</v>
      </c>
      <c r="BS51" s="62">
        <v>0</v>
      </c>
      <c r="BT51" s="62">
        <v>0.56999999999999995</v>
      </c>
      <c r="BU51" s="62">
        <v>0.13</v>
      </c>
      <c r="BV51" s="62">
        <v>4.74</v>
      </c>
      <c r="BW51" s="62">
        <v>1.3</v>
      </c>
      <c r="BX51" s="62">
        <v>0.01</v>
      </c>
      <c r="BY51" s="62">
        <v>1.6</v>
      </c>
      <c r="BZ51" s="62">
        <v>3.5</v>
      </c>
      <c r="CA51" s="62">
        <v>0.21</v>
      </c>
      <c r="CB51" s="62">
        <v>6.96</v>
      </c>
      <c r="CC51" s="62">
        <v>0.19</v>
      </c>
      <c r="CD51" s="62">
        <v>10.5</v>
      </c>
      <c r="CE51" s="62">
        <v>8.07</v>
      </c>
      <c r="CF51" s="62">
        <v>3.87</v>
      </c>
      <c r="CG51" s="62">
        <v>3.6</v>
      </c>
      <c r="CH51" s="62">
        <v>0.01</v>
      </c>
      <c r="CI51" s="62">
        <v>5.18</v>
      </c>
      <c r="CJ51" s="62">
        <v>1.71</v>
      </c>
      <c r="CK51" s="62">
        <v>1.86</v>
      </c>
      <c r="CL51" s="62">
        <v>3.97</v>
      </c>
      <c r="CM51" s="62">
        <v>2.4700000000000002</v>
      </c>
      <c r="CN51" s="62">
        <v>0.23</v>
      </c>
      <c r="CO51" s="62">
        <v>0.55000000000000004</v>
      </c>
      <c r="CP51" s="62">
        <v>0.09</v>
      </c>
      <c r="CQ51" s="62">
        <v>2</v>
      </c>
      <c r="CR51" s="62">
        <v>6</v>
      </c>
      <c r="CS51" s="62">
        <v>0.02</v>
      </c>
      <c r="CT51" s="62">
        <v>3.65</v>
      </c>
      <c r="CU51" s="62">
        <v>1.86</v>
      </c>
      <c r="CV51" s="62">
        <v>1.78</v>
      </c>
      <c r="CW51" s="62">
        <v>5.19</v>
      </c>
      <c r="CX51" s="62">
        <v>7.4</v>
      </c>
      <c r="CY51" s="62">
        <v>3.45</v>
      </c>
      <c r="CZ51" s="62">
        <v>0.73</v>
      </c>
      <c r="DA51" s="62">
        <v>8.2899999999999991</v>
      </c>
      <c r="DB51" s="62">
        <v>2.52</v>
      </c>
      <c r="DC51" s="62">
        <v>5.08</v>
      </c>
      <c r="DD51" s="62">
        <v>1.86</v>
      </c>
      <c r="DE51" s="62">
        <v>5.24</v>
      </c>
      <c r="DF51" s="62">
        <v>0.68</v>
      </c>
      <c r="DG51" s="62">
        <v>0</v>
      </c>
      <c r="DH51" s="62">
        <v>5.85</v>
      </c>
      <c r="DI51" s="62">
        <v>3.17</v>
      </c>
      <c r="DJ51" s="62">
        <v>3.4</v>
      </c>
      <c r="DK51" s="62">
        <v>2.74</v>
      </c>
      <c r="DL51" s="62">
        <v>2.19</v>
      </c>
      <c r="DM51" s="62">
        <v>2.0499999999999998</v>
      </c>
      <c r="DN51" s="62">
        <v>0.17</v>
      </c>
      <c r="DO51" s="62">
        <v>7.63</v>
      </c>
    </row>
    <row r="52" spans="1:120" x14ac:dyDescent="0.3">
      <c r="A52" s="64" t="s">
        <v>9094</v>
      </c>
      <c r="B52" s="62">
        <v>10</v>
      </c>
      <c r="C52" s="62">
        <v>0</v>
      </c>
      <c r="D52" s="62">
        <v>2.2999999999999998</v>
      </c>
      <c r="E52" s="62">
        <v>3.19</v>
      </c>
      <c r="F52" s="62">
        <v>0.1</v>
      </c>
      <c r="G52" s="62">
        <v>0</v>
      </c>
      <c r="H52" s="62">
        <v>1.0900000000000001</v>
      </c>
      <c r="I52" s="62">
        <v>1.27</v>
      </c>
      <c r="J52" s="62">
        <v>0.6</v>
      </c>
      <c r="K52" s="62">
        <v>6.48</v>
      </c>
      <c r="L52" s="62">
        <v>1.08</v>
      </c>
      <c r="M52" s="62">
        <v>2.33</v>
      </c>
      <c r="N52" s="62">
        <v>0.61</v>
      </c>
      <c r="O52" s="62">
        <v>0.01</v>
      </c>
      <c r="P52" s="62">
        <v>0.02</v>
      </c>
      <c r="Q52" s="62">
        <v>3.45</v>
      </c>
      <c r="R52" s="62">
        <v>0.87</v>
      </c>
      <c r="S52" s="62">
        <v>0.41</v>
      </c>
      <c r="T52" s="62">
        <v>0.89</v>
      </c>
      <c r="U52" s="62">
        <v>4.2</v>
      </c>
      <c r="V52" s="62">
        <v>7.6</v>
      </c>
      <c r="W52" s="62">
        <v>8.31</v>
      </c>
      <c r="X52" s="62">
        <v>5.56</v>
      </c>
      <c r="Y52" s="62">
        <v>0.05</v>
      </c>
      <c r="Z52" s="62">
        <v>0.01</v>
      </c>
      <c r="AA52" s="62">
        <v>8.0500000000000007</v>
      </c>
      <c r="AB52" s="62">
        <v>18.55</v>
      </c>
      <c r="AC52" s="62">
        <v>3.58</v>
      </c>
      <c r="AD52" s="62">
        <v>0.37</v>
      </c>
      <c r="AE52" s="62">
        <v>2.5</v>
      </c>
      <c r="AF52" s="62">
        <v>14.35</v>
      </c>
      <c r="AG52" s="62">
        <v>7.27</v>
      </c>
      <c r="AH52" s="62">
        <v>1.5</v>
      </c>
      <c r="AI52" s="62">
        <v>6.39</v>
      </c>
      <c r="AJ52" s="62">
        <v>7.67</v>
      </c>
      <c r="AK52" s="62">
        <v>0.13</v>
      </c>
      <c r="AL52" s="62">
        <v>0.02</v>
      </c>
      <c r="AM52" s="62">
        <v>2.52</v>
      </c>
      <c r="AN52" s="62">
        <v>0.64</v>
      </c>
      <c r="AO52" s="62">
        <v>0.23</v>
      </c>
      <c r="AP52" s="62">
        <v>1.38</v>
      </c>
      <c r="AQ52" s="62">
        <v>1.66</v>
      </c>
      <c r="AR52" s="62">
        <v>3.95</v>
      </c>
      <c r="AS52" s="62">
        <v>2.08</v>
      </c>
      <c r="AT52" s="62">
        <v>0.42</v>
      </c>
      <c r="AU52" s="62">
        <v>3.32</v>
      </c>
      <c r="AV52" s="62">
        <v>1.49</v>
      </c>
      <c r="AW52" s="62">
        <v>0.52</v>
      </c>
      <c r="AX52" s="62">
        <v>1.4</v>
      </c>
      <c r="AY52" s="62">
        <v>2.2999999999999998</v>
      </c>
      <c r="AZ52" s="62">
        <v>25.39</v>
      </c>
      <c r="BA52" s="62">
        <v>0.25</v>
      </c>
      <c r="BB52" s="62">
        <v>0.85</v>
      </c>
      <c r="BC52" s="62">
        <v>5.43</v>
      </c>
      <c r="BD52" s="62">
        <v>0.5</v>
      </c>
      <c r="BE52" s="62">
        <v>3.37</v>
      </c>
      <c r="BF52" s="62">
        <v>2.93</v>
      </c>
      <c r="BG52" s="62">
        <v>6.1</v>
      </c>
      <c r="BH52" s="62">
        <v>1</v>
      </c>
      <c r="BI52" s="62">
        <v>2.73</v>
      </c>
      <c r="BJ52" s="62">
        <v>0.5</v>
      </c>
      <c r="BK52" s="62">
        <v>0.02</v>
      </c>
      <c r="BL52" s="62">
        <v>2.31</v>
      </c>
      <c r="BM52" s="62">
        <v>0.7</v>
      </c>
      <c r="BN52" s="62">
        <v>0.15</v>
      </c>
      <c r="BO52" s="62">
        <v>0.88</v>
      </c>
      <c r="BP52" s="62">
        <v>1.1200000000000001</v>
      </c>
      <c r="BQ52" s="62">
        <v>1.05</v>
      </c>
      <c r="BR52" s="62">
        <v>0.39</v>
      </c>
      <c r="BS52" s="62">
        <v>0</v>
      </c>
      <c r="BT52" s="62">
        <v>0.6</v>
      </c>
      <c r="BU52" s="62">
        <v>0.15</v>
      </c>
      <c r="BV52" s="62">
        <v>4.9400000000000004</v>
      </c>
      <c r="BW52" s="62">
        <v>1.36</v>
      </c>
      <c r="BX52" s="62">
        <v>0.01</v>
      </c>
      <c r="BY52" s="62">
        <v>1.68</v>
      </c>
      <c r="BZ52" s="62">
        <v>4.17</v>
      </c>
      <c r="CA52" s="62">
        <v>0.23</v>
      </c>
      <c r="CB52" s="62">
        <v>7.3</v>
      </c>
      <c r="CC52" s="62">
        <v>0.19</v>
      </c>
      <c r="CD52" s="62">
        <v>10.59</v>
      </c>
      <c r="CE52" s="62">
        <v>8.3000000000000007</v>
      </c>
      <c r="CF52" s="62">
        <v>4.78</v>
      </c>
      <c r="CG52" s="62">
        <v>3.56</v>
      </c>
      <c r="CH52" s="62">
        <v>0.01</v>
      </c>
      <c r="CI52" s="62">
        <v>5.86</v>
      </c>
      <c r="CJ52" s="62">
        <v>2.19</v>
      </c>
      <c r="CK52" s="62">
        <v>1.85</v>
      </c>
      <c r="CL52" s="62">
        <v>4.1500000000000004</v>
      </c>
      <c r="CM52" s="62">
        <v>2.81</v>
      </c>
      <c r="CN52" s="62">
        <v>0.19</v>
      </c>
      <c r="CO52" s="62">
        <v>0.6</v>
      </c>
      <c r="CP52" s="62">
        <v>7.0000000000000007E-2</v>
      </c>
      <c r="CQ52" s="62">
        <v>2</v>
      </c>
      <c r="CR52" s="62">
        <v>6</v>
      </c>
      <c r="CS52" s="62">
        <v>0.02</v>
      </c>
      <c r="CT52" s="62">
        <v>3.63</v>
      </c>
      <c r="CU52" s="62">
        <v>1.94</v>
      </c>
      <c r="CV52" s="62">
        <v>1.77</v>
      </c>
      <c r="CW52" s="62">
        <v>5.5</v>
      </c>
      <c r="CX52" s="62">
        <v>7.2</v>
      </c>
      <c r="CY52" s="62">
        <v>3.3</v>
      </c>
      <c r="CZ52" s="62">
        <v>0.77</v>
      </c>
      <c r="DA52" s="62">
        <v>8.07</v>
      </c>
      <c r="DB52" s="62">
        <v>2.65</v>
      </c>
      <c r="DC52" s="62">
        <v>2.2000000000000002</v>
      </c>
      <c r="DD52" s="62">
        <v>1.87</v>
      </c>
      <c r="DE52" s="62">
        <v>6.05</v>
      </c>
      <c r="DF52" s="62">
        <v>0.68</v>
      </c>
      <c r="DG52" s="62">
        <v>0</v>
      </c>
      <c r="DH52" s="62">
        <v>5.98</v>
      </c>
      <c r="DI52" s="62">
        <v>3.26</v>
      </c>
      <c r="DJ52" s="62">
        <v>3.47</v>
      </c>
      <c r="DK52" s="62">
        <v>2.88</v>
      </c>
      <c r="DL52" s="62">
        <v>2.21</v>
      </c>
      <c r="DM52" s="62">
        <v>2.08</v>
      </c>
      <c r="DN52" s="62">
        <v>0.16</v>
      </c>
      <c r="DO52" s="62">
        <v>7.67</v>
      </c>
    </row>
    <row r="53" spans="1:120" x14ac:dyDescent="0.3">
      <c r="A53" s="64" t="s">
        <v>9095</v>
      </c>
      <c r="B53" s="62">
        <v>9.75</v>
      </c>
      <c r="C53" s="62">
        <v>0</v>
      </c>
      <c r="D53" s="62">
        <v>2.65</v>
      </c>
      <c r="E53" s="62">
        <v>3.05</v>
      </c>
      <c r="F53" s="62">
        <v>0.11</v>
      </c>
      <c r="G53" s="62">
        <v>0</v>
      </c>
      <c r="H53" s="62">
        <v>1.06</v>
      </c>
      <c r="I53" s="62">
        <v>1.28</v>
      </c>
      <c r="J53" s="62">
        <v>0.61</v>
      </c>
      <c r="K53" s="62">
        <v>6.64</v>
      </c>
      <c r="L53" s="62">
        <v>1.07</v>
      </c>
      <c r="M53" s="62">
        <v>2.33</v>
      </c>
      <c r="N53" s="62">
        <v>0.6</v>
      </c>
      <c r="O53" s="62">
        <v>0.01</v>
      </c>
      <c r="P53" s="62">
        <v>0.02</v>
      </c>
      <c r="Q53" s="62">
        <v>3.4</v>
      </c>
      <c r="R53" s="62">
        <v>0.87</v>
      </c>
      <c r="S53" s="62">
        <v>0.42</v>
      </c>
      <c r="T53" s="62">
        <v>0.95</v>
      </c>
      <c r="U53" s="62">
        <v>4.0999999999999996</v>
      </c>
      <c r="V53" s="62">
        <v>7.7</v>
      </c>
      <c r="W53" s="62">
        <v>9.1</v>
      </c>
      <c r="X53" s="62">
        <v>5.46</v>
      </c>
      <c r="Y53" s="62">
        <v>0.06</v>
      </c>
      <c r="Z53" s="62">
        <v>0.01</v>
      </c>
      <c r="AA53" s="62">
        <v>8</v>
      </c>
      <c r="AB53" s="62">
        <v>18.39</v>
      </c>
      <c r="AC53" s="62">
        <v>3.79</v>
      </c>
      <c r="AD53" s="62">
        <v>0.38</v>
      </c>
      <c r="AE53" s="62">
        <v>2.5499999999999998</v>
      </c>
      <c r="AF53" s="62">
        <v>13.2</v>
      </c>
      <c r="AG53" s="62">
        <v>7.47</v>
      </c>
      <c r="AH53" s="62">
        <v>1.55</v>
      </c>
      <c r="AI53" s="62">
        <v>6.26</v>
      </c>
      <c r="AJ53" s="62">
        <v>7.91</v>
      </c>
      <c r="AK53" s="62">
        <v>0.1</v>
      </c>
      <c r="AL53" s="62">
        <v>0.03</v>
      </c>
      <c r="AM53" s="62">
        <v>2.48</v>
      </c>
      <c r="AN53" s="62">
        <v>0.63</v>
      </c>
      <c r="AO53" s="62">
        <v>0.21</v>
      </c>
      <c r="AP53" s="62">
        <v>1.35</v>
      </c>
      <c r="AQ53" s="62">
        <v>1.99</v>
      </c>
      <c r="AR53" s="62">
        <v>4.28</v>
      </c>
      <c r="AS53" s="62">
        <v>2.04</v>
      </c>
      <c r="AT53" s="62">
        <v>0.42</v>
      </c>
      <c r="AU53" s="62">
        <v>3.22</v>
      </c>
      <c r="AV53" s="62">
        <v>1.45</v>
      </c>
      <c r="AW53" s="62">
        <v>0.5</v>
      </c>
      <c r="AX53" s="62">
        <v>1.38</v>
      </c>
      <c r="AY53" s="62">
        <v>2.25</v>
      </c>
      <c r="AZ53" s="62">
        <v>26.01</v>
      </c>
      <c r="BA53" s="62">
        <v>0.25</v>
      </c>
      <c r="BB53" s="62">
        <v>0.86</v>
      </c>
      <c r="BC53" s="62">
        <v>5.3</v>
      </c>
      <c r="BD53" s="62">
        <v>0.46</v>
      </c>
      <c r="BE53" s="62">
        <v>3.39</v>
      </c>
      <c r="BF53" s="62">
        <v>2.85</v>
      </c>
      <c r="BG53" s="62">
        <v>6.16</v>
      </c>
      <c r="BH53" s="62">
        <v>0.94</v>
      </c>
      <c r="BI53" s="62">
        <v>2.9</v>
      </c>
      <c r="BJ53" s="62">
        <v>0.5</v>
      </c>
      <c r="BK53" s="62">
        <v>0.02</v>
      </c>
      <c r="BL53" s="62">
        <v>2.36</v>
      </c>
      <c r="BM53" s="62">
        <v>0.69</v>
      </c>
      <c r="BN53" s="62">
        <v>0.17</v>
      </c>
      <c r="BO53" s="62">
        <v>0.84</v>
      </c>
      <c r="BP53" s="62">
        <v>1.1299999999999999</v>
      </c>
      <c r="BQ53" s="62">
        <v>1.02</v>
      </c>
      <c r="BR53" s="62">
        <v>0.43</v>
      </c>
      <c r="BS53" s="62">
        <v>0.01</v>
      </c>
      <c r="BT53" s="62">
        <v>0.57999999999999996</v>
      </c>
      <c r="BU53" s="62">
        <v>0.19</v>
      </c>
      <c r="BV53" s="62">
        <v>5.13</v>
      </c>
      <c r="BW53" s="62">
        <v>1.32</v>
      </c>
      <c r="BX53" s="62">
        <v>0.01</v>
      </c>
      <c r="BY53" s="62">
        <v>1.66</v>
      </c>
      <c r="BZ53" s="62">
        <v>4.1399999999999997</v>
      </c>
      <c r="CA53" s="62">
        <v>0.23</v>
      </c>
      <c r="CB53" s="62">
        <v>7.51</v>
      </c>
      <c r="CC53" s="62">
        <v>0.22</v>
      </c>
      <c r="CD53" s="62">
        <v>10.9</v>
      </c>
      <c r="CE53" s="62">
        <v>7.96</v>
      </c>
      <c r="CF53" s="62">
        <v>4.78</v>
      </c>
      <c r="CG53" s="62">
        <v>3.55</v>
      </c>
      <c r="CH53" s="62">
        <v>0</v>
      </c>
      <c r="CI53" s="62">
        <v>5.64</v>
      </c>
      <c r="CJ53" s="62">
        <v>1.9</v>
      </c>
      <c r="CK53" s="62">
        <v>1.82</v>
      </c>
      <c r="CL53" s="62">
        <v>4.07</v>
      </c>
      <c r="CM53" s="62">
        <v>2.88</v>
      </c>
      <c r="CN53" s="62">
        <v>0.2</v>
      </c>
      <c r="CO53" s="62">
        <v>0.6</v>
      </c>
      <c r="CP53" s="62">
        <v>0.06</v>
      </c>
      <c r="CQ53" s="62">
        <v>2</v>
      </c>
      <c r="CR53" s="62">
        <v>6.1</v>
      </c>
      <c r="CS53" s="62">
        <v>0</v>
      </c>
      <c r="CT53" s="62">
        <v>3.55</v>
      </c>
      <c r="CU53" s="62">
        <v>1.99</v>
      </c>
      <c r="CV53" s="62">
        <v>1.75</v>
      </c>
      <c r="CW53" s="62">
        <v>5.63</v>
      </c>
      <c r="CX53" s="62">
        <v>7</v>
      </c>
      <c r="CY53" s="62">
        <v>3.28</v>
      </c>
      <c r="CZ53" s="62">
        <v>0.89</v>
      </c>
      <c r="DA53" s="62">
        <v>9.26</v>
      </c>
      <c r="DB53" s="62">
        <v>2.52</v>
      </c>
      <c r="DC53" s="62">
        <v>2.1</v>
      </c>
      <c r="DD53" s="62">
        <v>1.82</v>
      </c>
      <c r="DE53" s="62">
        <v>5.76</v>
      </c>
      <c r="DF53" s="62">
        <v>0.68</v>
      </c>
      <c r="DG53" s="62">
        <v>0</v>
      </c>
      <c r="DH53" s="62">
        <v>5.36</v>
      </c>
      <c r="DI53" s="62">
        <v>3.2</v>
      </c>
      <c r="DJ53" s="62">
        <v>3.42</v>
      </c>
      <c r="DK53" s="62">
        <v>2.85</v>
      </c>
      <c r="DL53" s="62">
        <v>2.17</v>
      </c>
      <c r="DM53" s="62">
        <v>2.0499999999999998</v>
      </c>
      <c r="DN53" s="62">
        <v>0.18</v>
      </c>
      <c r="DO53" s="62">
        <v>7.57</v>
      </c>
    </row>
    <row r="54" spans="1:120" x14ac:dyDescent="0.3">
      <c r="A54" s="64" t="s">
        <v>9096</v>
      </c>
      <c r="B54" s="62">
        <v>9.33</v>
      </c>
      <c r="C54" s="62">
        <v>0</v>
      </c>
      <c r="D54" s="62">
        <v>2.25</v>
      </c>
      <c r="E54" s="62">
        <v>3.31</v>
      </c>
      <c r="F54" s="62">
        <v>0.1</v>
      </c>
      <c r="G54" s="62">
        <v>0</v>
      </c>
      <c r="H54" s="62">
        <v>1.02</v>
      </c>
      <c r="I54" s="62">
        <v>1.21</v>
      </c>
      <c r="J54" s="62">
        <v>0.59</v>
      </c>
      <c r="K54" s="62">
        <v>6.4</v>
      </c>
      <c r="L54" s="62">
        <v>1.06</v>
      </c>
      <c r="M54" s="62">
        <v>2.02</v>
      </c>
      <c r="N54" s="62">
        <v>0.6</v>
      </c>
      <c r="O54" s="62">
        <v>0.01</v>
      </c>
      <c r="P54" s="62">
        <v>0.02</v>
      </c>
      <c r="Q54" s="62">
        <v>3.49</v>
      </c>
      <c r="R54" s="62">
        <v>0.8</v>
      </c>
      <c r="S54" s="62">
        <v>0.49</v>
      </c>
      <c r="T54" s="62">
        <v>0.9</v>
      </c>
      <c r="U54" s="62">
        <v>3.73</v>
      </c>
      <c r="V54" s="62">
        <v>7.7</v>
      </c>
      <c r="W54" s="62">
        <v>7.8</v>
      </c>
      <c r="X54" s="62">
        <v>5.26</v>
      </c>
      <c r="Y54" s="62">
        <v>0.13</v>
      </c>
      <c r="Z54" s="62">
        <v>0.01</v>
      </c>
      <c r="AA54" s="62">
        <v>8.1</v>
      </c>
      <c r="AB54" s="62">
        <v>17.75</v>
      </c>
      <c r="AC54" s="62">
        <v>3.5</v>
      </c>
      <c r="AD54" s="62">
        <v>0.26</v>
      </c>
      <c r="AE54" s="62">
        <v>2.54</v>
      </c>
      <c r="AF54" s="62">
        <v>13.75</v>
      </c>
      <c r="AG54" s="62">
        <v>6.15</v>
      </c>
      <c r="AH54" s="62">
        <v>1.51</v>
      </c>
      <c r="AI54" s="62">
        <v>5.98</v>
      </c>
      <c r="AJ54" s="62">
        <v>7.35</v>
      </c>
      <c r="AK54" s="62">
        <v>0.14000000000000001</v>
      </c>
      <c r="AL54" s="62">
        <v>0.06</v>
      </c>
      <c r="AM54" s="62">
        <v>2.34</v>
      </c>
      <c r="AN54" s="62">
        <v>0.63</v>
      </c>
      <c r="AO54" s="62">
        <v>0.13</v>
      </c>
      <c r="AP54" s="62">
        <v>1.33</v>
      </c>
      <c r="AQ54" s="62">
        <v>1.6</v>
      </c>
      <c r="AR54" s="62">
        <v>4.62</v>
      </c>
      <c r="AS54" s="62">
        <v>1.82</v>
      </c>
      <c r="AT54" s="62">
        <v>0.38</v>
      </c>
      <c r="AU54" s="62">
        <v>3.1</v>
      </c>
      <c r="AV54" s="62">
        <v>1.37</v>
      </c>
      <c r="AW54" s="62">
        <v>0.51</v>
      </c>
      <c r="AX54" s="62">
        <v>1.34</v>
      </c>
      <c r="AY54" s="62">
        <v>2.25</v>
      </c>
      <c r="AZ54" s="62">
        <v>24.1</v>
      </c>
      <c r="BA54" s="62">
        <v>0.25</v>
      </c>
      <c r="BB54" s="62">
        <v>0.85</v>
      </c>
      <c r="BC54" s="62">
        <v>5.6</v>
      </c>
      <c r="BD54" s="62">
        <v>0.39</v>
      </c>
      <c r="BE54" s="62">
        <v>3.2</v>
      </c>
      <c r="BF54" s="62">
        <v>2.78</v>
      </c>
      <c r="BG54" s="62">
        <v>5.88</v>
      </c>
      <c r="BH54" s="62">
        <v>0.84</v>
      </c>
      <c r="BI54" s="62">
        <v>2.88</v>
      </c>
      <c r="BJ54" s="62">
        <v>0.45</v>
      </c>
      <c r="BK54" s="62">
        <v>0.02</v>
      </c>
      <c r="BL54" s="62">
        <v>1.94</v>
      </c>
      <c r="BM54" s="62">
        <v>0.65</v>
      </c>
      <c r="BN54" s="62">
        <v>0.12</v>
      </c>
      <c r="BO54" s="62">
        <v>0.77</v>
      </c>
      <c r="BP54" s="62">
        <v>1.07</v>
      </c>
      <c r="BQ54" s="62">
        <v>0.99</v>
      </c>
      <c r="BR54" s="62">
        <v>0.38</v>
      </c>
      <c r="BS54" s="62">
        <v>0</v>
      </c>
      <c r="BT54" s="62">
        <v>0.61</v>
      </c>
      <c r="BU54" s="62">
        <v>0.18</v>
      </c>
      <c r="BV54" s="62">
        <v>5.09</v>
      </c>
      <c r="BW54" s="62">
        <v>1.27</v>
      </c>
      <c r="BX54" s="62">
        <v>0</v>
      </c>
      <c r="BY54" s="62">
        <v>1.64</v>
      </c>
      <c r="BZ54" s="62">
        <v>3.86</v>
      </c>
      <c r="CA54" s="62">
        <v>0.19</v>
      </c>
      <c r="CB54" s="62">
        <v>7.2</v>
      </c>
      <c r="CC54" s="62">
        <v>0.21</v>
      </c>
      <c r="CD54" s="62">
        <v>10.69</v>
      </c>
      <c r="CE54" s="62">
        <v>7.7</v>
      </c>
      <c r="CF54" s="62">
        <v>4.49</v>
      </c>
      <c r="CG54" s="62">
        <v>3.5</v>
      </c>
      <c r="CH54" s="62">
        <v>0.01</v>
      </c>
      <c r="CI54" s="62">
        <v>6.09</v>
      </c>
      <c r="CJ54" s="62">
        <v>2.1</v>
      </c>
      <c r="CK54" s="62">
        <v>1.88</v>
      </c>
      <c r="CL54" s="62">
        <v>3.82</v>
      </c>
      <c r="CM54" s="62">
        <v>2.46</v>
      </c>
      <c r="CN54" s="62">
        <v>0.17</v>
      </c>
      <c r="CO54" s="62">
        <v>0.55000000000000004</v>
      </c>
      <c r="CP54" s="62">
        <v>0.06</v>
      </c>
      <c r="CQ54" s="62">
        <v>2</v>
      </c>
      <c r="CR54" s="62">
        <v>6.1</v>
      </c>
      <c r="CS54" s="62">
        <v>0</v>
      </c>
      <c r="CT54" s="62">
        <v>3.35</v>
      </c>
      <c r="CU54" s="62">
        <v>1.93</v>
      </c>
      <c r="CV54" s="62">
        <v>1.69</v>
      </c>
      <c r="CW54" s="62">
        <v>6.32</v>
      </c>
      <c r="CX54" s="62">
        <v>7.78</v>
      </c>
      <c r="CY54" s="62">
        <v>3.22</v>
      </c>
      <c r="CZ54" s="62">
        <v>0.85</v>
      </c>
      <c r="DA54" s="62">
        <v>13.09</v>
      </c>
      <c r="DB54" s="62">
        <v>2.39</v>
      </c>
      <c r="DC54" s="62">
        <v>2</v>
      </c>
      <c r="DD54" s="62">
        <v>1.7</v>
      </c>
      <c r="DE54" s="62">
        <v>6</v>
      </c>
      <c r="DF54" s="62">
        <v>0.7</v>
      </c>
      <c r="DG54" s="62">
        <v>0</v>
      </c>
      <c r="DH54" s="62">
        <v>5.22</v>
      </c>
      <c r="DI54" s="62">
        <v>2.88</v>
      </c>
      <c r="DJ54" s="62">
        <v>3.3</v>
      </c>
      <c r="DK54" s="62">
        <v>2.7</v>
      </c>
      <c r="DL54" s="62">
        <v>2.11</v>
      </c>
      <c r="DM54" s="62">
        <v>2.0099999999999998</v>
      </c>
      <c r="DN54" s="62">
        <v>0.16</v>
      </c>
      <c r="DO54" s="62">
        <v>6.99</v>
      </c>
    </row>
    <row r="55" spans="1:120" x14ac:dyDescent="0.3">
      <c r="A55" s="64" t="s">
        <v>9097</v>
      </c>
      <c r="B55" s="62">
        <v>8.9</v>
      </c>
      <c r="C55" s="62">
        <v>0</v>
      </c>
      <c r="D55" s="62">
        <v>2.5</v>
      </c>
      <c r="E55" s="62">
        <v>3.23</v>
      </c>
      <c r="F55" s="62">
        <v>0.08</v>
      </c>
      <c r="G55" s="62">
        <v>0</v>
      </c>
      <c r="H55" s="62">
        <v>1</v>
      </c>
      <c r="I55" s="62">
        <v>1.18</v>
      </c>
      <c r="J55" s="62">
        <v>0.57999999999999996</v>
      </c>
      <c r="K55" s="62">
        <v>6.12</v>
      </c>
      <c r="L55" s="62">
        <v>1.06</v>
      </c>
      <c r="M55" s="62">
        <v>1.9</v>
      </c>
      <c r="N55" s="62">
        <v>0.57999999999999996</v>
      </c>
      <c r="O55" s="62">
        <v>0.01</v>
      </c>
      <c r="P55" s="62">
        <v>0.02</v>
      </c>
      <c r="Q55" s="62">
        <v>3.57</v>
      </c>
      <c r="R55" s="62">
        <v>0.88</v>
      </c>
      <c r="S55" s="62">
        <v>0.57999999999999996</v>
      </c>
      <c r="T55" s="62">
        <v>0.92</v>
      </c>
      <c r="U55" s="62">
        <v>4</v>
      </c>
      <c r="V55" s="62">
        <v>7.67</v>
      </c>
      <c r="W55" s="62">
        <v>6.97</v>
      </c>
      <c r="X55" s="62">
        <v>5.25</v>
      </c>
      <c r="Y55" s="62">
        <v>7.0000000000000007E-2</v>
      </c>
      <c r="Z55" s="62">
        <v>0.01</v>
      </c>
      <c r="AA55" s="62">
        <v>8.48</v>
      </c>
      <c r="AB55" s="62">
        <v>17.95</v>
      </c>
      <c r="AC55" s="62">
        <v>3.83</v>
      </c>
      <c r="AD55" s="62">
        <v>0.24</v>
      </c>
      <c r="AE55" s="62">
        <v>2.5</v>
      </c>
      <c r="AF55" s="62">
        <v>13.2</v>
      </c>
      <c r="AG55" s="62">
        <v>5.77</v>
      </c>
      <c r="AH55" s="62">
        <v>1.49</v>
      </c>
      <c r="AI55" s="62">
        <v>5.91</v>
      </c>
      <c r="AJ55" s="62">
        <v>7.57</v>
      </c>
      <c r="AK55" s="62">
        <v>0.12</v>
      </c>
      <c r="AL55" s="62">
        <v>0.06</v>
      </c>
      <c r="AM55" s="62">
        <v>2.38</v>
      </c>
      <c r="AN55" s="62">
        <v>0.61</v>
      </c>
      <c r="AO55" s="62">
        <v>0.13</v>
      </c>
      <c r="AP55" s="62">
        <v>1.33</v>
      </c>
      <c r="AQ55" s="62">
        <v>1.6</v>
      </c>
      <c r="AR55" s="62">
        <v>5.05</v>
      </c>
      <c r="AS55" s="62">
        <v>1.76</v>
      </c>
      <c r="AT55" s="62">
        <v>0.42</v>
      </c>
      <c r="AU55" s="62">
        <v>3.1</v>
      </c>
      <c r="AV55" s="62">
        <v>1.4</v>
      </c>
      <c r="AW55" s="62">
        <v>0.5</v>
      </c>
      <c r="AX55" s="62">
        <v>1.34</v>
      </c>
      <c r="AY55" s="62">
        <v>3</v>
      </c>
      <c r="AZ55" s="62">
        <v>24.6</v>
      </c>
      <c r="BA55" s="62">
        <v>0.25</v>
      </c>
      <c r="BB55" s="62">
        <v>0.84</v>
      </c>
      <c r="BC55" s="62">
        <v>5.35</v>
      </c>
      <c r="BD55" s="62">
        <v>0.35</v>
      </c>
      <c r="BE55" s="62">
        <v>3.22</v>
      </c>
      <c r="BF55" s="62">
        <v>2.85</v>
      </c>
      <c r="BG55" s="62">
        <v>5.85</v>
      </c>
      <c r="BH55" s="62">
        <v>0.74</v>
      </c>
      <c r="BI55" s="62">
        <v>2.86</v>
      </c>
      <c r="BJ55" s="62">
        <v>0.47</v>
      </c>
      <c r="BK55" s="62">
        <v>0.02</v>
      </c>
      <c r="BL55" s="62">
        <v>2.14</v>
      </c>
      <c r="BM55" s="62">
        <v>0.62</v>
      </c>
      <c r="BN55" s="62">
        <v>0.13</v>
      </c>
      <c r="BO55" s="62">
        <v>0.88</v>
      </c>
      <c r="BP55" s="62">
        <v>1.07</v>
      </c>
      <c r="BQ55" s="62">
        <v>0.98</v>
      </c>
      <c r="BR55" s="62">
        <v>0.38</v>
      </c>
      <c r="BS55" s="62">
        <v>0.01</v>
      </c>
      <c r="BT55" s="62">
        <v>0.6</v>
      </c>
      <c r="BU55" s="62">
        <v>0.21</v>
      </c>
      <c r="BV55" s="62">
        <v>4.79</v>
      </c>
      <c r="BW55" s="62">
        <v>1.28</v>
      </c>
      <c r="BX55" s="62">
        <v>0</v>
      </c>
      <c r="BY55" s="62">
        <v>1.64</v>
      </c>
      <c r="BZ55" s="62">
        <v>4.3</v>
      </c>
      <c r="CA55" s="62">
        <v>0.2</v>
      </c>
      <c r="CB55" s="62">
        <v>7.17</v>
      </c>
      <c r="CC55" s="62">
        <v>0.25</v>
      </c>
      <c r="CD55" s="62">
        <v>10.59</v>
      </c>
      <c r="CE55" s="62">
        <v>7.43</v>
      </c>
      <c r="CF55" s="62">
        <v>4.51</v>
      </c>
      <c r="CG55" s="62">
        <v>3.31</v>
      </c>
      <c r="CH55" s="62">
        <v>0</v>
      </c>
      <c r="CI55" s="62">
        <v>5.82</v>
      </c>
      <c r="CJ55" s="62">
        <v>2.4500000000000002</v>
      </c>
      <c r="CK55" s="62">
        <v>1.82</v>
      </c>
      <c r="CL55" s="62">
        <v>3.9</v>
      </c>
      <c r="CM55" s="62">
        <v>2.29</v>
      </c>
      <c r="CN55" s="62">
        <v>0.2</v>
      </c>
      <c r="CO55" s="62">
        <v>0.5</v>
      </c>
      <c r="CP55" s="62">
        <v>0.05</v>
      </c>
      <c r="CQ55" s="62">
        <v>2.0499999999999998</v>
      </c>
      <c r="CR55" s="62">
        <v>6.35</v>
      </c>
      <c r="CS55" s="62">
        <v>0</v>
      </c>
      <c r="CT55" s="62">
        <v>3.34</v>
      </c>
      <c r="CU55" s="62">
        <v>1.87</v>
      </c>
      <c r="CV55" s="62">
        <v>1.7</v>
      </c>
      <c r="CW55" s="62">
        <v>6.94</v>
      </c>
      <c r="CX55" s="62">
        <v>8.39</v>
      </c>
      <c r="CY55" s="62">
        <v>3.2</v>
      </c>
      <c r="CZ55" s="62">
        <v>0.87</v>
      </c>
      <c r="DA55" s="62">
        <v>12.4</v>
      </c>
      <c r="DB55" s="62">
        <v>2.29</v>
      </c>
      <c r="DC55" s="62">
        <v>1.97</v>
      </c>
      <c r="DD55" s="62">
        <v>1.64</v>
      </c>
      <c r="DE55" s="62">
        <v>6.1</v>
      </c>
      <c r="DF55" s="62">
        <v>0.81</v>
      </c>
      <c r="DG55" s="62">
        <v>0</v>
      </c>
      <c r="DH55" s="62">
        <v>5.59</v>
      </c>
      <c r="DI55" s="62">
        <v>3.02</v>
      </c>
      <c r="DJ55" s="62">
        <v>3.15</v>
      </c>
      <c r="DK55" s="62">
        <v>2.86</v>
      </c>
      <c r="DL55" s="62">
        <v>2.09</v>
      </c>
      <c r="DM55" s="62">
        <v>2.0099999999999998</v>
      </c>
      <c r="DN55" s="62">
        <v>0.16</v>
      </c>
      <c r="DO55" s="62">
        <v>7</v>
      </c>
    </row>
    <row r="56" spans="1:120" x14ac:dyDescent="0.3">
      <c r="A56" s="64" t="s">
        <v>9098</v>
      </c>
      <c r="B56" s="62">
        <v>8.48</v>
      </c>
      <c r="C56" s="62">
        <v>0</v>
      </c>
      <c r="D56" s="62">
        <v>2.39</v>
      </c>
      <c r="E56" s="62">
        <v>3.26</v>
      </c>
      <c r="F56" s="62">
        <v>0.08</v>
      </c>
      <c r="G56" s="62">
        <v>0</v>
      </c>
      <c r="H56" s="62">
        <v>1.02</v>
      </c>
      <c r="I56" s="62">
        <v>1.19</v>
      </c>
      <c r="J56" s="62">
        <v>0.59</v>
      </c>
      <c r="K56" s="62">
        <v>6.39</v>
      </c>
      <c r="L56" s="62">
        <v>1.04</v>
      </c>
      <c r="M56" s="62">
        <v>1.77</v>
      </c>
      <c r="N56" s="62">
        <v>0.59</v>
      </c>
      <c r="O56" s="62">
        <v>0.01</v>
      </c>
      <c r="P56" s="62">
        <v>0.02</v>
      </c>
      <c r="Q56" s="62">
        <v>3.5</v>
      </c>
      <c r="R56" s="62">
        <v>0.71</v>
      </c>
      <c r="S56" s="62">
        <v>0.5</v>
      </c>
      <c r="T56" s="62">
        <v>0.93</v>
      </c>
      <c r="U56" s="62">
        <v>4.05</v>
      </c>
      <c r="V56" s="62">
        <v>7.8</v>
      </c>
      <c r="W56" s="62">
        <v>7.1</v>
      </c>
      <c r="X56" s="62">
        <v>5.43</v>
      </c>
      <c r="Y56" s="62">
        <v>0.06</v>
      </c>
      <c r="Z56" s="62">
        <v>0.01</v>
      </c>
      <c r="AA56" s="62">
        <v>8.35</v>
      </c>
      <c r="AB56" s="62">
        <v>17.75</v>
      </c>
      <c r="AC56" s="62">
        <v>3.52</v>
      </c>
      <c r="AD56" s="62">
        <v>0.23</v>
      </c>
      <c r="AE56" s="62">
        <v>2.5</v>
      </c>
      <c r="AF56" s="62">
        <v>12.79</v>
      </c>
      <c r="AG56" s="62">
        <v>6.2</v>
      </c>
      <c r="AH56" s="62">
        <v>1.42</v>
      </c>
      <c r="AI56" s="62">
        <v>5.74</v>
      </c>
      <c r="AJ56" s="62">
        <v>7.45</v>
      </c>
      <c r="AK56" s="62">
        <v>0.13</v>
      </c>
      <c r="AL56" s="62">
        <v>0.06</v>
      </c>
      <c r="AM56" s="62">
        <v>2.2799999999999998</v>
      </c>
      <c r="AN56" s="62">
        <v>0.57999999999999996</v>
      </c>
      <c r="AO56" s="62">
        <v>0.13</v>
      </c>
      <c r="AP56" s="62">
        <v>1.36</v>
      </c>
      <c r="AQ56" s="62">
        <v>1.49</v>
      </c>
      <c r="AR56" s="62">
        <v>4.63</v>
      </c>
      <c r="AS56" s="62">
        <v>1.8</v>
      </c>
      <c r="AT56" s="62">
        <v>0.56000000000000005</v>
      </c>
      <c r="AU56" s="62">
        <v>3.19</v>
      </c>
      <c r="AV56" s="62">
        <v>1.42</v>
      </c>
      <c r="AW56" s="62">
        <v>0.42</v>
      </c>
      <c r="AX56" s="62">
        <v>1.34</v>
      </c>
      <c r="AY56" s="62">
        <v>3</v>
      </c>
      <c r="AZ56" s="62">
        <v>24.75</v>
      </c>
      <c r="BA56" s="62">
        <v>0.25</v>
      </c>
      <c r="BB56" s="62">
        <v>0.86</v>
      </c>
      <c r="BC56" s="62">
        <v>5.33</v>
      </c>
      <c r="BD56" s="62">
        <v>0.28999999999999998</v>
      </c>
      <c r="BE56" s="62">
        <v>3.19</v>
      </c>
      <c r="BF56" s="62">
        <v>2.98</v>
      </c>
      <c r="BG56" s="62">
        <v>5.72</v>
      </c>
      <c r="BH56" s="62">
        <v>0.87</v>
      </c>
      <c r="BI56" s="62">
        <v>2.83</v>
      </c>
      <c r="BJ56" s="62">
        <v>0.5</v>
      </c>
      <c r="BK56" s="62">
        <v>0.02</v>
      </c>
      <c r="BL56" s="62">
        <v>2.31</v>
      </c>
      <c r="BM56" s="62">
        <v>0.6</v>
      </c>
      <c r="BN56" s="62">
        <v>0.12</v>
      </c>
      <c r="BO56" s="62">
        <v>0.83</v>
      </c>
      <c r="BP56" s="62">
        <v>1.07</v>
      </c>
      <c r="BQ56" s="62">
        <v>0.99</v>
      </c>
      <c r="BR56" s="62">
        <v>0.33</v>
      </c>
      <c r="BS56" s="62">
        <v>0.01</v>
      </c>
      <c r="BT56" s="62">
        <v>0.6</v>
      </c>
      <c r="BU56" s="62">
        <v>0.18</v>
      </c>
      <c r="BV56" s="62">
        <v>4.8899999999999997</v>
      </c>
      <c r="BW56" s="62">
        <v>1.27</v>
      </c>
      <c r="BX56" s="62">
        <v>0</v>
      </c>
      <c r="BY56" s="62">
        <v>1.65</v>
      </c>
      <c r="BZ56" s="62">
        <v>4</v>
      </c>
      <c r="CA56" s="62">
        <v>0.19</v>
      </c>
      <c r="CB56" s="62">
        <v>7.39</v>
      </c>
      <c r="CC56" s="62">
        <v>0.24</v>
      </c>
      <c r="CD56" s="62">
        <v>10.5</v>
      </c>
      <c r="CE56" s="62">
        <v>7.6</v>
      </c>
      <c r="CF56" s="62">
        <v>4.51</v>
      </c>
      <c r="CG56" s="62">
        <v>3.3</v>
      </c>
      <c r="CH56" s="62">
        <v>0</v>
      </c>
      <c r="CI56" s="62">
        <v>5.91</v>
      </c>
      <c r="CJ56" s="62">
        <v>2.63</v>
      </c>
      <c r="CK56" s="62">
        <v>1.8</v>
      </c>
      <c r="CL56" s="62">
        <v>4.04</v>
      </c>
      <c r="CM56" s="62">
        <v>2.25</v>
      </c>
      <c r="CN56" s="62">
        <v>0.2</v>
      </c>
      <c r="CO56" s="62">
        <v>0.45</v>
      </c>
      <c r="CP56" s="62">
        <v>0.04</v>
      </c>
      <c r="CQ56" s="62">
        <v>2.1</v>
      </c>
      <c r="CR56" s="62">
        <v>6.45</v>
      </c>
      <c r="CS56" s="62">
        <v>0</v>
      </c>
      <c r="CT56" s="62">
        <v>3.45</v>
      </c>
      <c r="CU56" s="62">
        <v>1.86</v>
      </c>
      <c r="CV56" s="62">
        <v>1.73</v>
      </c>
      <c r="CW56" s="62">
        <v>6.9</v>
      </c>
      <c r="CX56" s="62">
        <v>10</v>
      </c>
      <c r="CY56" s="62">
        <v>3.12</v>
      </c>
      <c r="CZ56" s="62">
        <v>0.86</v>
      </c>
      <c r="DA56" s="62">
        <v>12.12</v>
      </c>
      <c r="DB56" s="62">
        <v>2.37</v>
      </c>
      <c r="DC56" s="62">
        <v>1.9</v>
      </c>
      <c r="DD56" s="62">
        <v>1.76</v>
      </c>
      <c r="DE56" s="62">
        <v>6.08</v>
      </c>
      <c r="DF56" s="62">
        <v>0.81</v>
      </c>
      <c r="DG56" s="62">
        <v>0</v>
      </c>
      <c r="DH56" s="62">
        <v>5.74</v>
      </c>
      <c r="DI56" s="62">
        <v>2.99</v>
      </c>
      <c r="DJ56" s="62">
        <v>3.19</v>
      </c>
      <c r="DK56" s="62">
        <v>3.01</v>
      </c>
      <c r="DL56" s="62">
        <v>2.06</v>
      </c>
      <c r="DM56" s="62">
        <v>2.0099999999999998</v>
      </c>
      <c r="DN56" s="62">
        <v>0.14000000000000001</v>
      </c>
      <c r="DO56" s="62">
        <v>7.25</v>
      </c>
    </row>
    <row r="57" spans="1:120" x14ac:dyDescent="0.3">
      <c r="A57" s="64" t="s">
        <v>9099</v>
      </c>
      <c r="B57" s="62">
        <v>8.85</v>
      </c>
      <c r="C57" s="62">
        <v>0</v>
      </c>
      <c r="D57" s="62">
        <v>2.38</v>
      </c>
      <c r="E57" s="62">
        <v>3.25</v>
      </c>
      <c r="F57" s="62">
        <v>0.08</v>
      </c>
      <c r="G57" s="62">
        <v>0</v>
      </c>
      <c r="H57" s="62">
        <v>1.07</v>
      </c>
      <c r="I57" s="62">
        <v>1.26</v>
      </c>
      <c r="J57" s="62">
        <v>0.59</v>
      </c>
      <c r="K57" s="62">
        <v>6.62</v>
      </c>
      <c r="L57" s="62">
        <v>1.08</v>
      </c>
      <c r="M57" s="62">
        <v>1.9</v>
      </c>
      <c r="N57" s="62">
        <v>0.61</v>
      </c>
      <c r="O57" s="62">
        <v>0.02</v>
      </c>
      <c r="P57" s="62">
        <v>0.02</v>
      </c>
      <c r="Q57" s="62">
        <v>3.52</v>
      </c>
      <c r="R57" s="62">
        <v>0.74</v>
      </c>
      <c r="S57" s="62">
        <v>0.55000000000000004</v>
      </c>
      <c r="T57" s="62">
        <v>0.94</v>
      </c>
      <c r="U57" s="62">
        <v>4.07</v>
      </c>
      <c r="V57" s="62">
        <v>7.7</v>
      </c>
      <c r="W57" s="62">
        <v>5.83</v>
      </c>
      <c r="X57" s="62">
        <v>5.75</v>
      </c>
      <c r="Y57" s="62">
        <v>7.0000000000000007E-2</v>
      </c>
      <c r="Z57" s="62">
        <v>0.01</v>
      </c>
      <c r="AA57" s="62">
        <v>8.75</v>
      </c>
      <c r="AB57" s="62">
        <v>17.920000000000002</v>
      </c>
      <c r="AC57" s="62">
        <v>3.46</v>
      </c>
      <c r="AD57" s="62">
        <v>0.27</v>
      </c>
      <c r="AE57" s="62">
        <v>2.2000000000000002</v>
      </c>
      <c r="AF57" s="62">
        <v>13.48</v>
      </c>
      <c r="AG57" s="62">
        <v>6.58</v>
      </c>
      <c r="AH57" s="62">
        <v>1.5</v>
      </c>
      <c r="AI57" s="62">
        <v>5.22</v>
      </c>
      <c r="AJ57" s="62">
        <v>7.79</v>
      </c>
      <c r="AK57" s="62">
        <v>0.13</v>
      </c>
      <c r="AL57" s="62">
        <v>0.06</v>
      </c>
      <c r="AM57" s="62">
        <v>2.4</v>
      </c>
      <c r="AN57" s="62">
        <v>0.62</v>
      </c>
      <c r="AO57" s="62">
        <v>0.18</v>
      </c>
      <c r="AP57" s="62">
        <v>1.43</v>
      </c>
      <c r="AQ57" s="62">
        <v>1.61</v>
      </c>
      <c r="AR57" s="62">
        <v>4.4000000000000004</v>
      </c>
      <c r="AS57" s="62">
        <v>1.79</v>
      </c>
      <c r="AT57" s="62">
        <v>0.5</v>
      </c>
      <c r="AU57" s="62">
        <v>3.3</v>
      </c>
      <c r="AV57" s="62">
        <v>1.49</v>
      </c>
      <c r="AW57" s="62">
        <v>0.41</v>
      </c>
      <c r="AX57" s="62">
        <v>1.39</v>
      </c>
      <c r="AY57" s="62">
        <v>2.95</v>
      </c>
      <c r="AZ57" s="62">
        <v>27</v>
      </c>
      <c r="BA57" s="62">
        <v>0.24</v>
      </c>
      <c r="BB57" s="62">
        <v>0.86</v>
      </c>
      <c r="BC57" s="62">
        <v>5.35</v>
      </c>
      <c r="BD57" s="62">
        <v>0.22</v>
      </c>
      <c r="BE57" s="62">
        <v>3.23</v>
      </c>
      <c r="BF57" s="62">
        <v>3.06</v>
      </c>
      <c r="BG57" s="62">
        <v>6.02</v>
      </c>
      <c r="BH57" s="62">
        <v>0.88</v>
      </c>
      <c r="BI57" s="62">
        <v>3.05</v>
      </c>
      <c r="BJ57" s="62">
        <v>0.48</v>
      </c>
      <c r="BK57" s="62">
        <v>0.02</v>
      </c>
      <c r="BL57" s="62">
        <v>2.2799999999999998</v>
      </c>
      <c r="BM57" s="62">
        <v>0.6</v>
      </c>
      <c r="BN57" s="62">
        <v>0.13</v>
      </c>
      <c r="BO57" s="62">
        <v>0.83</v>
      </c>
      <c r="BP57" s="62">
        <v>1.1200000000000001</v>
      </c>
      <c r="BQ57" s="62">
        <v>1.03</v>
      </c>
      <c r="BR57" s="62">
        <v>0.26</v>
      </c>
      <c r="BS57" s="62">
        <v>0.01</v>
      </c>
      <c r="BT57" s="62">
        <v>0.7</v>
      </c>
      <c r="BU57" s="62">
        <v>0.21</v>
      </c>
      <c r="BV57" s="62">
        <v>5.05</v>
      </c>
      <c r="BW57" s="62">
        <v>1.3</v>
      </c>
      <c r="BX57" s="62">
        <v>0</v>
      </c>
      <c r="BY57" s="62">
        <v>1.7</v>
      </c>
      <c r="BZ57" s="62">
        <v>4.33</v>
      </c>
      <c r="CA57" s="62">
        <v>0.21</v>
      </c>
      <c r="CB57" s="62">
        <v>7.68</v>
      </c>
      <c r="CC57" s="62">
        <v>0.25</v>
      </c>
      <c r="CD57" s="62">
        <v>11.49</v>
      </c>
      <c r="CE57" s="62">
        <v>7.7</v>
      </c>
      <c r="CF57" s="62">
        <v>4.66</v>
      </c>
      <c r="CG57" s="62">
        <v>3.4</v>
      </c>
      <c r="CH57" s="62">
        <v>0</v>
      </c>
      <c r="CI57" s="62">
        <v>6.18</v>
      </c>
      <c r="CJ57" s="62">
        <v>3</v>
      </c>
      <c r="CK57" s="62">
        <v>2</v>
      </c>
      <c r="CL57" s="62">
        <v>3.94</v>
      </c>
      <c r="CM57" s="62">
        <v>2.3199999999999998</v>
      </c>
      <c r="CN57" s="62">
        <v>0.19</v>
      </c>
      <c r="CO57" s="62">
        <v>0.38</v>
      </c>
      <c r="CP57" s="62">
        <v>0.08</v>
      </c>
      <c r="CQ57" s="62">
        <v>2.1</v>
      </c>
      <c r="CR57" s="62">
        <v>6.8</v>
      </c>
      <c r="CS57" s="62">
        <v>0</v>
      </c>
      <c r="CT57" s="62">
        <v>3.65</v>
      </c>
      <c r="CU57" s="62">
        <v>1.3</v>
      </c>
      <c r="CV57" s="62">
        <v>1.79</v>
      </c>
      <c r="CW57" s="62">
        <v>7.32</v>
      </c>
      <c r="CX57" s="62">
        <v>10.96</v>
      </c>
      <c r="CY57" s="62">
        <v>3.1</v>
      </c>
      <c r="CZ57" s="62">
        <v>0.89</v>
      </c>
      <c r="DA57" s="62">
        <v>10.45</v>
      </c>
      <c r="DB57" s="62">
        <v>2.48</v>
      </c>
      <c r="DC57" s="62">
        <v>1.75</v>
      </c>
      <c r="DD57" s="62">
        <v>1.87</v>
      </c>
      <c r="DE57" s="62">
        <v>6.39</v>
      </c>
      <c r="DF57" s="62">
        <v>0.76</v>
      </c>
      <c r="DG57" s="62">
        <v>0</v>
      </c>
      <c r="DH57" s="62">
        <v>5.57</v>
      </c>
      <c r="DI57" s="62">
        <v>2.97</v>
      </c>
      <c r="DJ57" s="62">
        <v>3.36</v>
      </c>
      <c r="DK57" s="62">
        <v>3.52</v>
      </c>
      <c r="DL57" s="62">
        <v>2.0499999999999998</v>
      </c>
      <c r="DM57" s="62">
        <v>2.0299999999999998</v>
      </c>
      <c r="DN57" s="62">
        <v>0.17</v>
      </c>
      <c r="DO57" s="62">
        <v>7.32</v>
      </c>
    </row>
    <row r="58" spans="1:120" x14ac:dyDescent="0.3">
      <c r="A58" s="64" t="s">
        <v>9100</v>
      </c>
      <c r="B58" s="62">
        <v>8.6999999999999993</v>
      </c>
      <c r="C58" s="62">
        <v>0</v>
      </c>
      <c r="D58" s="62">
        <v>2.4</v>
      </c>
      <c r="E58" s="62">
        <v>3.2</v>
      </c>
      <c r="F58" s="62">
        <v>7.0000000000000007E-2</v>
      </c>
      <c r="G58" s="62">
        <v>0</v>
      </c>
      <c r="H58" s="62">
        <v>1.07</v>
      </c>
      <c r="I58" s="62">
        <v>1.28</v>
      </c>
      <c r="J58" s="62">
        <v>0.57999999999999996</v>
      </c>
      <c r="K58" s="62">
        <v>6.77</v>
      </c>
      <c r="L58" s="62">
        <v>1.08</v>
      </c>
      <c r="M58" s="62">
        <v>2.0099999999999998</v>
      </c>
      <c r="N58" s="62">
        <v>0.61</v>
      </c>
      <c r="O58" s="62">
        <v>0.02</v>
      </c>
      <c r="P58" s="62">
        <v>0.01</v>
      </c>
      <c r="Q58" s="62">
        <v>3.55</v>
      </c>
      <c r="R58" s="62">
        <v>0.67</v>
      </c>
      <c r="S58" s="62">
        <v>0.62</v>
      </c>
      <c r="T58" s="62">
        <v>0.91</v>
      </c>
      <c r="U58" s="62">
        <v>4.2</v>
      </c>
      <c r="V58" s="62">
        <v>8</v>
      </c>
      <c r="W58" s="62">
        <v>5.88</v>
      </c>
      <c r="X58" s="62">
        <v>5.87</v>
      </c>
      <c r="Y58" s="62">
        <v>7.0000000000000007E-2</v>
      </c>
      <c r="Z58" s="62">
        <v>0.01</v>
      </c>
      <c r="AA58" s="62">
        <v>8.65</v>
      </c>
      <c r="AB58" s="62">
        <v>19.25</v>
      </c>
      <c r="AC58" s="62">
        <v>3.56</v>
      </c>
      <c r="AD58" s="62">
        <v>0.26</v>
      </c>
      <c r="AE58" s="62">
        <v>2.2000000000000002</v>
      </c>
      <c r="AF58" s="62">
        <v>14.97</v>
      </c>
      <c r="AG58" s="62">
        <v>6.98</v>
      </c>
      <c r="AH58" s="62">
        <v>1.48</v>
      </c>
      <c r="AI58" s="62">
        <v>5.3</v>
      </c>
      <c r="AJ58" s="62">
        <v>7.78</v>
      </c>
      <c r="AK58" s="62">
        <v>0.12</v>
      </c>
      <c r="AL58" s="62">
        <v>0.06</v>
      </c>
      <c r="AM58" s="62">
        <v>2.44</v>
      </c>
      <c r="AN58" s="62">
        <v>0.68</v>
      </c>
      <c r="AO58" s="62">
        <v>0.16</v>
      </c>
      <c r="AP58" s="62">
        <v>1.47</v>
      </c>
      <c r="AQ58" s="62">
        <v>1.57</v>
      </c>
      <c r="AR58" s="62">
        <v>4.71</v>
      </c>
      <c r="AS58" s="62">
        <v>1.73</v>
      </c>
      <c r="AT58" s="62">
        <v>0.54</v>
      </c>
      <c r="AU58" s="62">
        <v>3.39</v>
      </c>
      <c r="AV58" s="62">
        <v>1.49</v>
      </c>
      <c r="AW58" s="62">
        <v>0.38</v>
      </c>
      <c r="AX58" s="62">
        <v>1.36</v>
      </c>
      <c r="AY58" s="62">
        <v>2.75</v>
      </c>
      <c r="AZ58" s="62">
        <v>27.76</v>
      </c>
      <c r="BA58" s="62">
        <v>0.24</v>
      </c>
      <c r="BB58" s="62">
        <v>0.88</v>
      </c>
      <c r="BC58" s="62">
        <v>5.25</v>
      </c>
      <c r="BD58" s="62">
        <v>0.22</v>
      </c>
      <c r="BE58" s="62">
        <v>3.35</v>
      </c>
      <c r="BF58" s="62">
        <v>3.08</v>
      </c>
      <c r="BG58" s="62">
        <v>6.22</v>
      </c>
      <c r="BH58" s="62">
        <v>0.95</v>
      </c>
      <c r="BI58" s="62">
        <v>3.15</v>
      </c>
      <c r="BJ58" s="62">
        <v>0.46</v>
      </c>
      <c r="BK58" s="62">
        <v>0.02</v>
      </c>
      <c r="BL58" s="62">
        <v>2.39</v>
      </c>
      <c r="BM58" s="62">
        <v>0.6</v>
      </c>
      <c r="BN58" s="62">
        <v>0.13</v>
      </c>
      <c r="BO58" s="62">
        <v>0.82</v>
      </c>
      <c r="BP58" s="62">
        <v>1.1200000000000001</v>
      </c>
      <c r="BQ58" s="62">
        <v>1.1399999999999999</v>
      </c>
      <c r="BR58" s="62">
        <v>0.28999999999999998</v>
      </c>
      <c r="BS58" s="62">
        <v>0.01</v>
      </c>
      <c r="BT58" s="62">
        <v>0.66</v>
      </c>
      <c r="BU58" s="62">
        <v>0.21</v>
      </c>
      <c r="BV58" s="62">
        <v>5.0999999999999996</v>
      </c>
      <c r="BW58" s="62">
        <v>1.35</v>
      </c>
      <c r="BX58" s="62">
        <v>0</v>
      </c>
      <c r="BY58" s="62">
        <v>1.73</v>
      </c>
      <c r="BZ58" s="62">
        <v>4.16</v>
      </c>
      <c r="CA58" s="62">
        <v>0.28999999999999998</v>
      </c>
      <c r="CB58" s="62">
        <v>7.8</v>
      </c>
      <c r="CC58" s="62">
        <v>0.28999999999999998</v>
      </c>
      <c r="CD58" s="62">
        <v>11.8</v>
      </c>
      <c r="CE58" s="62">
        <v>7.7</v>
      </c>
      <c r="CF58" s="62">
        <v>4.63</v>
      </c>
      <c r="CG58" s="62">
        <v>3.5</v>
      </c>
      <c r="CH58" s="62">
        <v>0</v>
      </c>
      <c r="CI58" s="62">
        <v>6.09</v>
      </c>
      <c r="CJ58" s="62">
        <v>2.94</v>
      </c>
      <c r="CK58" s="62">
        <v>1.98</v>
      </c>
      <c r="CL58" s="62">
        <v>4.07</v>
      </c>
      <c r="CM58" s="62">
        <v>2.6</v>
      </c>
      <c r="CN58" s="62">
        <v>0.18</v>
      </c>
      <c r="CO58" s="62">
        <v>0.39</v>
      </c>
      <c r="CP58" s="62">
        <v>0.09</v>
      </c>
      <c r="CQ58" s="62">
        <v>1.8</v>
      </c>
      <c r="CR58" s="62">
        <v>6.95</v>
      </c>
      <c r="CS58" s="62">
        <v>0</v>
      </c>
      <c r="CT58" s="62">
        <v>3.71</v>
      </c>
      <c r="CU58" s="62">
        <v>1.38</v>
      </c>
      <c r="CV58" s="62">
        <v>1.86</v>
      </c>
      <c r="CW58" s="62">
        <v>7.6</v>
      </c>
      <c r="CX58" s="62">
        <v>11.39</v>
      </c>
      <c r="CY58" s="62">
        <v>3.1</v>
      </c>
      <c r="CZ58" s="62">
        <v>0.88</v>
      </c>
      <c r="DA58" s="62">
        <v>11.43</v>
      </c>
      <c r="DB58" s="62">
        <v>2.4300000000000002</v>
      </c>
      <c r="DC58" s="62">
        <v>1.76</v>
      </c>
      <c r="DD58" s="62">
        <v>1.89</v>
      </c>
      <c r="DE58" s="62">
        <v>6.7</v>
      </c>
      <c r="DF58" s="62">
        <v>0.76</v>
      </c>
      <c r="DG58" s="62">
        <v>0</v>
      </c>
      <c r="DH58" s="62">
        <v>5.66</v>
      </c>
      <c r="DI58" s="62">
        <v>3.2</v>
      </c>
      <c r="DJ58" s="62">
        <v>3.4</v>
      </c>
      <c r="DK58" s="62">
        <v>3.8</v>
      </c>
      <c r="DL58" s="62">
        <v>2.0099999999999998</v>
      </c>
      <c r="DM58" s="62">
        <v>2.04</v>
      </c>
      <c r="DN58" s="62">
        <v>0.15</v>
      </c>
      <c r="DO58" s="62">
        <v>7.59</v>
      </c>
    </row>
    <row r="59" spans="1:120" x14ac:dyDescent="0.3">
      <c r="A59" s="64" t="s">
        <v>9101</v>
      </c>
      <c r="B59" s="62">
        <v>9</v>
      </c>
      <c r="C59" s="62">
        <v>0</v>
      </c>
      <c r="D59" s="62">
        <v>2.2999999999999998</v>
      </c>
      <c r="E59" s="62">
        <v>3.24</v>
      </c>
      <c r="F59" s="62">
        <v>0.08</v>
      </c>
      <c r="G59" s="62">
        <v>0</v>
      </c>
      <c r="H59" s="62">
        <v>1.08</v>
      </c>
      <c r="I59" s="62">
        <v>1.29</v>
      </c>
      <c r="J59" s="62">
        <v>0.61</v>
      </c>
      <c r="K59" s="62">
        <v>6.68</v>
      </c>
      <c r="L59" s="62">
        <v>1.08</v>
      </c>
      <c r="M59" s="62">
        <v>1.93</v>
      </c>
      <c r="N59" s="62">
        <v>0.62</v>
      </c>
      <c r="O59" s="62">
        <v>0.02</v>
      </c>
      <c r="P59" s="62">
        <v>0.02</v>
      </c>
      <c r="Q59" s="62">
        <v>3.53</v>
      </c>
      <c r="R59" s="62">
        <v>0.65</v>
      </c>
      <c r="S59" s="62">
        <v>0.6</v>
      </c>
      <c r="T59" s="62">
        <v>0.9</v>
      </c>
      <c r="U59" s="62">
        <v>4.28</v>
      </c>
      <c r="V59" s="62">
        <v>8</v>
      </c>
      <c r="W59" s="62">
        <v>5.75</v>
      </c>
      <c r="X59" s="62">
        <v>5.74</v>
      </c>
      <c r="Y59" s="62">
        <v>0.08</v>
      </c>
      <c r="Z59" s="62">
        <v>0.01</v>
      </c>
      <c r="AA59" s="62">
        <v>9.1999999999999993</v>
      </c>
      <c r="AB59" s="62">
        <v>20.3</v>
      </c>
      <c r="AC59" s="62">
        <v>3.31</v>
      </c>
      <c r="AD59" s="62">
        <v>0.26</v>
      </c>
      <c r="AE59" s="62">
        <v>2.2000000000000002</v>
      </c>
      <c r="AF59" s="62">
        <v>14.58</v>
      </c>
      <c r="AG59" s="62">
        <v>6.97</v>
      </c>
      <c r="AH59" s="62">
        <v>1.48</v>
      </c>
      <c r="AI59" s="62">
        <v>5.0999999999999996</v>
      </c>
      <c r="AJ59" s="62">
        <v>7.95</v>
      </c>
      <c r="AK59" s="62">
        <v>0.14000000000000001</v>
      </c>
      <c r="AL59" s="62">
        <v>0.05</v>
      </c>
      <c r="AM59" s="62">
        <v>2.5099999999999998</v>
      </c>
      <c r="AN59" s="62">
        <v>0.61</v>
      </c>
      <c r="AO59" s="62">
        <v>0.18</v>
      </c>
      <c r="AP59" s="62">
        <v>1.48</v>
      </c>
      <c r="AQ59" s="62">
        <v>1.42</v>
      </c>
      <c r="AR59" s="62">
        <v>5.12</v>
      </c>
      <c r="AS59" s="62">
        <v>1.71</v>
      </c>
      <c r="AT59" s="62">
        <v>0.54</v>
      </c>
      <c r="AU59" s="62">
        <v>3.4</v>
      </c>
      <c r="AV59" s="62">
        <v>1.53</v>
      </c>
      <c r="AW59" s="62">
        <v>0.45</v>
      </c>
      <c r="AX59" s="62">
        <v>1.36</v>
      </c>
      <c r="AY59" s="62">
        <v>0.75</v>
      </c>
      <c r="AZ59" s="62">
        <v>27.54</v>
      </c>
      <c r="BA59" s="62">
        <v>0.24</v>
      </c>
      <c r="BB59" s="62">
        <v>0.9</v>
      </c>
      <c r="BC59" s="62">
        <v>5.2</v>
      </c>
      <c r="BD59" s="62">
        <v>0.18</v>
      </c>
      <c r="BE59" s="62">
        <v>3.35</v>
      </c>
      <c r="BF59" s="62">
        <v>3.12</v>
      </c>
      <c r="BG59" s="62">
        <v>6.02</v>
      </c>
      <c r="BH59" s="62">
        <v>0.85</v>
      </c>
      <c r="BI59" s="62">
        <v>3.32</v>
      </c>
      <c r="BJ59" s="62">
        <v>0.44</v>
      </c>
      <c r="BK59" s="62">
        <v>0.02</v>
      </c>
      <c r="BL59" s="62">
        <v>2.8</v>
      </c>
      <c r="BM59" s="62">
        <v>0.57999999999999996</v>
      </c>
      <c r="BN59" s="62">
        <v>0.13</v>
      </c>
      <c r="BO59" s="62">
        <v>0.84</v>
      </c>
      <c r="BP59" s="62">
        <v>1.0900000000000001</v>
      </c>
      <c r="BQ59" s="62">
        <v>1.1299999999999999</v>
      </c>
      <c r="BR59" s="62">
        <v>0.28000000000000003</v>
      </c>
      <c r="BS59" s="62">
        <v>0.01</v>
      </c>
      <c r="BT59" s="62">
        <v>0.65</v>
      </c>
      <c r="BU59" s="62">
        <v>0.2</v>
      </c>
      <c r="BV59" s="62">
        <v>4.95</v>
      </c>
      <c r="BW59" s="62">
        <v>1.38</v>
      </c>
      <c r="BX59" s="62">
        <v>0</v>
      </c>
      <c r="BY59" s="62">
        <v>1.73</v>
      </c>
      <c r="BZ59" s="62">
        <v>3.84</v>
      </c>
      <c r="CA59" s="62">
        <v>0.26</v>
      </c>
      <c r="CB59" s="62">
        <v>7.57</v>
      </c>
      <c r="CC59" s="62">
        <v>0.28999999999999998</v>
      </c>
      <c r="CD59" s="62">
        <v>12.27</v>
      </c>
      <c r="CE59" s="62">
        <v>7.62</v>
      </c>
      <c r="CF59" s="62">
        <v>4.6100000000000003</v>
      </c>
      <c r="CG59" s="62">
        <v>3.31</v>
      </c>
      <c r="CH59" s="62">
        <v>0</v>
      </c>
      <c r="CI59" s="62">
        <v>5.91</v>
      </c>
      <c r="CJ59" s="62">
        <v>2.84</v>
      </c>
      <c r="CK59" s="62">
        <v>2.04</v>
      </c>
      <c r="CL59" s="62">
        <v>3.95</v>
      </c>
      <c r="CM59" s="62">
        <v>2.71</v>
      </c>
      <c r="CN59" s="62">
        <v>0.21</v>
      </c>
      <c r="CO59" s="62">
        <v>0.38</v>
      </c>
      <c r="CP59" s="62">
        <v>0.06</v>
      </c>
      <c r="CQ59" s="62">
        <v>1.8</v>
      </c>
      <c r="CR59" s="62">
        <v>6.9</v>
      </c>
      <c r="CS59" s="62">
        <v>0</v>
      </c>
      <c r="CT59" s="62">
        <v>3.8</v>
      </c>
      <c r="CU59" s="62">
        <v>1.37</v>
      </c>
      <c r="CV59" s="62">
        <v>1.84</v>
      </c>
      <c r="CW59" s="62">
        <v>7.65</v>
      </c>
      <c r="CX59" s="62">
        <v>10.75</v>
      </c>
      <c r="CY59" s="62">
        <v>3.2</v>
      </c>
      <c r="CZ59" s="62">
        <v>0.88</v>
      </c>
      <c r="DA59" s="62">
        <v>10.33</v>
      </c>
      <c r="DB59" s="62">
        <v>2.4500000000000002</v>
      </c>
      <c r="DC59" s="62">
        <v>1.6</v>
      </c>
      <c r="DD59" s="62">
        <v>1.95</v>
      </c>
      <c r="DE59" s="62">
        <v>6.05</v>
      </c>
      <c r="DF59" s="62">
        <v>0.74</v>
      </c>
      <c r="DG59" s="62">
        <v>0</v>
      </c>
      <c r="DH59" s="62">
        <v>5.91</v>
      </c>
      <c r="DI59" s="62">
        <v>3.1</v>
      </c>
      <c r="DJ59" s="62">
        <v>3.3</v>
      </c>
      <c r="DK59" s="62">
        <v>4.13</v>
      </c>
      <c r="DL59" s="62">
        <v>2.12</v>
      </c>
      <c r="DM59" s="62">
        <v>2.04</v>
      </c>
      <c r="DN59" s="62">
        <v>0.17</v>
      </c>
      <c r="DO59" s="62">
        <v>7.2</v>
      </c>
    </row>
    <row r="60" spans="1:120" x14ac:dyDescent="0.3">
      <c r="A60" s="64" t="s">
        <v>9102</v>
      </c>
      <c r="B60" s="62">
        <v>8.75</v>
      </c>
      <c r="C60" s="62">
        <v>0</v>
      </c>
      <c r="D60" s="62">
        <v>2.2200000000000002</v>
      </c>
      <c r="E60" s="62">
        <v>3.31</v>
      </c>
      <c r="F60" s="62">
        <v>0.08</v>
      </c>
      <c r="G60" s="62">
        <v>0</v>
      </c>
      <c r="H60" s="62">
        <v>1.1000000000000001</v>
      </c>
      <c r="I60" s="62">
        <v>1.34</v>
      </c>
      <c r="J60" s="62">
        <v>0.6</v>
      </c>
      <c r="K60" s="62">
        <v>7.1</v>
      </c>
      <c r="L60" s="62">
        <v>1.1100000000000001</v>
      </c>
      <c r="M60" s="62">
        <v>1.87</v>
      </c>
      <c r="N60" s="62">
        <v>0.65</v>
      </c>
      <c r="O60" s="62">
        <v>0.01</v>
      </c>
      <c r="P60" s="62">
        <v>0.02</v>
      </c>
      <c r="Q60" s="62">
        <v>3.58</v>
      </c>
      <c r="R60" s="62">
        <v>0.7</v>
      </c>
      <c r="S60" s="62">
        <v>0.61</v>
      </c>
      <c r="T60" s="62">
        <v>0.92</v>
      </c>
      <c r="U60" s="62">
        <v>4.6500000000000004</v>
      </c>
      <c r="V60" s="62">
        <v>8.24</v>
      </c>
      <c r="W60" s="62">
        <v>5.65</v>
      </c>
      <c r="X60" s="62">
        <v>5.55</v>
      </c>
      <c r="Y60" s="62">
        <v>0.08</v>
      </c>
      <c r="Z60" s="62">
        <v>0.01</v>
      </c>
      <c r="AA60" s="62">
        <v>11</v>
      </c>
      <c r="AB60" s="62">
        <v>20.99</v>
      </c>
      <c r="AC60" s="62">
        <v>3.5</v>
      </c>
      <c r="AD60" s="62">
        <v>0.26</v>
      </c>
      <c r="AE60" s="62">
        <v>2.2000000000000002</v>
      </c>
      <c r="AF60" s="62">
        <v>15.75</v>
      </c>
      <c r="AG60" s="62">
        <v>6.33</v>
      </c>
      <c r="AH60" s="62">
        <v>1.48</v>
      </c>
      <c r="AI60" s="62">
        <v>4.99</v>
      </c>
      <c r="AJ60" s="62">
        <v>7.61</v>
      </c>
      <c r="AK60" s="62">
        <v>0.12</v>
      </c>
      <c r="AL60" s="62">
        <v>7.0000000000000007E-2</v>
      </c>
      <c r="AM60" s="62">
        <v>2.4300000000000002</v>
      </c>
      <c r="AN60" s="62">
        <v>0.6</v>
      </c>
      <c r="AO60" s="62">
        <v>0.17</v>
      </c>
      <c r="AP60" s="62">
        <v>1.49</v>
      </c>
      <c r="AQ60" s="62">
        <v>1.44</v>
      </c>
      <c r="AR60" s="62">
        <v>6.13</v>
      </c>
      <c r="AS60" s="62">
        <v>1.74</v>
      </c>
      <c r="AT60" s="62">
        <v>0.53</v>
      </c>
      <c r="AU60" s="62">
        <v>3.41</v>
      </c>
      <c r="AV60" s="62">
        <v>1.53</v>
      </c>
      <c r="AW60" s="62">
        <v>0.4</v>
      </c>
      <c r="AX60" s="62">
        <v>1.38</v>
      </c>
      <c r="AY60" s="62">
        <v>0.73</v>
      </c>
      <c r="AZ60" s="62">
        <v>28.2</v>
      </c>
      <c r="BA60" s="62">
        <v>0.24</v>
      </c>
      <c r="BB60" s="62">
        <v>0.95</v>
      </c>
      <c r="BC60" s="62">
        <v>5.3</v>
      </c>
      <c r="BD60" s="62">
        <v>0.14000000000000001</v>
      </c>
      <c r="BE60" s="62">
        <v>3.29</v>
      </c>
      <c r="BF60" s="62">
        <v>3.25</v>
      </c>
      <c r="BG60" s="62">
        <v>6.26</v>
      </c>
      <c r="BH60" s="62">
        <v>0.81</v>
      </c>
      <c r="BI60" s="62">
        <v>3.2</v>
      </c>
      <c r="BJ60" s="62">
        <v>0.44</v>
      </c>
      <c r="BK60" s="62">
        <v>0.01</v>
      </c>
      <c r="BL60" s="62">
        <v>2.78</v>
      </c>
      <c r="BM60" s="62">
        <v>0.57999999999999996</v>
      </c>
      <c r="BN60" s="62">
        <v>0.13</v>
      </c>
      <c r="BO60" s="62">
        <v>0.65</v>
      </c>
      <c r="BP60" s="62">
        <v>1.06</v>
      </c>
      <c r="BQ60" s="62">
        <v>1.1299999999999999</v>
      </c>
      <c r="BR60" s="62">
        <v>0.33</v>
      </c>
      <c r="BS60" s="62">
        <v>0.02</v>
      </c>
      <c r="BT60" s="62">
        <v>0.65</v>
      </c>
      <c r="BU60" s="62">
        <v>0.19</v>
      </c>
      <c r="BV60" s="62">
        <v>5.09</v>
      </c>
      <c r="BW60" s="62">
        <v>1.44</v>
      </c>
      <c r="BX60" s="62">
        <v>0</v>
      </c>
      <c r="BY60" s="62">
        <v>1.77</v>
      </c>
      <c r="BZ60" s="62">
        <v>3.88</v>
      </c>
      <c r="CA60" s="62">
        <v>0.27</v>
      </c>
      <c r="CB60" s="62">
        <v>7.71</v>
      </c>
      <c r="CC60" s="62">
        <v>0.27</v>
      </c>
      <c r="CD60" s="62">
        <v>13.82</v>
      </c>
      <c r="CE60" s="62">
        <v>7.7</v>
      </c>
      <c r="CF60" s="62">
        <v>4.8099999999999996</v>
      </c>
      <c r="CG60" s="62">
        <v>3.17</v>
      </c>
      <c r="CH60" s="62">
        <v>0</v>
      </c>
      <c r="CI60" s="62">
        <v>5.55</v>
      </c>
      <c r="CJ60" s="62">
        <v>2.91</v>
      </c>
      <c r="CK60" s="62">
        <v>2.14</v>
      </c>
      <c r="CL60" s="62">
        <v>4.03</v>
      </c>
      <c r="CM60" s="62">
        <v>2.2000000000000002</v>
      </c>
      <c r="CN60" s="62">
        <v>0.22</v>
      </c>
      <c r="CO60" s="62">
        <v>0.35</v>
      </c>
      <c r="CP60" s="62">
        <v>0.05</v>
      </c>
      <c r="CQ60" s="62">
        <v>1.8</v>
      </c>
      <c r="CR60" s="62">
        <v>6.83</v>
      </c>
      <c r="CS60" s="62">
        <v>0</v>
      </c>
      <c r="CT60" s="62">
        <v>3.94</v>
      </c>
      <c r="CU60" s="62">
        <v>1.22</v>
      </c>
      <c r="CV60" s="62">
        <v>1.93</v>
      </c>
      <c r="CW60" s="62">
        <v>7.68</v>
      </c>
      <c r="CX60" s="62">
        <v>13</v>
      </c>
      <c r="CY60" s="62">
        <v>3.08</v>
      </c>
      <c r="CZ60" s="62">
        <v>0.85</v>
      </c>
      <c r="DA60" s="62">
        <v>12.8</v>
      </c>
      <c r="DB60" s="62">
        <v>2.5499999999999998</v>
      </c>
      <c r="DC60" s="62">
        <v>1.6</v>
      </c>
      <c r="DD60" s="62">
        <v>2.08</v>
      </c>
      <c r="DE60" s="62">
        <v>5.62</v>
      </c>
      <c r="DF60" s="62">
        <v>0.75</v>
      </c>
      <c r="DG60" s="62">
        <v>0</v>
      </c>
      <c r="DH60" s="62">
        <v>5.97</v>
      </c>
      <c r="DI60" s="62">
        <v>2.95</v>
      </c>
      <c r="DJ60" s="62">
        <v>3.48</v>
      </c>
      <c r="DK60" s="62">
        <v>4.0599999999999996</v>
      </c>
      <c r="DL60" s="62">
        <v>2.08</v>
      </c>
      <c r="DM60" s="62">
        <v>2.04</v>
      </c>
      <c r="DN60" s="62">
        <v>0.17</v>
      </c>
      <c r="DO60" s="62">
        <v>7.05</v>
      </c>
    </row>
    <row r="61" spans="1:120" x14ac:dyDescent="0.3">
      <c r="A61" s="64" t="s">
        <v>9103</v>
      </c>
      <c r="B61" s="62">
        <v>8.5</v>
      </c>
      <c r="C61" s="62">
        <v>0</v>
      </c>
      <c r="D61" s="62">
        <v>2.2200000000000002</v>
      </c>
      <c r="E61" s="62">
        <v>3.03</v>
      </c>
      <c r="F61" s="62">
        <v>7.0000000000000007E-2</v>
      </c>
      <c r="G61" s="62">
        <v>0</v>
      </c>
      <c r="H61" s="62">
        <v>1.1000000000000001</v>
      </c>
      <c r="I61" s="62">
        <v>1.34</v>
      </c>
      <c r="J61" s="62">
        <v>0.61</v>
      </c>
      <c r="K61" s="62">
        <v>7.3</v>
      </c>
      <c r="L61" s="62">
        <v>1.1100000000000001</v>
      </c>
      <c r="M61" s="62">
        <v>1.78</v>
      </c>
      <c r="N61" s="62">
        <v>0.64</v>
      </c>
      <c r="O61" s="62">
        <v>0.01</v>
      </c>
      <c r="P61" s="62">
        <v>0.02</v>
      </c>
      <c r="Q61" s="62">
        <v>3.59</v>
      </c>
      <c r="R61" s="62">
        <v>0.71</v>
      </c>
      <c r="S61" s="62">
        <v>0.64</v>
      </c>
      <c r="T61" s="62">
        <v>0.92</v>
      </c>
      <c r="U61" s="62">
        <v>4.8499999999999996</v>
      </c>
      <c r="V61" s="62">
        <v>8.6</v>
      </c>
      <c r="W61" s="62">
        <v>6.15</v>
      </c>
      <c r="X61" s="62">
        <v>5.88</v>
      </c>
      <c r="Y61" s="62">
        <v>0.08</v>
      </c>
      <c r="Z61" s="62">
        <v>0.01</v>
      </c>
      <c r="AA61" s="62">
        <v>10</v>
      </c>
      <c r="AB61" s="62">
        <v>22.64</v>
      </c>
      <c r="AC61" s="62">
        <v>3.34</v>
      </c>
      <c r="AD61" s="62">
        <v>0.22</v>
      </c>
      <c r="AE61" s="62">
        <v>2.2000000000000002</v>
      </c>
      <c r="AF61" s="62">
        <v>15.22</v>
      </c>
      <c r="AG61" s="62">
        <v>6.52</v>
      </c>
      <c r="AH61" s="62">
        <v>1.45</v>
      </c>
      <c r="AI61" s="62">
        <v>4.88</v>
      </c>
      <c r="AJ61" s="62">
        <v>7.8</v>
      </c>
      <c r="AK61" s="62">
        <v>0.12</v>
      </c>
      <c r="AL61" s="62">
        <v>7.0000000000000007E-2</v>
      </c>
      <c r="AM61" s="62">
        <v>2.57</v>
      </c>
      <c r="AN61" s="62">
        <v>0.55000000000000004</v>
      </c>
      <c r="AO61" s="62">
        <v>0.17</v>
      </c>
      <c r="AP61" s="62">
        <v>1.55</v>
      </c>
      <c r="AQ61" s="62">
        <v>1.45</v>
      </c>
      <c r="AR61" s="62">
        <v>5.92</v>
      </c>
      <c r="AS61" s="62">
        <v>1.71</v>
      </c>
      <c r="AT61" s="62">
        <v>0.56999999999999995</v>
      </c>
      <c r="AU61" s="62">
        <v>3.54</v>
      </c>
      <c r="AV61" s="62">
        <v>1.54</v>
      </c>
      <c r="AW61" s="62">
        <v>0.49</v>
      </c>
      <c r="AX61" s="62">
        <v>1.4</v>
      </c>
      <c r="AY61" s="62">
        <v>0.7</v>
      </c>
      <c r="AZ61" s="62">
        <v>29.85</v>
      </c>
      <c r="BA61" s="62">
        <v>0.23</v>
      </c>
      <c r="BB61" s="62">
        <v>0.95</v>
      </c>
      <c r="BC61" s="62">
        <v>5.25</v>
      </c>
      <c r="BD61" s="62">
        <v>0.22</v>
      </c>
      <c r="BE61" s="62">
        <v>3.35</v>
      </c>
      <c r="BF61" s="62">
        <v>3.24</v>
      </c>
      <c r="BG61" s="62">
        <v>6.5</v>
      </c>
      <c r="BH61" s="62">
        <v>0.84</v>
      </c>
      <c r="BI61" s="62">
        <v>3.18</v>
      </c>
      <c r="BJ61" s="62">
        <v>0.43</v>
      </c>
      <c r="BK61" s="62">
        <v>0.02</v>
      </c>
      <c r="BL61" s="62">
        <v>2.69</v>
      </c>
      <c r="BM61" s="62">
        <v>0.57999999999999996</v>
      </c>
      <c r="BN61" s="62">
        <v>0.13</v>
      </c>
      <c r="BO61" s="62">
        <v>0.67</v>
      </c>
      <c r="BP61" s="62">
        <v>1.08</v>
      </c>
      <c r="BQ61" s="62">
        <v>1.21</v>
      </c>
      <c r="BR61" s="62">
        <v>0.32</v>
      </c>
      <c r="BS61" s="62">
        <v>0.02</v>
      </c>
      <c r="BT61" s="62">
        <v>0.61</v>
      </c>
      <c r="BU61" s="62">
        <v>0.18</v>
      </c>
      <c r="BV61" s="62">
        <v>5.23</v>
      </c>
      <c r="BW61" s="62">
        <v>1.42</v>
      </c>
      <c r="BX61" s="62">
        <v>0</v>
      </c>
      <c r="BY61" s="62">
        <v>1.8</v>
      </c>
      <c r="BZ61" s="62">
        <v>4.07</v>
      </c>
      <c r="CA61" s="62">
        <v>0.28999999999999998</v>
      </c>
      <c r="CB61" s="62">
        <v>7.84</v>
      </c>
      <c r="CC61" s="62">
        <v>0.26</v>
      </c>
      <c r="CD61" s="62">
        <v>13.75</v>
      </c>
      <c r="CE61" s="62">
        <v>7.95</v>
      </c>
      <c r="CF61" s="62">
        <v>4.9000000000000004</v>
      </c>
      <c r="CG61" s="62">
        <v>3.06</v>
      </c>
      <c r="CH61" s="62">
        <v>0</v>
      </c>
      <c r="CI61" s="62">
        <v>5.55</v>
      </c>
      <c r="CJ61" s="62">
        <v>3.36</v>
      </c>
      <c r="CK61" s="62">
        <v>2.14</v>
      </c>
      <c r="CL61" s="62">
        <v>4.04</v>
      </c>
      <c r="CM61" s="62">
        <v>2.11</v>
      </c>
      <c r="CN61" s="62">
        <v>0.18</v>
      </c>
      <c r="CO61" s="62">
        <v>0.3</v>
      </c>
      <c r="CP61" s="62">
        <v>0.05</v>
      </c>
      <c r="CQ61" s="62">
        <v>1.7</v>
      </c>
      <c r="CR61" s="62">
        <v>7.02</v>
      </c>
      <c r="CS61" s="62">
        <v>0</v>
      </c>
      <c r="CT61" s="62">
        <v>3.97</v>
      </c>
      <c r="CU61" s="62">
        <v>1.31</v>
      </c>
      <c r="CV61" s="62">
        <v>1.94</v>
      </c>
      <c r="CW61" s="62">
        <v>7.76</v>
      </c>
      <c r="CX61" s="62">
        <v>10.75</v>
      </c>
      <c r="CY61" s="62">
        <v>3.05</v>
      </c>
      <c r="CZ61" s="62">
        <v>0.79</v>
      </c>
      <c r="DA61" s="62">
        <v>11.4</v>
      </c>
      <c r="DB61" s="62">
        <v>2.6</v>
      </c>
      <c r="DC61" s="62">
        <v>1.66</v>
      </c>
      <c r="DD61" s="62">
        <v>2.13</v>
      </c>
      <c r="DE61" s="62">
        <v>5.56</v>
      </c>
      <c r="DF61" s="62">
        <v>0.78</v>
      </c>
      <c r="DG61" s="62">
        <v>0</v>
      </c>
      <c r="DH61" s="62">
        <v>6.26</v>
      </c>
      <c r="DI61" s="62">
        <v>2.94</v>
      </c>
      <c r="DJ61" s="62">
        <v>3.45</v>
      </c>
      <c r="DK61" s="62">
        <v>3.9</v>
      </c>
      <c r="DL61" s="62">
        <v>2.11</v>
      </c>
      <c r="DM61" s="62">
        <v>2.06</v>
      </c>
      <c r="DN61" s="62">
        <v>0.16</v>
      </c>
      <c r="DO61" s="62">
        <v>7.24</v>
      </c>
    </row>
    <row r="62" spans="1:120" x14ac:dyDescent="0.3">
      <c r="A62" s="64" t="s">
        <v>9104</v>
      </c>
      <c r="B62" s="62">
        <v>7.3</v>
      </c>
      <c r="C62" s="62">
        <v>0</v>
      </c>
      <c r="D62" s="62">
        <v>2.2599999999999998</v>
      </c>
      <c r="E62" s="62">
        <v>2.96</v>
      </c>
      <c r="F62" s="62">
        <v>7.0000000000000007E-2</v>
      </c>
      <c r="G62" s="62">
        <v>0</v>
      </c>
      <c r="H62" s="62">
        <v>1.07</v>
      </c>
      <c r="I62" s="62">
        <v>1.31</v>
      </c>
      <c r="J62" s="62">
        <v>0.6</v>
      </c>
      <c r="K62" s="62">
        <v>7.06</v>
      </c>
      <c r="L62" s="62">
        <v>1.0900000000000001</v>
      </c>
      <c r="M62" s="62">
        <v>1.8</v>
      </c>
      <c r="N62" s="62">
        <v>0.62</v>
      </c>
      <c r="O62" s="62">
        <v>0.01</v>
      </c>
      <c r="P62" s="62">
        <v>0.02</v>
      </c>
      <c r="Q62" s="62">
        <v>3.35</v>
      </c>
      <c r="R62" s="62">
        <v>0.66</v>
      </c>
      <c r="S62" s="62">
        <v>0.57999999999999996</v>
      </c>
      <c r="T62" s="62">
        <v>0.87</v>
      </c>
      <c r="U62" s="62">
        <v>4.7300000000000004</v>
      </c>
      <c r="V62" s="62">
        <v>8</v>
      </c>
      <c r="W62" s="62">
        <v>5.9</v>
      </c>
      <c r="X62" s="62">
        <v>5.68</v>
      </c>
      <c r="Y62" s="62">
        <v>7.0000000000000007E-2</v>
      </c>
      <c r="Z62" s="62">
        <v>0.01</v>
      </c>
      <c r="AA62" s="62">
        <v>9.44</v>
      </c>
      <c r="AB62" s="62">
        <v>20.83</v>
      </c>
      <c r="AC62" s="62">
        <v>2.76</v>
      </c>
      <c r="AD62" s="62">
        <v>0.21</v>
      </c>
      <c r="AE62" s="62">
        <v>1.86</v>
      </c>
      <c r="AF62" s="62">
        <v>13.86</v>
      </c>
      <c r="AG62" s="62">
        <v>5.96</v>
      </c>
      <c r="AH62" s="62">
        <v>1.32</v>
      </c>
      <c r="AI62" s="62">
        <v>4.87</v>
      </c>
      <c r="AJ62" s="62">
        <v>7.46</v>
      </c>
      <c r="AK62" s="62">
        <v>0.11</v>
      </c>
      <c r="AL62" s="62">
        <v>0.09</v>
      </c>
      <c r="AM62" s="62">
        <v>2.38</v>
      </c>
      <c r="AN62" s="62">
        <v>0.59</v>
      </c>
      <c r="AO62" s="62">
        <v>0.14000000000000001</v>
      </c>
      <c r="AP62" s="62">
        <v>1.5</v>
      </c>
      <c r="AQ62" s="62">
        <v>1.28</v>
      </c>
      <c r="AR62" s="62">
        <v>5.7</v>
      </c>
      <c r="AS62" s="62">
        <v>1.57</v>
      </c>
      <c r="AT62" s="62">
        <v>0.62</v>
      </c>
      <c r="AU62" s="62">
        <v>3.45</v>
      </c>
      <c r="AV62" s="62">
        <v>1.51</v>
      </c>
      <c r="AW62" s="62">
        <v>0.47</v>
      </c>
      <c r="AX62" s="62">
        <v>1.31</v>
      </c>
      <c r="AY62" s="62">
        <v>0.72</v>
      </c>
      <c r="AZ62" s="62">
        <v>28.8</v>
      </c>
      <c r="BA62" s="62">
        <v>0.23</v>
      </c>
      <c r="BB62" s="62">
        <v>0.91</v>
      </c>
      <c r="BC62" s="62">
        <v>5.3</v>
      </c>
      <c r="BD62" s="62">
        <v>0.19</v>
      </c>
      <c r="BE62" s="62">
        <v>3.42</v>
      </c>
      <c r="BF62" s="62">
        <v>3.15</v>
      </c>
      <c r="BG62" s="62">
        <v>5.82</v>
      </c>
      <c r="BH62" s="62">
        <v>0.82</v>
      </c>
      <c r="BI62" s="62">
        <v>3.13</v>
      </c>
      <c r="BJ62" s="62">
        <v>0.41</v>
      </c>
      <c r="BK62" s="62">
        <v>0.02</v>
      </c>
      <c r="BL62" s="62">
        <v>2.66</v>
      </c>
      <c r="BM62" s="62">
        <v>0.63</v>
      </c>
      <c r="BN62" s="62">
        <v>0.15</v>
      </c>
      <c r="BO62" s="62">
        <v>0.67</v>
      </c>
      <c r="BP62" s="62">
        <v>1.07</v>
      </c>
      <c r="BQ62" s="62">
        <v>1.1599999999999999</v>
      </c>
      <c r="BR62" s="62">
        <v>0.4</v>
      </c>
      <c r="BS62" s="62">
        <v>0.02</v>
      </c>
      <c r="BT62" s="62">
        <v>0.56000000000000005</v>
      </c>
      <c r="BU62" s="62">
        <v>0.23</v>
      </c>
      <c r="BV62" s="62">
        <v>5.15</v>
      </c>
      <c r="BW62" s="62">
        <v>1.4</v>
      </c>
      <c r="BX62" s="62">
        <v>0</v>
      </c>
      <c r="BY62" s="62">
        <v>1.73</v>
      </c>
      <c r="BZ62" s="62">
        <v>3.6</v>
      </c>
      <c r="CA62" s="62">
        <v>0.31</v>
      </c>
      <c r="CB62" s="62">
        <v>8.5299999999999994</v>
      </c>
      <c r="CC62" s="62">
        <v>0.25</v>
      </c>
      <c r="CD62" s="62">
        <v>12.85</v>
      </c>
      <c r="CE62" s="62">
        <v>7.39</v>
      </c>
      <c r="CF62" s="62">
        <v>4.63</v>
      </c>
      <c r="CG62" s="62">
        <v>3.2</v>
      </c>
      <c r="CH62" s="62">
        <v>0</v>
      </c>
      <c r="CI62" s="62">
        <v>5.14</v>
      </c>
      <c r="CJ62" s="62">
        <v>3.25</v>
      </c>
      <c r="CK62" s="62">
        <v>2.0699999999999998</v>
      </c>
      <c r="CL62" s="62">
        <v>3.91</v>
      </c>
      <c r="CM62" s="62">
        <v>2.2599999999999998</v>
      </c>
      <c r="CN62" s="62">
        <v>0.19</v>
      </c>
      <c r="CO62" s="62">
        <v>0.3</v>
      </c>
      <c r="CP62" s="62">
        <v>0.04</v>
      </c>
      <c r="CQ62" s="62">
        <v>1.55</v>
      </c>
      <c r="CR62" s="62">
        <v>7.34</v>
      </c>
      <c r="CS62" s="62">
        <v>0</v>
      </c>
      <c r="CT62" s="62">
        <v>3.98</v>
      </c>
      <c r="CU62" s="62">
        <v>1.29</v>
      </c>
      <c r="CV62" s="62">
        <v>1.88</v>
      </c>
      <c r="CW62" s="62">
        <v>6.83</v>
      </c>
      <c r="CX62" s="62">
        <v>8.75</v>
      </c>
      <c r="CY62" s="62">
        <v>3</v>
      </c>
      <c r="CZ62" s="62">
        <v>0.78</v>
      </c>
      <c r="DA62" s="62">
        <v>10.7</v>
      </c>
      <c r="DB62" s="62">
        <v>2.36</v>
      </c>
      <c r="DC62" s="62">
        <v>1.62</v>
      </c>
      <c r="DD62" s="62">
        <v>2.1</v>
      </c>
      <c r="DE62" s="62">
        <v>4.92</v>
      </c>
      <c r="DF62" s="62">
        <v>0.76</v>
      </c>
      <c r="DG62" s="62">
        <v>0</v>
      </c>
      <c r="DH62" s="62">
        <v>6.17</v>
      </c>
      <c r="DI62" s="62">
        <v>2.79</v>
      </c>
      <c r="DJ62" s="62">
        <v>3.45</v>
      </c>
      <c r="DK62" s="62">
        <v>3.78</v>
      </c>
      <c r="DL62" s="62">
        <v>2.0699999999999998</v>
      </c>
      <c r="DM62" s="62">
        <v>2.08</v>
      </c>
      <c r="DN62" s="62">
        <v>0.18</v>
      </c>
      <c r="DO62" s="62">
        <v>5.53</v>
      </c>
    </row>
    <row r="63" spans="1:120" x14ac:dyDescent="0.3">
      <c r="A63" s="64" t="s">
        <v>9105</v>
      </c>
      <c r="B63" s="62">
        <v>7.05</v>
      </c>
      <c r="C63" s="62">
        <v>0</v>
      </c>
      <c r="D63" s="62">
        <v>2.2000000000000002</v>
      </c>
      <c r="E63" s="62">
        <v>3.1</v>
      </c>
      <c r="F63" s="62">
        <v>7.0000000000000007E-2</v>
      </c>
      <c r="G63" s="62">
        <v>0</v>
      </c>
      <c r="H63" s="62">
        <v>1.17</v>
      </c>
      <c r="I63" s="62">
        <v>1.3</v>
      </c>
      <c r="J63" s="62">
        <v>0.6</v>
      </c>
      <c r="K63" s="62">
        <v>7.18</v>
      </c>
      <c r="L63" s="62">
        <v>1.0900000000000001</v>
      </c>
      <c r="M63" s="62">
        <v>1.68</v>
      </c>
      <c r="N63" s="62">
        <v>0.62</v>
      </c>
      <c r="O63" s="62">
        <v>0.01</v>
      </c>
      <c r="P63" s="62">
        <v>0.02</v>
      </c>
      <c r="Q63" s="62">
        <v>3.48</v>
      </c>
      <c r="R63" s="62">
        <v>0.68</v>
      </c>
      <c r="S63" s="62">
        <v>0.6</v>
      </c>
      <c r="T63" s="62">
        <v>0.91</v>
      </c>
      <c r="U63" s="62">
        <v>4.76</v>
      </c>
      <c r="V63" s="62">
        <v>8.25</v>
      </c>
      <c r="W63" s="62">
        <v>5.69</v>
      </c>
      <c r="X63" s="62">
        <v>5.9</v>
      </c>
      <c r="Y63" s="62">
        <v>7.0000000000000007E-2</v>
      </c>
      <c r="Z63" s="62">
        <v>0.01</v>
      </c>
      <c r="AA63" s="62">
        <v>9.76</v>
      </c>
      <c r="AB63" s="62">
        <v>21.9</v>
      </c>
      <c r="AC63" s="62">
        <v>2.7</v>
      </c>
      <c r="AD63" s="62">
        <v>0.16</v>
      </c>
      <c r="AE63" s="62">
        <v>1.86</v>
      </c>
      <c r="AF63" s="62">
        <v>13.25</v>
      </c>
      <c r="AG63" s="62">
        <v>4.8</v>
      </c>
      <c r="AH63" s="62">
        <v>1.45</v>
      </c>
      <c r="AI63" s="62">
        <v>4.72</v>
      </c>
      <c r="AJ63" s="62">
        <v>7.16</v>
      </c>
      <c r="AK63" s="62">
        <v>0.11</v>
      </c>
      <c r="AL63" s="62">
        <v>0.09</v>
      </c>
      <c r="AM63" s="62">
        <v>2.5099999999999998</v>
      </c>
      <c r="AN63" s="62">
        <v>0.56999999999999995</v>
      </c>
      <c r="AO63" s="62">
        <v>0.15</v>
      </c>
      <c r="AP63" s="62">
        <v>1.56</v>
      </c>
      <c r="AQ63" s="62">
        <v>1.3</v>
      </c>
      <c r="AR63" s="62">
        <v>5.45</v>
      </c>
      <c r="AS63" s="62">
        <v>1.52</v>
      </c>
      <c r="AT63" s="62">
        <v>0.67</v>
      </c>
      <c r="AU63" s="62">
        <v>3.64</v>
      </c>
      <c r="AV63" s="62">
        <v>1.5</v>
      </c>
      <c r="AW63" s="62">
        <v>0.4</v>
      </c>
      <c r="AX63" s="62">
        <v>1.36</v>
      </c>
      <c r="AY63" s="62">
        <v>0.72</v>
      </c>
      <c r="AZ63" s="62">
        <v>30.6</v>
      </c>
      <c r="BA63" s="62">
        <v>0.23</v>
      </c>
      <c r="BB63" s="62">
        <v>0.89</v>
      </c>
      <c r="BC63" s="62">
        <v>5.2</v>
      </c>
      <c r="BD63" s="62">
        <v>0.2</v>
      </c>
      <c r="BE63" s="62">
        <v>3.5</v>
      </c>
      <c r="BF63" s="62">
        <v>3.3</v>
      </c>
      <c r="BG63" s="62">
        <v>5.49</v>
      </c>
      <c r="BH63" s="62">
        <v>0.52</v>
      </c>
      <c r="BI63" s="62">
        <v>3.04</v>
      </c>
      <c r="BJ63" s="62">
        <v>0.44</v>
      </c>
      <c r="BK63" s="62">
        <v>0.01</v>
      </c>
      <c r="BL63" s="62">
        <v>2.4500000000000002</v>
      </c>
      <c r="BM63" s="62">
        <v>0.53</v>
      </c>
      <c r="BN63" s="62">
        <v>0.15</v>
      </c>
      <c r="BO63" s="62">
        <v>0.5</v>
      </c>
      <c r="BP63" s="62">
        <v>1.03</v>
      </c>
      <c r="BQ63" s="62">
        <v>1.1499999999999999</v>
      </c>
      <c r="BR63" s="62">
        <v>0.36</v>
      </c>
      <c r="BS63" s="62">
        <v>0.02</v>
      </c>
      <c r="BT63" s="62">
        <v>0.55000000000000004</v>
      </c>
      <c r="BU63" s="62">
        <v>0.23</v>
      </c>
      <c r="BV63" s="62">
        <v>5.07</v>
      </c>
      <c r="BW63" s="62">
        <v>1.44</v>
      </c>
      <c r="BX63" s="62">
        <v>0</v>
      </c>
      <c r="BY63" s="62">
        <v>1.72</v>
      </c>
      <c r="BZ63" s="62">
        <v>3.32</v>
      </c>
      <c r="CA63" s="62">
        <v>0.28000000000000003</v>
      </c>
      <c r="CB63" s="62">
        <v>8.5</v>
      </c>
      <c r="CC63" s="62">
        <v>0.23</v>
      </c>
      <c r="CD63" s="62">
        <v>11.76</v>
      </c>
      <c r="CE63" s="62">
        <v>6.7</v>
      </c>
      <c r="CF63" s="62">
        <v>4.47</v>
      </c>
      <c r="CG63" s="62">
        <v>3</v>
      </c>
      <c r="CH63" s="62">
        <v>0</v>
      </c>
      <c r="CI63" s="62">
        <v>4.5999999999999996</v>
      </c>
      <c r="CJ63" s="62">
        <v>3.04</v>
      </c>
      <c r="CK63" s="62">
        <v>2.06</v>
      </c>
      <c r="CL63" s="62">
        <v>3.62</v>
      </c>
      <c r="CM63" s="62">
        <v>2.2999999999999998</v>
      </c>
      <c r="CN63" s="62">
        <v>0.2</v>
      </c>
      <c r="CO63" s="62">
        <v>0.28999999999999998</v>
      </c>
      <c r="CP63" s="62">
        <v>0.05</v>
      </c>
      <c r="CQ63" s="62">
        <v>1.6</v>
      </c>
      <c r="CR63" s="62">
        <v>6.98</v>
      </c>
      <c r="CS63" s="62">
        <v>0</v>
      </c>
      <c r="CT63" s="62">
        <v>4.2699999999999996</v>
      </c>
      <c r="CU63" s="62">
        <v>1.25</v>
      </c>
      <c r="CV63" s="62">
        <v>1.86</v>
      </c>
      <c r="CW63" s="62">
        <v>6.5</v>
      </c>
      <c r="CX63" s="62">
        <v>9.2899999999999991</v>
      </c>
      <c r="CY63" s="62">
        <v>3.05</v>
      </c>
      <c r="CZ63" s="62">
        <v>0.72</v>
      </c>
      <c r="DA63" s="62">
        <v>10.91</v>
      </c>
      <c r="DB63" s="62">
        <v>2.35</v>
      </c>
      <c r="DC63" s="62">
        <v>1.62</v>
      </c>
      <c r="DD63" s="62">
        <v>2.11</v>
      </c>
      <c r="DE63" s="62">
        <v>5</v>
      </c>
      <c r="DF63" s="62">
        <v>0.76</v>
      </c>
      <c r="DG63" s="62">
        <v>0</v>
      </c>
      <c r="DH63" s="62">
        <v>6.08</v>
      </c>
      <c r="DI63" s="62">
        <v>2.54</v>
      </c>
      <c r="DJ63" s="62">
        <v>3.31</v>
      </c>
      <c r="DK63" s="62">
        <v>3.65</v>
      </c>
      <c r="DL63" s="62">
        <v>2.12</v>
      </c>
      <c r="DM63" s="62">
        <v>2.08</v>
      </c>
      <c r="DN63" s="62">
        <v>0.18</v>
      </c>
      <c r="DO63" s="62">
        <v>5.72</v>
      </c>
    </row>
    <row r="64" spans="1:120" x14ac:dyDescent="0.3">
      <c r="A64" s="64"/>
      <c r="BS64" s="62">
        <v>0.51</v>
      </c>
      <c r="BT64" s="62">
        <v>0.02</v>
      </c>
      <c r="BU64" s="62">
        <v>0.54</v>
      </c>
      <c r="BV64" s="62">
        <v>0.26</v>
      </c>
      <c r="BW64" s="62">
        <v>4.37</v>
      </c>
      <c r="BX64" s="62">
        <v>1.19</v>
      </c>
      <c r="BY64" s="62">
        <v>0.02</v>
      </c>
      <c r="BZ64" s="62">
        <v>1.58</v>
      </c>
      <c r="CA64" s="62">
        <v>1.89</v>
      </c>
      <c r="CB64" s="62">
        <v>0.2</v>
      </c>
      <c r="CC64" s="62">
        <v>5.26</v>
      </c>
      <c r="CD64" s="62">
        <v>0.23</v>
      </c>
      <c r="CE64" s="62">
        <v>8.92</v>
      </c>
      <c r="CF64" s="62">
        <v>7.5</v>
      </c>
      <c r="CG64" s="62">
        <v>3.45</v>
      </c>
      <c r="CH64" s="62">
        <v>2.36</v>
      </c>
      <c r="CI64" s="62">
        <v>0.01</v>
      </c>
      <c r="CJ64" s="62">
        <v>4.45</v>
      </c>
      <c r="CK64" s="62">
        <v>0.28000000000000003</v>
      </c>
      <c r="CL64" s="62">
        <v>1.53</v>
      </c>
      <c r="CM64" s="62">
        <v>4.0599999999999996</v>
      </c>
      <c r="CN64" s="62">
        <v>3.8</v>
      </c>
      <c r="CO64" s="62">
        <v>0.2</v>
      </c>
      <c r="CP64" s="62">
        <v>0.69</v>
      </c>
      <c r="CQ64" s="62">
        <v>0.36</v>
      </c>
      <c r="CR64" s="62">
        <v>2.4</v>
      </c>
      <c r="CS64" s="62">
        <v>5.8</v>
      </c>
      <c r="CT64" s="62">
        <v>0.05</v>
      </c>
      <c r="CU64" s="62">
        <v>3.56</v>
      </c>
      <c r="CV64" s="62">
        <v>2.2599999999999998</v>
      </c>
      <c r="CW64" s="62">
        <v>1.82</v>
      </c>
      <c r="CX64" s="62">
        <v>5.3</v>
      </c>
      <c r="CY64" s="62">
        <v>3.15</v>
      </c>
      <c r="CZ64" s="62">
        <v>3.5</v>
      </c>
      <c r="DA64" s="62">
        <v>0.74</v>
      </c>
      <c r="DB64" s="62">
        <v>2.34</v>
      </c>
      <c r="DC64" s="62">
        <v>2.67</v>
      </c>
      <c r="DD64" s="62">
        <v>2.0299999999999998</v>
      </c>
      <c r="DE64" s="62">
        <v>1.96</v>
      </c>
      <c r="DF64" s="62">
        <v>3.9</v>
      </c>
      <c r="DG64" s="62">
        <v>1.06</v>
      </c>
      <c r="DH64" s="62">
        <v>0</v>
      </c>
      <c r="DI64" s="62">
        <v>4.5999999999999996</v>
      </c>
      <c r="DJ64" s="62">
        <v>3.8</v>
      </c>
      <c r="DK64" s="62">
        <v>3.27</v>
      </c>
      <c r="DL64" s="62">
        <v>2.73</v>
      </c>
      <c r="DM64" s="62">
        <v>2.0699999999999998</v>
      </c>
      <c r="DN64" s="62">
        <v>2.62</v>
      </c>
      <c r="DO64" s="62">
        <v>0.24</v>
      </c>
      <c r="DP64" s="62">
        <v>7.27</v>
      </c>
    </row>
    <row r="65" spans="1:120" x14ac:dyDescent="0.3">
      <c r="A65" s="64" t="s">
        <v>9354</v>
      </c>
      <c r="B65" s="62">
        <v>119</v>
      </c>
      <c r="BS65" s="62">
        <v>0.57999999999999996</v>
      </c>
      <c r="BT65" s="62">
        <v>0.02</v>
      </c>
      <c r="BU65" s="62">
        <v>0.54</v>
      </c>
      <c r="BV65" s="62">
        <v>0.24</v>
      </c>
      <c r="BW65" s="62">
        <v>4.13</v>
      </c>
      <c r="BX65" s="62">
        <v>1.2</v>
      </c>
      <c r="BY65" s="62">
        <v>0.01</v>
      </c>
      <c r="BZ65" s="62">
        <v>1.6</v>
      </c>
      <c r="CA65" s="62">
        <v>1.8</v>
      </c>
      <c r="CB65" s="62">
        <v>0.2</v>
      </c>
      <c r="CC65" s="62">
        <v>5.42</v>
      </c>
      <c r="CD65" s="62">
        <v>0.24</v>
      </c>
      <c r="CE65" s="62">
        <v>8.51</v>
      </c>
      <c r="CF65" s="62">
        <v>7.32</v>
      </c>
      <c r="CG65" s="62">
        <v>3.43</v>
      </c>
      <c r="CH65" s="62">
        <v>2.75</v>
      </c>
      <c r="CI65" s="62">
        <v>0.01</v>
      </c>
      <c r="CJ65" s="62">
        <v>4.87</v>
      </c>
      <c r="CK65" s="62">
        <v>0.28999999999999998</v>
      </c>
      <c r="CL65" s="62">
        <v>1.49</v>
      </c>
      <c r="CM65" s="62">
        <v>4.1500000000000004</v>
      </c>
      <c r="CN65" s="62">
        <v>3.88</v>
      </c>
      <c r="CO65" s="62">
        <v>0.21</v>
      </c>
      <c r="CP65" s="62">
        <v>0.69</v>
      </c>
      <c r="CQ65" s="62">
        <v>0.27</v>
      </c>
      <c r="CR65" s="62">
        <v>2.4500000000000002</v>
      </c>
      <c r="CS65" s="62">
        <v>5.2</v>
      </c>
      <c r="CT65" s="62">
        <v>0.05</v>
      </c>
      <c r="CU65" s="62">
        <v>3.61</v>
      </c>
      <c r="CV65" s="62">
        <v>2.17</v>
      </c>
      <c r="CW65" s="62">
        <v>1.72</v>
      </c>
      <c r="CX65" s="62">
        <v>5.18</v>
      </c>
      <c r="CY65" s="62">
        <v>3.47</v>
      </c>
      <c r="CZ65" s="62">
        <v>3.45</v>
      </c>
      <c r="DA65" s="62">
        <v>0.92</v>
      </c>
      <c r="DB65" s="62">
        <v>3.04</v>
      </c>
      <c r="DC65" s="62">
        <v>2.37</v>
      </c>
      <c r="DD65" s="62">
        <v>4.58</v>
      </c>
      <c r="DE65" s="62">
        <v>1.95</v>
      </c>
      <c r="DF65" s="62">
        <v>3.7</v>
      </c>
      <c r="DG65" s="62">
        <v>1.01</v>
      </c>
      <c r="DH65" s="62">
        <v>0</v>
      </c>
      <c r="DI65" s="62">
        <v>4.55</v>
      </c>
      <c r="DJ65" s="62">
        <v>3.6</v>
      </c>
      <c r="DK65" s="62">
        <v>3.15</v>
      </c>
      <c r="DL65" s="62">
        <v>2.97</v>
      </c>
      <c r="DM65" s="62">
        <v>2.06</v>
      </c>
      <c r="DN65" s="62">
        <v>2.2999999999999998</v>
      </c>
      <c r="DO65" s="62">
        <v>0.26</v>
      </c>
      <c r="DP65" s="62">
        <v>7.12</v>
      </c>
    </row>
    <row r="66" spans="1:120" x14ac:dyDescent="0.3">
      <c r="A66" s="64" t="s">
        <v>9355</v>
      </c>
      <c r="B66" s="62">
        <v>61</v>
      </c>
      <c r="BS66" s="62">
        <v>0.59</v>
      </c>
      <c r="BT66" s="62">
        <v>0.02</v>
      </c>
      <c r="BU66" s="62">
        <v>0.56000000000000005</v>
      </c>
      <c r="BV66" s="62">
        <v>0.21</v>
      </c>
      <c r="BW66" s="62">
        <v>4.0599999999999996</v>
      </c>
      <c r="BX66" s="62">
        <v>1.22</v>
      </c>
      <c r="BY66" s="62">
        <v>0.02</v>
      </c>
      <c r="BZ66" s="62">
        <v>1.62</v>
      </c>
      <c r="CA66" s="62">
        <v>1.72</v>
      </c>
      <c r="CB66" s="62">
        <v>0.19</v>
      </c>
      <c r="CC66" s="62">
        <v>5.36</v>
      </c>
      <c r="CD66" s="62">
        <v>0.23</v>
      </c>
      <c r="CE66" s="62">
        <v>8.6999999999999993</v>
      </c>
      <c r="CF66" s="62">
        <v>7.27</v>
      </c>
      <c r="CG66" s="62">
        <v>3.35</v>
      </c>
      <c r="CH66" s="62">
        <v>3</v>
      </c>
      <c r="CI66" s="62">
        <v>0.01</v>
      </c>
      <c r="CJ66" s="62">
        <v>4.55</v>
      </c>
      <c r="CK66" s="62">
        <v>0.34</v>
      </c>
      <c r="CL66" s="62">
        <v>1.53</v>
      </c>
      <c r="CM66" s="62">
        <v>4.3600000000000003</v>
      </c>
      <c r="CN66" s="62">
        <v>3.78</v>
      </c>
      <c r="CO66" s="62">
        <v>0.19</v>
      </c>
      <c r="CP66" s="62">
        <v>0.71</v>
      </c>
      <c r="CQ66" s="62">
        <v>0.09</v>
      </c>
      <c r="CR66" s="62">
        <v>2.2799999999999998</v>
      </c>
      <c r="CS66" s="62">
        <v>5.45</v>
      </c>
      <c r="CT66" s="62">
        <v>0.05</v>
      </c>
      <c r="CU66" s="62">
        <v>3.69</v>
      </c>
      <c r="CV66" s="62">
        <v>2.23</v>
      </c>
      <c r="CW66" s="62">
        <v>1.75</v>
      </c>
      <c r="CX66" s="62">
        <v>5.19</v>
      </c>
      <c r="CY66" s="62">
        <v>3.8</v>
      </c>
      <c r="CZ66" s="62">
        <v>3.8</v>
      </c>
      <c r="DA66" s="62">
        <v>0.66</v>
      </c>
      <c r="DB66" s="62">
        <v>3.43</v>
      </c>
      <c r="DC66" s="62">
        <v>2.3199999999999998</v>
      </c>
      <c r="DD66" s="62">
        <v>3.05</v>
      </c>
      <c r="DE66" s="62">
        <v>1.98</v>
      </c>
      <c r="DF66" s="62">
        <v>3.75</v>
      </c>
      <c r="DG66" s="62">
        <v>0.98</v>
      </c>
      <c r="DH66" s="62">
        <v>0</v>
      </c>
      <c r="DI66" s="62">
        <v>4.82</v>
      </c>
      <c r="DJ66" s="62">
        <v>3.58</v>
      </c>
      <c r="DK66" s="62">
        <v>3.26</v>
      </c>
      <c r="DL66" s="62">
        <v>2.95</v>
      </c>
      <c r="DM66" s="62">
        <v>2.2200000000000002</v>
      </c>
      <c r="DN66" s="62">
        <v>2.14</v>
      </c>
      <c r="DO66" s="62">
        <v>0.28999999999999998</v>
      </c>
      <c r="DP66" s="62">
        <v>7.4</v>
      </c>
    </row>
    <row r="67" spans="1:120" x14ac:dyDescent="0.3">
      <c r="A67" s="64"/>
      <c r="BR67" s="62">
        <v>0.83</v>
      </c>
      <c r="BS67" s="62">
        <v>0.47</v>
      </c>
      <c r="BT67" s="62">
        <v>0.01</v>
      </c>
      <c r="BU67" s="62">
        <v>0.6</v>
      </c>
      <c r="BV67" s="62">
        <v>0.1</v>
      </c>
      <c r="BW67" s="62">
        <v>4.46</v>
      </c>
      <c r="BX67" s="62">
        <v>1.2</v>
      </c>
      <c r="BY67" s="62">
        <v>0.02</v>
      </c>
      <c r="BZ67" s="62">
        <v>1.62</v>
      </c>
      <c r="CA67" s="62">
        <v>1.63</v>
      </c>
      <c r="CB67" s="62">
        <v>0.19</v>
      </c>
      <c r="CC67" s="62">
        <v>5.95</v>
      </c>
      <c r="CD67" s="62">
        <v>0.23</v>
      </c>
      <c r="CE67" s="62">
        <v>8.4</v>
      </c>
      <c r="CF67" s="62">
        <v>7.15</v>
      </c>
      <c r="CG67" s="62">
        <v>3.33</v>
      </c>
      <c r="CH67" s="62">
        <v>2.7</v>
      </c>
      <c r="CI67" s="62">
        <v>0.01</v>
      </c>
      <c r="CJ67" s="62">
        <v>4.63</v>
      </c>
      <c r="CK67" s="62">
        <v>0.46</v>
      </c>
      <c r="CL67" s="62">
        <v>1.58</v>
      </c>
      <c r="CM67" s="62">
        <v>4.45</v>
      </c>
      <c r="CN67" s="62">
        <v>3.68</v>
      </c>
      <c r="CO67" s="62">
        <v>0.19</v>
      </c>
      <c r="CP67" s="62">
        <v>0.72</v>
      </c>
      <c r="CQ67" s="62">
        <v>0.12</v>
      </c>
      <c r="CR67" s="62">
        <v>2.2000000000000002</v>
      </c>
      <c r="CS67" s="62">
        <v>5.7</v>
      </c>
      <c r="CT67" s="62">
        <v>7.0000000000000007E-2</v>
      </c>
      <c r="CU67" s="62">
        <v>3.83</v>
      </c>
      <c r="CV67" s="62">
        <v>2.29</v>
      </c>
      <c r="CW67" s="62">
        <v>1.73</v>
      </c>
      <c r="CX67" s="62">
        <v>4.83</v>
      </c>
      <c r="CY67" s="62">
        <v>3.99</v>
      </c>
      <c r="CZ67" s="62">
        <v>3.65</v>
      </c>
      <c r="DA67" s="62">
        <v>0.74</v>
      </c>
      <c r="DB67" s="62">
        <v>3.38</v>
      </c>
      <c r="DC67" s="62">
        <v>2.5299999999999998</v>
      </c>
      <c r="DD67" s="62">
        <v>4.07</v>
      </c>
      <c r="DE67" s="62">
        <v>1.92</v>
      </c>
      <c r="DF67" s="62">
        <v>3.87</v>
      </c>
      <c r="DG67" s="62">
        <v>0.89</v>
      </c>
      <c r="DH67" s="62">
        <v>0</v>
      </c>
      <c r="DI67" s="62">
        <v>5.15</v>
      </c>
      <c r="DJ67" s="62">
        <v>3.74</v>
      </c>
      <c r="DK67" s="62">
        <v>3.27</v>
      </c>
      <c r="DL67" s="62">
        <v>3.06</v>
      </c>
      <c r="DM67" s="62">
        <v>2.27</v>
      </c>
      <c r="DN67" s="62">
        <v>2.0499999999999998</v>
      </c>
      <c r="DO67" s="62">
        <v>0.25</v>
      </c>
      <c r="DP67" s="62">
        <v>7.57</v>
      </c>
    </row>
    <row r="68" spans="1:120" x14ac:dyDescent="0.3">
      <c r="A68" s="64"/>
      <c r="BR68" s="62">
        <v>0.85</v>
      </c>
      <c r="BS68" s="62">
        <v>0.51</v>
      </c>
      <c r="BT68" s="62">
        <v>0.01</v>
      </c>
      <c r="BU68" s="62">
        <v>0.57999999999999996</v>
      </c>
      <c r="BV68" s="62">
        <v>0.1</v>
      </c>
      <c r="BW68" s="62">
        <v>4.46</v>
      </c>
      <c r="BX68" s="62">
        <v>1.23</v>
      </c>
      <c r="BY68" s="62">
        <v>0.01</v>
      </c>
      <c r="BZ68" s="62">
        <v>1.63</v>
      </c>
      <c r="CA68" s="62">
        <v>1.69</v>
      </c>
      <c r="CB68" s="62">
        <v>0.18</v>
      </c>
      <c r="CC68" s="62">
        <v>6.23</v>
      </c>
      <c r="CD68" s="62">
        <v>0.23</v>
      </c>
      <c r="CE68" s="62">
        <v>8.2899999999999991</v>
      </c>
      <c r="CF68" s="62">
        <v>6.95</v>
      </c>
      <c r="CG68" s="62">
        <v>3.34</v>
      </c>
      <c r="CH68" s="62">
        <v>3.08</v>
      </c>
      <c r="CI68" s="62">
        <v>0.01</v>
      </c>
      <c r="CJ68" s="62">
        <v>4.6399999999999997</v>
      </c>
      <c r="CK68" s="62">
        <v>0.5</v>
      </c>
      <c r="CL68" s="62">
        <v>1.7</v>
      </c>
      <c r="CM68" s="62">
        <v>4.05</v>
      </c>
      <c r="CN68" s="62">
        <v>3.48</v>
      </c>
      <c r="CO68" s="62">
        <v>0.19</v>
      </c>
      <c r="CP68" s="62">
        <v>0.7</v>
      </c>
      <c r="CQ68" s="62">
        <v>0.12</v>
      </c>
      <c r="CR68" s="62">
        <v>2.36</v>
      </c>
      <c r="CS68" s="62">
        <v>5.93</v>
      </c>
      <c r="CT68" s="62">
        <v>7.0000000000000007E-2</v>
      </c>
      <c r="CU68" s="62">
        <v>3.78</v>
      </c>
      <c r="CV68" s="62">
        <v>2.3199999999999998</v>
      </c>
      <c r="CW68" s="62">
        <v>1.73</v>
      </c>
      <c r="CX68" s="62">
        <v>4.75</v>
      </c>
      <c r="CY68" s="62">
        <v>4.25</v>
      </c>
      <c r="CZ68" s="62">
        <v>3.6</v>
      </c>
      <c r="DA68" s="62">
        <v>0.68</v>
      </c>
      <c r="DB68" s="62">
        <v>3.98</v>
      </c>
      <c r="DC68" s="62">
        <v>2.4500000000000002</v>
      </c>
      <c r="DD68" s="62">
        <v>4.83</v>
      </c>
      <c r="DE68" s="62">
        <v>1.86</v>
      </c>
      <c r="DF68" s="62">
        <v>4.2</v>
      </c>
      <c r="DG68" s="62">
        <v>1.04</v>
      </c>
      <c r="DH68" s="62">
        <v>0</v>
      </c>
      <c r="DI68" s="62">
        <v>5.43</v>
      </c>
      <c r="DJ68" s="62">
        <v>3.6</v>
      </c>
      <c r="DK68" s="62">
        <v>3.34</v>
      </c>
      <c r="DL68" s="62">
        <v>2.9</v>
      </c>
      <c r="DM68" s="62">
        <v>2.2400000000000002</v>
      </c>
      <c r="DN68" s="62">
        <v>2.0499999999999998</v>
      </c>
      <c r="DO68" s="62">
        <v>0.25</v>
      </c>
      <c r="DP68" s="62">
        <v>7.89</v>
      </c>
    </row>
    <row r="69" spans="1:120" x14ac:dyDescent="0.3">
      <c r="A69" s="64"/>
      <c r="BR69" s="62">
        <v>0.98</v>
      </c>
      <c r="BS69" s="62">
        <v>0.45</v>
      </c>
      <c r="BT69" s="62">
        <v>0</v>
      </c>
      <c r="BU69" s="62">
        <v>0.59</v>
      </c>
      <c r="BV69" s="62">
        <v>0.12</v>
      </c>
      <c r="BW69" s="62">
        <v>4.6399999999999997</v>
      </c>
      <c r="BX69" s="62">
        <v>1.25</v>
      </c>
      <c r="BY69" s="62">
        <v>0.01</v>
      </c>
      <c r="BZ69" s="62">
        <v>1.62</v>
      </c>
      <c r="CA69" s="62">
        <v>2.12</v>
      </c>
      <c r="CB69" s="62">
        <v>0.18</v>
      </c>
      <c r="CC69" s="62">
        <v>6.39</v>
      </c>
      <c r="CD69" s="62">
        <v>0.22</v>
      </c>
      <c r="CE69" s="62">
        <v>8.8800000000000008</v>
      </c>
      <c r="CF69" s="62">
        <v>7.25</v>
      </c>
      <c r="CG69" s="62">
        <v>3.4</v>
      </c>
      <c r="CH69" s="62">
        <v>3.4</v>
      </c>
      <c r="CI69" s="62">
        <v>0.01</v>
      </c>
      <c r="CJ69" s="62">
        <v>4.57</v>
      </c>
      <c r="CK69" s="62">
        <v>0.65</v>
      </c>
      <c r="CL69" s="62">
        <v>1.68</v>
      </c>
      <c r="CM69" s="62">
        <v>4.07</v>
      </c>
      <c r="CN69" s="62">
        <v>3.38</v>
      </c>
      <c r="CO69" s="62">
        <v>0.17</v>
      </c>
      <c r="CP69" s="62">
        <v>0.71</v>
      </c>
      <c r="CQ69" s="62">
        <v>0.11</v>
      </c>
      <c r="CR69" s="62">
        <v>2.38</v>
      </c>
      <c r="CS69" s="62">
        <v>5.74</v>
      </c>
      <c r="CT69" s="62">
        <v>7.0000000000000007E-2</v>
      </c>
      <c r="CU69" s="62">
        <v>3.86</v>
      </c>
      <c r="CV69" s="62">
        <v>1.99</v>
      </c>
      <c r="CW69" s="62">
        <v>1.65</v>
      </c>
      <c r="CX69" s="62">
        <v>4.8499999999999996</v>
      </c>
      <c r="CY69" s="62">
        <v>4.4400000000000004</v>
      </c>
      <c r="CZ69" s="62">
        <v>3.38</v>
      </c>
      <c r="DA69" s="62">
        <v>0.68</v>
      </c>
      <c r="DB69" s="62">
        <v>4.4400000000000004</v>
      </c>
      <c r="DC69" s="62">
        <v>2.4700000000000002</v>
      </c>
      <c r="DD69" s="62">
        <v>2.54</v>
      </c>
      <c r="DE69" s="62">
        <v>1.99</v>
      </c>
      <c r="DF69" s="62">
        <v>4.28</v>
      </c>
      <c r="DG69" s="62">
        <v>0.76</v>
      </c>
      <c r="DH69" s="62">
        <v>0</v>
      </c>
      <c r="DI69" s="62">
        <v>5.8</v>
      </c>
      <c r="DJ69" s="62">
        <v>3.55</v>
      </c>
      <c r="DK69" s="62">
        <v>3.37</v>
      </c>
      <c r="DL69" s="62">
        <v>3</v>
      </c>
      <c r="DM69" s="62">
        <v>2.25</v>
      </c>
      <c r="DN69" s="62">
        <v>2.13</v>
      </c>
      <c r="DO69" s="62">
        <v>0.24</v>
      </c>
      <c r="DP69" s="62">
        <v>7.74</v>
      </c>
    </row>
    <row r="70" spans="1:120" x14ac:dyDescent="0.3">
      <c r="A70" s="64"/>
      <c r="BR70" s="62">
        <v>1.04</v>
      </c>
      <c r="BS70" s="62">
        <v>0.48</v>
      </c>
      <c r="BT70" s="62">
        <v>0</v>
      </c>
      <c r="BU70" s="62">
        <v>0.62</v>
      </c>
      <c r="BV70" s="62">
        <v>0.12</v>
      </c>
      <c r="BW70" s="62">
        <v>4.41</v>
      </c>
      <c r="BX70" s="62">
        <v>1.28</v>
      </c>
      <c r="BY70" s="62">
        <v>0.01</v>
      </c>
      <c r="BZ70" s="62">
        <v>1.64</v>
      </c>
      <c r="CA70" s="62">
        <v>1.97</v>
      </c>
      <c r="CB70" s="62">
        <v>0.24</v>
      </c>
      <c r="CC70" s="62">
        <v>6.47</v>
      </c>
      <c r="CD70" s="62">
        <v>0.21</v>
      </c>
      <c r="CE70" s="62">
        <v>9.25</v>
      </c>
      <c r="CF70" s="62">
        <v>7.36</v>
      </c>
      <c r="CG70" s="62">
        <v>3.39</v>
      </c>
      <c r="CH70" s="62">
        <v>3.16</v>
      </c>
      <c r="CI70" s="62">
        <v>0.01</v>
      </c>
      <c r="CJ70" s="62">
        <v>4.78</v>
      </c>
      <c r="CK70" s="62">
        <v>0.7</v>
      </c>
      <c r="CL70" s="62">
        <v>1.7</v>
      </c>
      <c r="CM70" s="62">
        <v>3.78</v>
      </c>
      <c r="CN70" s="62">
        <v>2.8</v>
      </c>
      <c r="CO70" s="62">
        <v>0.23</v>
      </c>
      <c r="CP70" s="62">
        <v>0.67</v>
      </c>
      <c r="CQ70" s="62">
        <v>0.11</v>
      </c>
      <c r="CR70" s="62">
        <v>2.33</v>
      </c>
      <c r="CS70" s="62">
        <v>6.02</v>
      </c>
      <c r="CT70" s="62">
        <v>0.05</v>
      </c>
      <c r="CU70" s="62">
        <v>3.85</v>
      </c>
      <c r="CV70" s="62">
        <v>1.99</v>
      </c>
      <c r="CW70" s="62">
        <v>1.67</v>
      </c>
      <c r="CX70" s="62">
        <v>5.12</v>
      </c>
      <c r="CY70" s="62">
        <v>4.84</v>
      </c>
      <c r="CZ70" s="62">
        <v>3.65</v>
      </c>
      <c r="DA70" s="62">
        <v>0.69</v>
      </c>
      <c r="DB70" s="62">
        <v>5.71</v>
      </c>
      <c r="DC70" s="62">
        <v>2.54</v>
      </c>
      <c r="DD70" s="62">
        <v>2.54</v>
      </c>
      <c r="DE70" s="62">
        <v>1.86</v>
      </c>
      <c r="DF70" s="62">
        <v>4.57</v>
      </c>
      <c r="DG70" s="62">
        <v>0.71</v>
      </c>
      <c r="DH70" s="62">
        <v>0</v>
      </c>
      <c r="DI70" s="62">
        <v>5.42</v>
      </c>
      <c r="DJ70" s="62">
        <v>3.47</v>
      </c>
      <c r="DK70" s="62">
        <v>3.25</v>
      </c>
      <c r="DL70" s="62">
        <v>2.66</v>
      </c>
      <c r="DM70" s="62">
        <v>2.25</v>
      </c>
      <c r="DN70" s="62">
        <v>2.12</v>
      </c>
      <c r="DO70" s="62">
        <v>0.19</v>
      </c>
      <c r="DP70" s="62">
        <v>7.72</v>
      </c>
    </row>
    <row r="71" spans="1:120" x14ac:dyDescent="0.3">
      <c r="A71" s="64"/>
      <c r="BR71" s="62">
        <v>0.95</v>
      </c>
      <c r="BS71" s="62">
        <v>0.46</v>
      </c>
      <c r="BT71" s="62">
        <v>0</v>
      </c>
      <c r="BU71" s="62">
        <v>0.59</v>
      </c>
      <c r="BV71" s="62">
        <v>0.13</v>
      </c>
      <c r="BW71" s="62">
        <v>4.3600000000000003</v>
      </c>
      <c r="BX71" s="62">
        <v>1.27</v>
      </c>
      <c r="BY71" s="62">
        <v>0.01</v>
      </c>
      <c r="BZ71" s="62">
        <v>1.67</v>
      </c>
      <c r="CA71" s="62">
        <v>2.4700000000000002</v>
      </c>
      <c r="CB71" s="62">
        <v>0.23</v>
      </c>
      <c r="CC71" s="62">
        <v>6.8</v>
      </c>
      <c r="CD71" s="62">
        <v>0.19</v>
      </c>
      <c r="CE71" s="62">
        <v>9.2799999999999994</v>
      </c>
      <c r="CF71" s="62">
        <v>7.9</v>
      </c>
      <c r="CG71" s="62">
        <v>3.7</v>
      </c>
      <c r="CH71" s="62">
        <v>3.1</v>
      </c>
      <c r="CI71" s="62">
        <v>0.01</v>
      </c>
      <c r="CJ71" s="62">
        <v>4.68</v>
      </c>
      <c r="CK71" s="62">
        <v>0.64</v>
      </c>
      <c r="CL71" s="62">
        <v>1.69</v>
      </c>
      <c r="CM71" s="62">
        <v>3.76</v>
      </c>
      <c r="CN71" s="62">
        <v>2.76</v>
      </c>
      <c r="CO71" s="62">
        <v>0.23</v>
      </c>
      <c r="CP71" s="62">
        <v>0.64</v>
      </c>
      <c r="CQ71" s="62">
        <v>0.08</v>
      </c>
      <c r="CR71" s="62">
        <v>2</v>
      </c>
      <c r="CS71" s="62">
        <v>5.9</v>
      </c>
      <c r="CT71" s="62">
        <v>0.05</v>
      </c>
      <c r="CU71" s="62">
        <v>3.58</v>
      </c>
      <c r="CV71" s="62">
        <v>1.93</v>
      </c>
      <c r="CW71" s="62">
        <v>1.63</v>
      </c>
      <c r="CX71" s="62">
        <v>5.08</v>
      </c>
      <c r="CY71" s="62">
        <v>6.75</v>
      </c>
      <c r="CZ71" s="62">
        <v>3.4</v>
      </c>
      <c r="DA71" s="62">
        <v>0.68</v>
      </c>
      <c r="DB71" s="62">
        <v>6.67</v>
      </c>
      <c r="DC71" s="62">
        <v>2.5499999999999998</v>
      </c>
      <c r="DD71" s="62">
        <v>2.0299999999999998</v>
      </c>
      <c r="DE71" s="62">
        <v>1.86</v>
      </c>
      <c r="DF71" s="62">
        <v>4.87</v>
      </c>
      <c r="DG71" s="62">
        <v>0.66</v>
      </c>
      <c r="DH71" s="62">
        <v>0</v>
      </c>
      <c r="DI71" s="62">
        <v>5.5</v>
      </c>
      <c r="DJ71" s="62">
        <v>3.23</v>
      </c>
      <c r="DK71" s="62">
        <v>3.28</v>
      </c>
      <c r="DL71" s="62">
        <v>2.91</v>
      </c>
      <c r="DM71" s="62">
        <v>2.2200000000000002</v>
      </c>
      <c r="DN71" s="62">
        <v>2.2000000000000002</v>
      </c>
      <c r="DO71" s="62">
        <v>0.19</v>
      </c>
      <c r="DP71" s="62">
        <v>7.37</v>
      </c>
    </row>
    <row r="72" spans="1:120" x14ac:dyDescent="0.3">
      <c r="A72" s="64"/>
      <c r="BR72" s="62">
        <v>0.94</v>
      </c>
      <c r="BS72" s="62">
        <v>0.38</v>
      </c>
      <c r="BT72" s="62">
        <v>0</v>
      </c>
      <c r="BU72" s="62">
        <v>0.56000000000000005</v>
      </c>
      <c r="BV72" s="62">
        <v>0.11</v>
      </c>
      <c r="BW72" s="62">
        <v>4.5599999999999996</v>
      </c>
      <c r="BX72" s="62">
        <v>1.3</v>
      </c>
      <c r="BY72" s="62">
        <v>0.01</v>
      </c>
      <c r="BZ72" s="62">
        <v>1.63</v>
      </c>
      <c r="CA72" s="62">
        <v>3.08</v>
      </c>
      <c r="CB72" s="62">
        <v>0.21</v>
      </c>
      <c r="CC72" s="62">
        <v>6.8</v>
      </c>
      <c r="CD72" s="62">
        <v>0.19</v>
      </c>
      <c r="CE72" s="62">
        <v>9.1999999999999993</v>
      </c>
      <c r="CF72" s="62">
        <v>7.9</v>
      </c>
      <c r="CG72" s="62">
        <v>3.78</v>
      </c>
      <c r="CH72" s="62">
        <v>3.5</v>
      </c>
      <c r="CI72" s="62">
        <v>0.01</v>
      </c>
      <c r="CJ72" s="62">
        <v>5.0999999999999996</v>
      </c>
      <c r="CK72" s="62">
        <v>1.06</v>
      </c>
      <c r="CL72" s="62">
        <v>1.81</v>
      </c>
      <c r="CM72" s="62">
        <v>3.96</v>
      </c>
      <c r="CN72" s="62">
        <v>2.46</v>
      </c>
      <c r="CO72" s="62">
        <v>0.22</v>
      </c>
      <c r="CP72" s="62">
        <v>0.54</v>
      </c>
      <c r="CQ72" s="62">
        <v>0.08</v>
      </c>
      <c r="CR72" s="62">
        <v>2</v>
      </c>
      <c r="CS72" s="62">
        <v>6</v>
      </c>
      <c r="CT72" s="62">
        <v>0.05</v>
      </c>
      <c r="CU72" s="62">
        <v>3.73</v>
      </c>
      <c r="CV72" s="62">
        <v>1.85</v>
      </c>
      <c r="CW72" s="62">
        <v>1.62</v>
      </c>
      <c r="CX72" s="62">
        <v>4.8499999999999996</v>
      </c>
      <c r="CY72" s="62">
        <v>7.7</v>
      </c>
      <c r="CZ72" s="62">
        <v>3.35</v>
      </c>
      <c r="DA72" s="62">
        <v>0.76</v>
      </c>
      <c r="DB72" s="62">
        <v>7.94</v>
      </c>
      <c r="DC72" s="62">
        <v>2.5099999999999998</v>
      </c>
      <c r="DD72" s="62">
        <v>5.08</v>
      </c>
      <c r="DE72" s="62">
        <v>1.77</v>
      </c>
      <c r="DF72" s="62">
        <v>5.09</v>
      </c>
      <c r="DG72" s="62">
        <v>0.65</v>
      </c>
      <c r="DH72" s="62">
        <v>0</v>
      </c>
      <c r="DI72" s="62">
        <v>5.83</v>
      </c>
      <c r="DJ72" s="62">
        <v>3.11</v>
      </c>
      <c r="DK72" s="62">
        <v>3.38</v>
      </c>
      <c r="DL72" s="62">
        <v>2.61</v>
      </c>
      <c r="DM72" s="62">
        <v>2.21</v>
      </c>
      <c r="DN72" s="62">
        <v>2.1</v>
      </c>
      <c r="DO72" s="62">
        <v>0.18</v>
      </c>
      <c r="DP72" s="62">
        <v>7.24</v>
      </c>
    </row>
    <row r="73" spans="1:120" x14ac:dyDescent="0.3">
      <c r="A73" s="64"/>
      <c r="BR73" s="62">
        <v>0.97</v>
      </c>
      <c r="BS73" s="62">
        <v>0.35</v>
      </c>
      <c r="BT73" s="62">
        <v>0</v>
      </c>
      <c r="BU73" s="62">
        <v>0.56999999999999995</v>
      </c>
      <c r="BV73" s="62">
        <v>0.13</v>
      </c>
      <c r="BW73" s="62">
        <v>4.74</v>
      </c>
      <c r="BX73" s="62">
        <v>1.3</v>
      </c>
      <c r="BY73" s="62">
        <v>0.01</v>
      </c>
      <c r="BZ73" s="62">
        <v>1.6</v>
      </c>
      <c r="CA73" s="62">
        <v>3.5</v>
      </c>
      <c r="CB73" s="62">
        <v>0.21</v>
      </c>
      <c r="CC73" s="62">
        <v>6.96</v>
      </c>
      <c r="CD73" s="62">
        <v>0.19</v>
      </c>
      <c r="CE73" s="62">
        <v>10.5</v>
      </c>
      <c r="CF73" s="62">
        <v>8.07</v>
      </c>
      <c r="CG73" s="62">
        <v>3.87</v>
      </c>
      <c r="CH73" s="62">
        <v>3.6</v>
      </c>
      <c r="CI73" s="62">
        <v>0.01</v>
      </c>
      <c r="CJ73" s="62">
        <v>5.18</v>
      </c>
      <c r="CK73" s="62">
        <v>1.71</v>
      </c>
      <c r="CL73" s="62">
        <v>1.86</v>
      </c>
      <c r="CM73" s="62">
        <v>3.97</v>
      </c>
      <c r="CN73" s="62">
        <v>2.4700000000000002</v>
      </c>
      <c r="CO73" s="62">
        <v>0.23</v>
      </c>
      <c r="CP73" s="62">
        <v>0.55000000000000004</v>
      </c>
      <c r="CQ73" s="62">
        <v>0.09</v>
      </c>
      <c r="CR73" s="62">
        <v>2</v>
      </c>
      <c r="CS73" s="62">
        <v>6</v>
      </c>
      <c r="CT73" s="62">
        <v>0.02</v>
      </c>
      <c r="CU73" s="62">
        <v>3.65</v>
      </c>
      <c r="CV73" s="62">
        <v>1.86</v>
      </c>
      <c r="CW73" s="62">
        <v>1.78</v>
      </c>
      <c r="CX73" s="62">
        <v>5.19</v>
      </c>
      <c r="CY73" s="62">
        <v>7.4</v>
      </c>
      <c r="CZ73" s="62">
        <v>3.45</v>
      </c>
      <c r="DA73" s="62">
        <v>0.73</v>
      </c>
      <c r="DB73" s="62">
        <v>8.2899999999999991</v>
      </c>
      <c r="DC73" s="62">
        <v>2.52</v>
      </c>
      <c r="DD73" s="62">
        <v>5.08</v>
      </c>
      <c r="DE73" s="62">
        <v>1.86</v>
      </c>
      <c r="DF73" s="62">
        <v>5.24</v>
      </c>
      <c r="DG73" s="62">
        <v>0.68</v>
      </c>
      <c r="DH73" s="62">
        <v>0</v>
      </c>
      <c r="DI73" s="62">
        <v>5.85</v>
      </c>
      <c r="DJ73" s="62">
        <v>3.17</v>
      </c>
      <c r="DK73" s="62">
        <v>3.4</v>
      </c>
      <c r="DL73" s="62">
        <v>2.74</v>
      </c>
      <c r="DM73" s="62">
        <v>2.19</v>
      </c>
      <c r="DN73" s="62">
        <v>2.0499999999999998</v>
      </c>
      <c r="DO73" s="62">
        <v>0.17</v>
      </c>
      <c r="DP73" s="62">
        <v>7.63</v>
      </c>
    </row>
    <row r="74" spans="1:120" x14ac:dyDescent="0.3">
      <c r="A74" s="64"/>
      <c r="BR74" s="62">
        <v>1.05</v>
      </c>
      <c r="BS74" s="62">
        <v>0.39</v>
      </c>
      <c r="BT74" s="62">
        <v>0</v>
      </c>
      <c r="BU74" s="62">
        <v>0.6</v>
      </c>
      <c r="BV74" s="62">
        <v>0.15</v>
      </c>
      <c r="BW74" s="62">
        <v>4.9400000000000004</v>
      </c>
      <c r="BX74" s="62">
        <v>1.36</v>
      </c>
      <c r="BY74" s="62">
        <v>0.01</v>
      </c>
      <c r="BZ74" s="62">
        <v>1.68</v>
      </c>
      <c r="CA74" s="62">
        <v>4.17</v>
      </c>
      <c r="CB74" s="62">
        <v>0.23</v>
      </c>
      <c r="CC74" s="62">
        <v>7.3</v>
      </c>
      <c r="CD74" s="62">
        <v>0.19</v>
      </c>
      <c r="CE74" s="62">
        <v>10.59</v>
      </c>
      <c r="CF74" s="62">
        <v>8.3000000000000007</v>
      </c>
      <c r="CG74" s="62">
        <v>4.78</v>
      </c>
      <c r="CH74" s="62">
        <v>3.56</v>
      </c>
      <c r="CI74" s="62">
        <v>0.01</v>
      </c>
      <c r="CJ74" s="62">
        <v>5.86</v>
      </c>
      <c r="CK74" s="62">
        <v>2.19</v>
      </c>
      <c r="CL74" s="62">
        <v>1.85</v>
      </c>
      <c r="CM74" s="62">
        <v>4.1500000000000004</v>
      </c>
      <c r="CN74" s="62">
        <v>2.81</v>
      </c>
      <c r="CO74" s="62">
        <v>0.19</v>
      </c>
      <c r="CP74" s="62">
        <v>0.6</v>
      </c>
      <c r="CQ74" s="62">
        <v>7.0000000000000007E-2</v>
      </c>
      <c r="CR74" s="62">
        <v>2</v>
      </c>
      <c r="CS74" s="62">
        <v>6</v>
      </c>
      <c r="CT74" s="62">
        <v>0.02</v>
      </c>
      <c r="CU74" s="62">
        <v>3.63</v>
      </c>
      <c r="CV74" s="62">
        <v>1.94</v>
      </c>
      <c r="CW74" s="62">
        <v>1.77</v>
      </c>
      <c r="CX74" s="62">
        <v>5.5</v>
      </c>
      <c r="CY74" s="62">
        <v>7.2</v>
      </c>
      <c r="CZ74" s="62">
        <v>3.3</v>
      </c>
      <c r="DA74" s="62">
        <v>0.77</v>
      </c>
      <c r="DB74" s="62">
        <v>8.07</v>
      </c>
      <c r="DC74" s="62">
        <v>2.65</v>
      </c>
      <c r="DD74" s="62">
        <v>2.2000000000000002</v>
      </c>
      <c r="DE74" s="62">
        <v>1.87</v>
      </c>
      <c r="DF74" s="62">
        <v>6.05</v>
      </c>
      <c r="DG74" s="62">
        <v>0.68</v>
      </c>
      <c r="DH74" s="62">
        <v>0</v>
      </c>
      <c r="DI74" s="62">
        <v>5.98</v>
      </c>
      <c r="DJ74" s="62">
        <v>3.26</v>
      </c>
      <c r="DK74" s="62">
        <v>3.47</v>
      </c>
      <c r="DL74" s="62">
        <v>2.88</v>
      </c>
      <c r="DM74" s="62">
        <v>2.21</v>
      </c>
      <c r="DN74" s="62">
        <v>2.08</v>
      </c>
      <c r="DO74" s="62">
        <v>0.16</v>
      </c>
      <c r="DP74" s="62">
        <v>7.67</v>
      </c>
    </row>
    <row r="75" spans="1:120" x14ac:dyDescent="0.3">
      <c r="A75" s="64"/>
      <c r="BR75" s="62">
        <v>1.02</v>
      </c>
      <c r="BS75" s="62">
        <v>0.43</v>
      </c>
      <c r="BT75" s="62">
        <v>0.01</v>
      </c>
      <c r="BU75" s="62">
        <v>0.57999999999999996</v>
      </c>
      <c r="BV75" s="62">
        <v>0.19</v>
      </c>
      <c r="BW75" s="62">
        <v>5.13</v>
      </c>
      <c r="BX75" s="62">
        <v>1.32</v>
      </c>
      <c r="BY75" s="62">
        <v>0.01</v>
      </c>
      <c r="BZ75" s="62">
        <v>1.66</v>
      </c>
      <c r="CA75" s="62">
        <v>4.1399999999999997</v>
      </c>
      <c r="CB75" s="62">
        <v>0.23</v>
      </c>
      <c r="CC75" s="62">
        <v>7.51</v>
      </c>
      <c r="CD75" s="62">
        <v>0.22</v>
      </c>
      <c r="CE75" s="62">
        <v>10.9</v>
      </c>
      <c r="CF75" s="62">
        <v>7.96</v>
      </c>
      <c r="CG75" s="62">
        <v>4.78</v>
      </c>
      <c r="CH75" s="62">
        <v>3.55</v>
      </c>
      <c r="CI75" s="62">
        <v>0</v>
      </c>
      <c r="CJ75" s="62">
        <v>5.64</v>
      </c>
      <c r="CK75" s="62">
        <v>1.9</v>
      </c>
      <c r="CL75" s="62">
        <v>1.82</v>
      </c>
      <c r="CM75" s="62">
        <v>4.07</v>
      </c>
      <c r="CN75" s="62">
        <v>2.88</v>
      </c>
      <c r="CO75" s="62">
        <v>0.2</v>
      </c>
      <c r="CP75" s="62">
        <v>0.6</v>
      </c>
      <c r="CQ75" s="62">
        <v>0.06</v>
      </c>
      <c r="CR75" s="62">
        <v>2</v>
      </c>
      <c r="CS75" s="62">
        <v>6.1</v>
      </c>
      <c r="CT75" s="62">
        <v>0</v>
      </c>
      <c r="CU75" s="62">
        <v>3.55</v>
      </c>
      <c r="CV75" s="62">
        <v>1.99</v>
      </c>
      <c r="CW75" s="62">
        <v>1.75</v>
      </c>
      <c r="CX75" s="62">
        <v>5.63</v>
      </c>
      <c r="CY75" s="62">
        <v>7</v>
      </c>
      <c r="CZ75" s="62">
        <v>3.28</v>
      </c>
      <c r="DA75" s="62">
        <v>0.89</v>
      </c>
      <c r="DB75" s="62">
        <v>9.26</v>
      </c>
      <c r="DC75" s="62">
        <v>2.52</v>
      </c>
      <c r="DD75" s="62">
        <v>2.1</v>
      </c>
      <c r="DE75" s="62">
        <v>1.82</v>
      </c>
      <c r="DF75" s="62">
        <v>5.76</v>
      </c>
      <c r="DG75" s="62">
        <v>0.68</v>
      </c>
      <c r="DH75" s="62">
        <v>0</v>
      </c>
      <c r="DI75" s="62">
        <v>5.36</v>
      </c>
      <c r="DJ75" s="62">
        <v>3.2</v>
      </c>
      <c r="DK75" s="62">
        <v>3.42</v>
      </c>
      <c r="DL75" s="62">
        <v>2.85</v>
      </c>
      <c r="DM75" s="62">
        <v>2.17</v>
      </c>
      <c r="DN75" s="62">
        <v>2.0499999999999998</v>
      </c>
      <c r="DO75" s="62">
        <v>0.18</v>
      </c>
      <c r="DP75" s="62">
        <v>7.57</v>
      </c>
    </row>
    <row r="76" spans="1:120" x14ac:dyDescent="0.3">
      <c r="A76" s="64"/>
      <c r="BR76" s="62">
        <v>0.99</v>
      </c>
      <c r="BS76" s="62">
        <v>0.38</v>
      </c>
      <c r="BT76" s="62">
        <v>0</v>
      </c>
      <c r="BU76" s="62">
        <v>0.61</v>
      </c>
      <c r="BV76" s="62">
        <v>0.18</v>
      </c>
      <c r="BW76" s="62">
        <v>5.09</v>
      </c>
      <c r="BX76" s="62">
        <v>1.27</v>
      </c>
      <c r="BY76" s="62">
        <v>0</v>
      </c>
      <c r="BZ76" s="62">
        <v>1.64</v>
      </c>
      <c r="CA76" s="62">
        <v>3.86</v>
      </c>
      <c r="CB76" s="62">
        <v>0.19</v>
      </c>
      <c r="CC76" s="62">
        <v>7.2</v>
      </c>
      <c r="CD76" s="62">
        <v>0.21</v>
      </c>
      <c r="CE76" s="62">
        <v>10.69</v>
      </c>
      <c r="CF76" s="62">
        <v>7.7</v>
      </c>
      <c r="CG76" s="62">
        <v>4.49</v>
      </c>
      <c r="CH76" s="62">
        <v>3.5</v>
      </c>
      <c r="CI76" s="62">
        <v>0.01</v>
      </c>
      <c r="CJ76" s="62">
        <v>6.09</v>
      </c>
      <c r="CK76" s="62">
        <v>2.1</v>
      </c>
      <c r="CL76" s="62">
        <v>1.88</v>
      </c>
      <c r="CM76" s="62">
        <v>3.82</v>
      </c>
      <c r="CN76" s="62">
        <v>2.46</v>
      </c>
      <c r="CO76" s="62">
        <v>0.17</v>
      </c>
      <c r="CP76" s="62">
        <v>0.55000000000000004</v>
      </c>
      <c r="CQ76" s="62">
        <v>0.06</v>
      </c>
      <c r="CR76" s="62">
        <v>2</v>
      </c>
      <c r="CS76" s="62">
        <v>6.1</v>
      </c>
      <c r="CT76" s="62">
        <v>0</v>
      </c>
      <c r="CU76" s="62">
        <v>3.35</v>
      </c>
      <c r="CV76" s="62">
        <v>1.93</v>
      </c>
      <c r="CW76" s="62">
        <v>1.69</v>
      </c>
      <c r="CX76" s="62">
        <v>6.32</v>
      </c>
      <c r="CY76" s="62">
        <v>7.78</v>
      </c>
      <c r="CZ76" s="62">
        <v>3.22</v>
      </c>
      <c r="DA76" s="62">
        <v>0.85</v>
      </c>
      <c r="DB76" s="62">
        <v>13.09</v>
      </c>
      <c r="DC76" s="62">
        <v>2.39</v>
      </c>
      <c r="DD76" s="62">
        <v>2</v>
      </c>
      <c r="DE76" s="62">
        <v>1.7</v>
      </c>
      <c r="DF76" s="62">
        <v>6</v>
      </c>
      <c r="DG76" s="62">
        <v>0.7</v>
      </c>
      <c r="DH76" s="62">
        <v>0</v>
      </c>
      <c r="DI76" s="62">
        <v>5.22</v>
      </c>
      <c r="DJ76" s="62">
        <v>2.88</v>
      </c>
      <c r="DK76" s="62">
        <v>3.3</v>
      </c>
      <c r="DL76" s="62">
        <v>2.7</v>
      </c>
      <c r="DM76" s="62">
        <v>2.11</v>
      </c>
      <c r="DN76" s="62">
        <v>2.0099999999999998</v>
      </c>
      <c r="DO76" s="62">
        <v>0.16</v>
      </c>
      <c r="DP76" s="62">
        <v>6.99</v>
      </c>
    </row>
    <row r="77" spans="1:120" x14ac:dyDescent="0.3">
      <c r="A77" s="64"/>
      <c r="BR77" s="62">
        <v>0.98</v>
      </c>
      <c r="BS77" s="62">
        <v>0.38</v>
      </c>
      <c r="BT77" s="62">
        <v>0.01</v>
      </c>
      <c r="BU77" s="62">
        <v>0.6</v>
      </c>
      <c r="BV77" s="62">
        <v>0.21</v>
      </c>
      <c r="BW77" s="62">
        <v>4.79</v>
      </c>
      <c r="BX77" s="62">
        <v>1.28</v>
      </c>
      <c r="BY77" s="62">
        <v>0</v>
      </c>
      <c r="BZ77" s="62">
        <v>1.64</v>
      </c>
      <c r="CA77" s="62">
        <v>4.3</v>
      </c>
      <c r="CB77" s="62">
        <v>0.2</v>
      </c>
      <c r="CC77" s="62">
        <v>7.17</v>
      </c>
      <c r="CD77" s="62">
        <v>0.25</v>
      </c>
      <c r="CE77" s="62">
        <v>10.59</v>
      </c>
      <c r="CF77" s="62">
        <v>7.43</v>
      </c>
      <c r="CG77" s="62">
        <v>4.51</v>
      </c>
      <c r="CH77" s="62">
        <v>3.31</v>
      </c>
      <c r="CI77" s="62">
        <v>0</v>
      </c>
      <c r="CJ77" s="62">
        <v>5.82</v>
      </c>
      <c r="CK77" s="62">
        <v>2.4500000000000002</v>
      </c>
      <c r="CL77" s="62">
        <v>1.82</v>
      </c>
      <c r="CM77" s="62">
        <v>3.9</v>
      </c>
      <c r="CN77" s="62">
        <v>2.29</v>
      </c>
      <c r="CO77" s="62">
        <v>0.2</v>
      </c>
      <c r="CP77" s="62">
        <v>0.5</v>
      </c>
      <c r="CQ77" s="62">
        <v>0.05</v>
      </c>
      <c r="CR77" s="62">
        <v>2.0499999999999998</v>
      </c>
      <c r="CS77" s="62">
        <v>6.35</v>
      </c>
      <c r="CT77" s="62">
        <v>0</v>
      </c>
      <c r="CU77" s="62">
        <v>3.34</v>
      </c>
      <c r="CV77" s="62">
        <v>1.87</v>
      </c>
      <c r="CW77" s="62">
        <v>1.7</v>
      </c>
      <c r="CX77" s="62">
        <v>6.94</v>
      </c>
      <c r="CY77" s="62">
        <v>8.39</v>
      </c>
      <c r="CZ77" s="62">
        <v>3.2</v>
      </c>
      <c r="DA77" s="62">
        <v>0.87</v>
      </c>
      <c r="DB77" s="62">
        <v>12.4</v>
      </c>
      <c r="DC77" s="62">
        <v>2.29</v>
      </c>
      <c r="DD77" s="62">
        <v>1.97</v>
      </c>
      <c r="DE77" s="62">
        <v>1.64</v>
      </c>
      <c r="DF77" s="62">
        <v>6.1</v>
      </c>
      <c r="DG77" s="62">
        <v>0.81</v>
      </c>
      <c r="DH77" s="62">
        <v>0</v>
      </c>
      <c r="DI77" s="62">
        <v>5.59</v>
      </c>
      <c r="DJ77" s="62">
        <v>3.02</v>
      </c>
      <c r="DK77" s="62">
        <v>3.15</v>
      </c>
      <c r="DL77" s="62">
        <v>2.86</v>
      </c>
      <c r="DM77" s="62">
        <v>2.09</v>
      </c>
      <c r="DN77" s="62">
        <v>2.0099999999999998</v>
      </c>
      <c r="DO77" s="62">
        <v>0.16</v>
      </c>
      <c r="DP77" s="62">
        <v>7</v>
      </c>
    </row>
    <row r="78" spans="1:120" x14ac:dyDescent="0.3">
      <c r="A78" s="64"/>
      <c r="BR78" s="62">
        <v>0.99</v>
      </c>
      <c r="BS78" s="62">
        <v>0.33</v>
      </c>
      <c r="BT78" s="62">
        <v>0.01</v>
      </c>
      <c r="BU78" s="62">
        <v>0.6</v>
      </c>
      <c r="BV78" s="62">
        <v>0.18</v>
      </c>
      <c r="BW78" s="62">
        <v>4.8899999999999997</v>
      </c>
      <c r="BX78" s="62">
        <v>1.27</v>
      </c>
      <c r="BY78" s="62">
        <v>0</v>
      </c>
      <c r="BZ78" s="62">
        <v>1.65</v>
      </c>
      <c r="CA78" s="62">
        <v>4</v>
      </c>
      <c r="CB78" s="62">
        <v>0.19</v>
      </c>
      <c r="CC78" s="62">
        <v>7.39</v>
      </c>
      <c r="CD78" s="62">
        <v>0.24</v>
      </c>
      <c r="CE78" s="62">
        <v>10.5</v>
      </c>
      <c r="CF78" s="62">
        <v>7.6</v>
      </c>
      <c r="CG78" s="62">
        <v>4.51</v>
      </c>
      <c r="CH78" s="62">
        <v>3.3</v>
      </c>
      <c r="CI78" s="62">
        <v>0</v>
      </c>
      <c r="CJ78" s="62">
        <v>5.91</v>
      </c>
      <c r="CK78" s="62">
        <v>2.63</v>
      </c>
      <c r="CL78" s="62">
        <v>1.8</v>
      </c>
      <c r="CM78" s="62">
        <v>4.04</v>
      </c>
      <c r="CN78" s="62">
        <v>2.25</v>
      </c>
      <c r="CO78" s="62">
        <v>0.2</v>
      </c>
      <c r="CP78" s="62">
        <v>0.45</v>
      </c>
      <c r="CQ78" s="62">
        <v>0.04</v>
      </c>
      <c r="CR78" s="62">
        <v>2.1</v>
      </c>
      <c r="CS78" s="62">
        <v>6.45</v>
      </c>
      <c r="CT78" s="62">
        <v>0</v>
      </c>
      <c r="CU78" s="62">
        <v>3.45</v>
      </c>
      <c r="CV78" s="62">
        <v>1.86</v>
      </c>
      <c r="CW78" s="62">
        <v>1.73</v>
      </c>
      <c r="CX78" s="62">
        <v>6.9</v>
      </c>
      <c r="CY78" s="62">
        <v>10</v>
      </c>
      <c r="CZ78" s="62">
        <v>3.12</v>
      </c>
      <c r="DA78" s="62">
        <v>0.86</v>
      </c>
      <c r="DB78" s="62">
        <v>12.12</v>
      </c>
      <c r="DC78" s="62">
        <v>2.37</v>
      </c>
      <c r="DD78" s="62">
        <v>1.9</v>
      </c>
      <c r="DE78" s="62">
        <v>1.76</v>
      </c>
      <c r="DF78" s="62">
        <v>6.08</v>
      </c>
      <c r="DG78" s="62">
        <v>0.81</v>
      </c>
      <c r="DH78" s="62">
        <v>0</v>
      </c>
      <c r="DI78" s="62">
        <v>5.74</v>
      </c>
      <c r="DJ78" s="62">
        <v>2.99</v>
      </c>
      <c r="DK78" s="62">
        <v>3.19</v>
      </c>
      <c r="DL78" s="62">
        <v>3.01</v>
      </c>
      <c r="DM78" s="62">
        <v>2.06</v>
      </c>
      <c r="DN78" s="62">
        <v>2.0099999999999998</v>
      </c>
      <c r="DO78" s="62">
        <v>0.14000000000000001</v>
      </c>
      <c r="DP78" s="62">
        <v>7.25</v>
      </c>
    </row>
    <row r="79" spans="1:120" x14ac:dyDescent="0.3">
      <c r="A79" s="64"/>
      <c r="BR79" s="62">
        <v>1.03</v>
      </c>
      <c r="BS79" s="62">
        <v>0.26</v>
      </c>
      <c r="BT79" s="62">
        <v>0.01</v>
      </c>
      <c r="BU79" s="62">
        <v>0.7</v>
      </c>
      <c r="BV79" s="62">
        <v>0.21</v>
      </c>
      <c r="BW79" s="62">
        <v>5.05</v>
      </c>
      <c r="BX79" s="62">
        <v>1.3</v>
      </c>
      <c r="BY79" s="62">
        <v>0</v>
      </c>
      <c r="BZ79" s="62">
        <v>1.7</v>
      </c>
      <c r="CA79" s="62">
        <v>4.33</v>
      </c>
      <c r="CB79" s="62">
        <v>0.21</v>
      </c>
      <c r="CC79" s="62">
        <v>7.68</v>
      </c>
      <c r="CD79" s="62">
        <v>0.25</v>
      </c>
      <c r="CE79" s="62">
        <v>11.49</v>
      </c>
      <c r="CF79" s="62">
        <v>7.7</v>
      </c>
      <c r="CG79" s="62">
        <v>4.66</v>
      </c>
      <c r="CH79" s="62">
        <v>3.4</v>
      </c>
      <c r="CI79" s="62">
        <v>0</v>
      </c>
      <c r="CJ79" s="62">
        <v>6.18</v>
      </c>
      <c r="CK79" s="62">
        <v>3</v>
      </c>
      <c r="CL79" s="62">
        <v>2</v>
      </c>
      <c r="CM79" s="62">
        <v>3.94</v>
      </c>
      <c r="CN79" s="62">
        <v>2.3199999999999998</v>
      </c>
      <c r="CO79" s="62">
        <v>0.19</v>
      </c>
      <c r="CP79" s="62">
        <v>0.38</v>
      </c>
      <c r="CQ79" s="62">
        <v>0.08</v>
      </c>
      <c r="CR79" s="62">
        <v>2.1</v>
      </c>
      <c r="CS79" s="62">
        <v>6.8</v>
      </c>
      <c r="CT79" s="62">
        <v>0</v>
      </c>
      <c r="CU79" s="62">
        <v>3.65</v>
      </c>
      <c r="CV79" s="62">
        <v>1.3</v>
      </c>
      <c r="CW79" s="62">
        <v>1.79</v>
      </c>
      <c r="CX79" s="62">
        <v>7.32</v>
      </c>
      <c r="CY79" s="62">
        <v>10.96</v>
      </c>
      <c r="CZ79" s="62">
        <v>3.1</v>
      </c>
      <c r="DA79" s="62">
        <v>0.89</v>
      </c>
      <c r="DB79" s="62">
        <v>10.45</v>
      </c>
      <c r="DC79" s="62">
        <v>2.48</v>
      </c>
      <c r="DD79" s="62">
        <v>1.75</v>
      </c>
      <c r="DE79" s="62">
        <v>1.87</v>
      </c>
      <c r="DF79" s="62">
        <v>6.39</v>
      </c>
      <c r="DG79" s="62">
        <v>0.76</v>
      </c>
      <c r="DH79" s="62">
        <v>0</v>
      </c>
      <c r="DI79" s="62">
        <v>5.57</v>
      </c>
      <c r="DJ79" s="62">
        <v>2.97</v>
      </c>
      <c r="DK79" s="62">
        <v>3.36</v>
      </c>
      <c r="DL79" s="62">
        <v>3.52</v>
      </c>
      <c r="DM79" s="62">
        <v>2.0499999999999998</v>
      </c>
      <c r="DN79" s="62">
        <v>2.0299999999999998</v>
      </c>
      <c r="DO79" s="62">
        <v>0.17</v>
      </c>
      <c r="DP79" s="62">
        <v>7.32</v>
      </c>
    </row>
    <row r="80" spans="1:120" x14ac:dyDescent="0.3">
      <c r="A80" s="64"/>
      <c r="BR80" s="62">
        <v>1.1399999999999999</v>
      </c>
      <c r="BS80" s="62">
        <v>0.28999999999999998</v>
      </c>
      <c r="BT80" s="62">
        <v>0.01</v>
      </c>
      <c r="BU80" s="62">
        <v>0.66</v>
      </c>
      <c r="BV80" s="62">
        <v>0.21</v>
      </c>
      <c r="BW80" s="62">
        <v>5.0999999999999996</v>
      </c>
      <c r="BX80" s="62">
        <v>1.35</v>
      </c>
      <c r="BY80" s="62">
        <v>0</v>
      </c>
      <c r="BZ80" s="62">
        <v>1.73</v>
      </c>
      <c r="CA80" s="62">
        <v>4.16</v>
      </c>
      <c r="CB80" s="62">
        <v>0.28999999999999998</v>
      </c>
      <c r="CC80" s="62">
        <v>7.8</v>
      </c>
      <c r="CD80" s="62">
        <v>0.28999999999999998</v>
      </c>
      <c r="CE80" s="62">
        <v>11.8</v>
      </c>
      <c r="CF80" s="62">
        <v>7.7</v>
      </c>
      <c r="CG80" s="62">
        <v>4.63</v>
      </c>
      <c r="CH80" s="62">
        <v>3.5</v>
      </c>
      <c r="CI80" s="62">
        <v>0</v>
      </c>
      <c r="CJ80" s="62">
        <v>6.09</v>
      </c>
      <c r="CK80" s="62">
        <v>2.94</v>
      </c>
      <c r="CL80" s="62">
        <v>1.98</v>
      </c>
      <c r="CM80" s="62">
        <v>4.07</v>
      </c>
      <c r="CN80" s="62">
        <v>2.6</v>
      </c>
      <c r="CO80" s="62">
        <v>0.18</v>
      </c>
      <c r="CP80" s="62">
        <v>0.39</v>
      </c>
      <c r="CQ80" s="62">
        <v>0.09</v>
      </c>
      <c r="CR80" s="62">
        <v>1.8</v>
      </c>
      <c r="CS80" s="62">
        <v>6.95</v>
      </c>
      <c r="CT80" s="62">
        <v>0</v>
      </c>
      <c r="CU80" s="62">
        <v>3.71</v>
      </c>
      <c r="CV80" s="62">
        <v>1.38</v>
      </c>
      <c r="CW80" s="62">
        <v>1.86</v>
      </c>
      <c r="CX80" s="62">
        <v>7.6</v>
      </c>
      <c r="CY80" s="62">
        <v>11.39</v>
      </c>
      <c r="CZ80" s="62">
        <v>3.1</v>
      </c>
      <c r="DA80" s="62">
        <v>0.88</v>
      </c>
      <c r="DB80" s="62">
        <v>11.43</v>
      </c>
      <c r="DC80" s="62">
        <v>2.4300000000000002</v>
      </c>
      <c r="DD80" s="62">
        <v>1.76</v>
      </c>
      <c r="DE80" s="62">
        <v>1.89</v>
      </c>
      <c r="DF80" s="62">
        <v>6.7</v>
      </c>
      <c r="DG80" s="62">
        <v>0.76</v>
      </c>
      <c r="DH80" s="62">
        <v>0</v>
      </c>
      <c r="DI80" s="62">
        <v>5.66</v>
      </c>
      <c r="DJ80" s="62">
        <v>3.2</v>
      </c>
      <c r="DK80" s="62">
        <v>3.4</v>
      </c>
      <c r="DL80" s="62">
        <v>3.8</v>
      </c>
      <c r="DM80" s="62">
        <v>2.0099999999999998</v>
      </c>
      <c r="DN80" s="62">
        <v>2.04</v>
      </c>
      <c r="DO80" s="62">
        <v>0.15</v>
      </c>
      <c r="DP80" s="62">
        <v>7.59</v>
      </c>
    </row>
    <row r="81" spans="1:120" x14ac:dyDescent="0.3">
      <c r="A81" s="64"/>
      <c r="BR81" s="62">
        <v>1.1299999999999999</v>
      </c>
      <c r="BS81" s="62">
        <v>0.28000000000000003</v>
      </c>
      <c r="BT81" s="62">
        <v>0.01</v>
      </c>
      <c r="BU81" s="62">
        <v>0.65</v>
      </c>
      <c r="BV81" s="62">
        <v>0.2</v>
      </c>
      <c r="BW81" s="62">
        <v>4.95</v>
      </c>
      <c r="BX81" s="62">
        <v>1.38</v>
      </c>
      <c r="BY81" s="62">
        <v>0</v>
      </c>
      <c r="BZ81" s="62">
        <v>1.73</v>
      </c>
      <c r="CA81" s="62">
        <v>3.84</v>
      </c>
      <c r="CB81" s="62">
        <v>0.26</v>
      </c>
      <c r="CC81" s="62">
        <v>7.57</v>
      </c>
      <c r="CD81" s="62">
        <v>0.28999999999999998</v>
      </c>
      <c r="CE81" s="62">
        <v>12.27</v>
      </c>
      <c r="CF81" s="62">
        <v>7.62</v>
      </c>
      <c r="CG81" s="62">
        <v>4.6100000000000003</v>
      </c>
      <c r="CH81" s="62">
        <v>3.31</v>
      </c>
      <c r="CI81" s="62">
        <v>0</v>
      </c>
      <c r="CJ81" s="62">
        <v>5.91</v>
      </c>
      <c r="CK81" s="62">
        <v>2.84</v>
      </c>
      <c r="CL81" s="62">
        <v>2.04</v>
      </c>
      <c r="CM81" s="62">
        <v>3.95</v>
      </c>
      <c r="CN81" s="62">
        <v>2.71</v>
      </c>
      <c r="CO81" s="62">
        <v>0.21</v>
      </c>
      <c r="CP81" s="62">
        <v>0.38</v>
      </c>
      <c r="CQ81" s="62">
        <v>0.06</v>
      </c>
      <c r="CR81" s="62">
        <v>1.8</v>
      </c>
      <c r="CS81" s="62">
        <v>6.9</v>
      </c>
      <c r="CT81" s="62">
        <v>0</v>
      </c>
      <c r="CU81" s="62">
        <v>3.8</v>
      </c>
      <c r="CV81" s="62">
        <v>1.37</v>
      </c>
      <c r="CW81" s="62">
        <v>1.84</v>
      </c>
      <c r="CX81" s="62">
        <v>7.65</v>
      </c>
      <c r="CY81" s="62">
        <v>10.75</v>
      </c>
      <c r="CZ81" s="62">
        <v>3.2</v>
      </c>
      <c r="DA81" s="62">
        <v>0.88</v>
      </c>
      <c r="DB81" s="62">
        <v>10.33</v>
      </c>
      <c r="DC81" s="62">
        <v>2.4500000000000002</v>
      </c>
      <c r="DD81" s="62">
        <v>1.6</v>
      </c>
      <c r="DE81" s="62">
        <v>1.95</v>
      </c>
      <c r="DF81" s="62">
        <v>6.05</v>
      </c>
      <c r="DG81" s="62">
        <v>0.74</v>
      </c>
      <c r="DH81" s="62">
        <v>0</v>
      </c>
      <c r="DI81" s="62">
        <v>5.91</v>
      </c>
      <c r="DJ81" s="62">
        <v>3.1</v>
      </c>
      <c r="DK81" s="62">
        <v>3.3</v>
      </c>
      <c r="DL81" s="62">
        <v>4.13</v>
      </c>
      <c r="DM81" s="62">
        <v>2.12</v>
      </c>
      <c r="DN81" s="62">
        <v>2.04</v>
      </c>
      <c r="DO81" s="62">
        <v>0.17</v>
      </c>
      <c r="DP81" s="62">
        <v>7.2</v>
      </c>
    </row>
    <row r="82" spans="1:120" x14ac:dyDescent="0.3">
      <c r="A82" s="64"/>
      <c r="BR82" s="62">
        <v>1.1299999999999999</v>
      </c>
      <c r="BS82" s="62">
        <v>0.33</v>
      </c>
      <c r="BT82" s="62">
        <v>0.02</v>
      </c>
      <c r="BU82" s="62">
        <v>0.65</v>
      </c>
      <c r="BV82" s="62">
        <v>0.19</v>
      </c>
      <c r="BW82" s="62">
        <v>5.09</v>
      </c>
      <c r="BX82" s="62">
        <v>1.44</v>
      </c>
      <c r="BY82" s="62">
        <v>0</v>
      </c>
      <c r="BZ82" s="62">
        <v>1.77</v>
      </c>
      <c r="CA82" s="62">
        <v>3.88</v>
      </c>
      <c r="CB82" s="62">
        <v>0.27</v>
      </c>
      <c r="CC82" s="62">
        <v>7.71</v>
      </c>
      <c r="CD82" s="62">
        <v>0.27</v>
      </c>
      <c r="CE82" s="62">
        <v>13.82</v>
      </c>
      <c r="CF82" s="62">
        <v>7.7</v>
      </c>
      <c r="CG82" s="62">
        <v>4.8099999999999996</v>
      </c>
      <c r="CH82" s="62">
        <v>3.17</v>
      </c>
      <c r="CI82" s="62">
        <v>0</v>
      </c>
      <c r="CJ82" s="62">
        <v>5.55</v>
      </c>
      <c r="CK82" s="62">
        <v>2.91</v>
      </c>
      <c r="CL82" s="62">
        <v>2.14</v>
      </c>
      <c r="CM82" s="62">
        <v>4.03</v>
      </c>
      <c r="CN82" s="62">
        <v>2.2000000000000002</v>
      </c>
      <c r="CO82" s="62">
        <v>0.22</v>
      </c>
      <c r="CP82" s="62">
        <v>0.35</v>
      </c>
      <c r="CQ82" s="62">
        <v>0.05</v>
      </c>
      <c r="CR82" s="62">
        <v>1.8</v>
      </c>
      <c r="CS82" s="62">
        <v>6.83</v>
      </c>
      <c r="CT82" s="62">
        <v>0</v>
      </c>
      <c r="CU82" s="62">
        <v>3.94</v>
      </c>
      <c r="CV82" s="62">
        <v>1.22</v>
      </c>
      <c r="CW82" s="62">
        <v>1.93</v>
      </c>
      <c r="CX82" s="62">
        <v>7.68</v>
      </c>
      <c r="CY82" s="62">
        <v>13</v>
      </c>
      <c r="CZ82" s="62">
        <v>3.08</v>
      </c>
      <c r="DA82" s="62">
        <v>0.85</v>
      </c>
      <c r="DB82" s="62">
        <v>12.8</v>
      </c>
      <c r="DC82" s="62">
        <v>2.5499999999999998</v>
      </c>
      <c r="DD82" s="62">
        <v>1.6</v>
      </c>
      <c r="DE82" s="62">
        <v>2.08</v>
      </c>
      <c r="DF82" s="62">
        <v>5.62</v>
      </c>
      <c r="DG82" s="62">
        <v>0.75</v>
      </c>
      <c r="DH82" s="62">
        <v>0</v>
      </c>
      <c r="DI82" s="62">
        <v>5.97</v>
      </c>
      <c r="DJ82" s="62">
        <v>2.95</v>
      </c>
      <c r="DK82" s="62">
        <v>3.48</v>
      </c>
      <c r="DL82" s="62">
        <v>4.0599999999999996</v>
      </c>
      <c r="DM82" s="62">
        <v>2.08</v>
      </c>
      <c r="DN82" s="62">
        <v>2.04</v>
      </c>
      <c r="DO82" s="62">
        <v>0.17</v>
      </c>
      <c r="DP82" s="62">
        <v>7.05</v>
      </c>
    </row>
    <row r="83" spans="1:120" x14ac:dyDescent="0.3">
      <c r="A83" s="64"/>
      <c r="BR83" s="62">
        <v>1.21</v>
      </c>
      <c r="BS83" s="62">
        <v>0.32</v>
      </c>
      <c r="BT83" s="62">
        <v>0.02</v>
      </c>
      <c r="BU83" s="62">
        <v>0.61</v>
      </c>
      <c r="BV83" s="62">
        <v>0.18</v>
      </c>
      <c r="BW83" s="62">
        <v>5.23</v>
      </c>
      <c r="BX83" s="62">
        <v>1.42</v>
      </c>
      <c r="BY83" s="62">
        <v>0</v>
      </c>
      <c r="BZ83" s="62">
        <v>1.8</v>
      </c>
      <c r="CA83" s="62">
        <v>4.07</v>
      </c>
      <c r="CB83" s="62">
        <v>0.28999999999999998</v>
      </c>
      <c r="CC83" s="62">
        <v>7.84</v>
      </c>
      <c r="CD83" s="62">
        <v>0.26</v>
      </c>
      <c r="CE83" s="62">
        <v>13.75</v>
      </c>
      <c r="CF83" s="62">
        <v>7.95</v>
      </c>
      <c r="CG83" s="62">
        <v>4.9000000000000004</v>
      </c>
      <c r="CH83" s="62">
        <v>3.06</v>
      </c>
      <c r="CI83" s="62">
        <v>0</v>
      </c>
      <c r="CJ83" s="62">
        <v>5.55</v>
      </c>
      <c r="CK83" s="62">
        <v>3.36</v>
      </c>
      <c r="CL83" s="62">
        <v>2.14</v>
      </c>
      <c r="CM83" s="62">
        <v>4.04</v>
      </c>
      <c r="CN83" s="62">
        <v>2.11</v>
      </c>
      <c r="CO83" s="62">
        <v>0.18</v>
      </c>
      <c r="CP83" s="62">
        <v>0.3</v>
      </c>
      <c r="CQ83" s="62">
        <v>0.05</v>
      </c>
      <c r="CR83" s="62">
        <v>1.7</v>
      </c>
      <c r="CS83" s="62">
        <v>7.02</v>
      </c>
      <c r="CT83" s="62">
        <v>0</v>
      </c>
      <c r="CU83" s="62">
        <v>3.97</v>
      </c>
      <c r="CV83" s="62">
        <v>1.31</v>
      </c>
      <c r="CW83" s="62">
        <v>1.94</v>
      </c>
      <c r="CX83" s="62">
        <v>7.76</v>
      </c>
      <c r="CY83" s="62">
        <v>10.75</v>
      </c>
      <c r="CZ83" s="62">
        <v>3.05</v>
      </c>
      <c r="DA83" s="62">
        <v>0.79</v>
      </c>
      <c r="DB83" s="62">
        <v>11.4</v>
      </c>
      <c r="DC83" s="62">
        <v>2.6</v>
      </c>
      <c r="DD83" s="62">
        <v>1.66</v>
      </c>
      <c r="DE83" s="62">
        <v>2.13</v>
      </c>
      <c r="DF83" s="62">
        <v>5.56</v>
      </c>
      <c r="DG83" s="62">
        <v>0.78</v>
      </c>
      <c r="DH83" s="62">
        <v>0</v>
      </c>
      <c r="DI83" s="62">
        <v>6.26</v>
      </c>
      <c r="DJ83" s="62">
        <v>2.94</v>
      </c>
      <c r="DK83" s="62">
        <v>3.45</v>
      </c>
      <c r="DL83" s="62">
        <v>3.9</v>
      </c>
      <c r="DM83" s="62">
        <v>2.11</v>
      </c>
      <c r="DN83" s="62">
        <v>2.06</v>
      </c>
      <c r="DO83" s="62">
        <v>0.16</v>
      </c>
      <c r="DP83" s="62">
        <v>7.24</v>
      </c>
    </row>
    <row r="84" spans="1:120" x14ac:dyDescent="0.3">
      <c r="A84" s="64"/>
      <c r="BR84" s="62">
        <v>1.1599999999999999</v>
      </c>
      <c r="BS84" s="62">
        <v>0.4</v>
      </c>
      <c r="BT84" s="62">
        <v>0.02</v>
      </c>
      <c r="BU84" s="62">
        <v>0.56000000000000005</v>
      </c>
      <c r="BV84" s="62">
        <v>0.23</v>
      </c>
      <c r="BW84" s="62">
        <v>5.15</v>
      </c>
      <c r="BX84" s="62">
        <v>1.4</v>
      </c>
      <c r="BY84" s="62">
        <v>0</v>
      </c>
      <c r="BZ84" s="62">
        <v>1.73</v>
      </c>
      <c r="CA84" s="62">
        <v>3.6</v>
      </c>
      <c r="CB84" s="62">
        <v>0.31</v>
      </c>
      <c r="CC84" s="62">
        <v>8.5299999999999994</v>
      </c>
      <c r="CD84" s="62">
        <v>0.25</v>
      </c>
      <c r="CE84" s="62">
        <v>12.85</v>
      </c>
      <c r="CF84" s="62">
        <v>7.39</v>
      </c>
      <c r="CG84" s="62">
        <v>4.63</v>
      </c>
      <c r="CH84" s="62">
        <v>3.2</v>
      </c>
      <c r="CI84" s="62">
        <v>0</v>
      </c>
      <c r="CJ84" s="62">
        <v>5.14</v>
      </c>
      <c r="CK84" s="62">
        <v>3.25</v>
      </c>
      <c r="CL84" s="62">
        <v>2.0699999999999998</v>
      </c>
      <c r="CM84" s="62">
        <v>3.91</v>
      </c>
      <c r="CN84" s="62">
        <v>2.2599999999999998</v>
      </c>
      <c r="CO84" s="62">
        <v>0.19</v>
      </c>
      <c r="CP84" s="62">
        <v>0.3</v>
      </c>
      <c r="CQ84" s="62">
        <v>0.04</v>
      </c>
      <c r="CR84" s="62">
        <v>1.55</v>
      </c>
      <c r="CS84" s="62">
        <v>7.34</v>
      </c>
      <c r="CT84" s="62">
        <v>0</v>
      </c>
      <c r="CU84" s="62">
        <v>3.98</v>
      </c>
      <c r="CV84" s="62">
        <v>1.29</v>
      </c>
      <c r="CW84" s="62">
        <v>1.88</v>
      </c>
      <c r="CX84" s="62">
        <v>6.83</v>
      </c>
      <c r="CY84" s="62">
        <v>8.75</v>
      </c>
      <c r="CZ84" s="62">
        <v>3</v>
      </c>
      <c r="DA84" s="62">
        <v>0.78</v>
      </c>
      <c r="DB84" s="62">
        <v>10.7</v>
      </c>
      <c r="DC84" s="62">
        <v>2.36</v>
      </c>
      <c r="DD84" s="62">
        <v>1.62</v>
      </c>
      <c r="DE84" s="62">
        <v>2.1</v>
      </c>
      <c r="DF84" s="62">
        <v>4.92</v>
      </c>
      <c r="DG84" s="62">
        <v>0.76</v>
      </c>
      <c r="DH84" s="62">
        <v>0</v>
      </c>
      <c r="DI84" s="62">
        <v>6.17</v>
      </c>
      <c r="DJ84" s="62">
        <v>2.79</v>
      </c>
      <c r="DK84" s="62">
        <v>3.45</v>
      </c>
      <c r="DL84" s="62">
        <v>3.78</v>
      </c>
      <c r="DM84" s="62">
        <v>2.0699999999999998</v>
      </c>
      <c r="DN84" s="62">
        <v>2.08</v>
      </c>
      <c r="DO84" s="62">
        <v>0.18</v>
      </c>
      <c r="DP84" s="62">
        <v>5.53</v>
      </c>
    </row>
    <row r="85" spans="1:120" x14ac:dyDescent="0.3">
      <c r="A85" s="64"/>
      <c r="BR85" s="62">
        <v>1.1499999999999999</v>
      </c>
      <c r="BS85" s="62">
        <v>0.36</v>
      </c>
      <c r="BT85" s="62">
        <v>0.02</v>
      </c>
      <c r="BU85" s="62">
        <v>0.55000000000000004</v>
      </c>
      <c r="BV85" s="62">
        <v>0.23</v>
      </c>
      <c r="BW85" s="62">
        <v>5.07</v>
      </c>
      <c r="BX85" s="62">
        <v>1.44</v>
      </c>
      <c r="BY85" s="62">
        <v>0</v>
      </c>
      <c r="BZ85" s="62">
        <v>1.72</v>
      </c>
      <c r="CA85" s="62">
        <v>3.32</v>
      </c>
      <c r="CB85" s="62">
        <v>0.28000000000000003</v>
      </c>
      <c r="CC85" s="62">
        <v>8.5</v>
      </c>
      <c r="CD85" s="62">
        <v>0.23</v>
      </c>
      <c r="CE85" s="62">
        <v>11.76</v>
      </c>
      <c r="CF85" s="62">
        <v>6.7</v>
      </c>
      <c r="CG85" s="62">
        <v>4.47</v>
      </c>
      <c r="CH85" s="62">
        <v>3</v>
      </c>
      <c r="CI85" s="62">
        <v>0</v>
      </c>
      <c r="CJ85" s="62">
        <v>4.5999999999999996</v>
      </c>
      <c r="CK85" s="62">
        <v>3.04</v>
      </c>
      <c r="CL85" s="62">
        <v>2.06</v>
      </c>
      <c r="CM85" s="62">
        <v>3.62</v>
      </c>
      <c r="CN85" s="62">
        <v>2.2999999999999998</v>
      </c>
      <c r="CO85" s="62">
        <v>0.2</v>
      </c>
      <c r="CP85" s="62">
        <v>0.28999999999999998</v>
      </c>
      <c r="CQ85" s="62">
        <v>0.05</v>
      </c>
      <c r="CR85" s="62">
        <v>1.6</v>
      </c>
      <c r="CS85" s="62">
        <v>6.98</v>
      </c>
      <c r="CT85" s="62">
        <v>0</v>
      </c>
      <c r="CU85" s="62">
        <v>4.2699999999999996</v>
      </c>
      <c r="CV85" s="62">
        <v>1.25</v>
      </c>
      <c r="CW85" s="62">
        <v>1.86</v>
      </c>
      <c r="CX85" s="62">
        <v>6.5</v>
      </c>
      <c r="CY85" s="62">
        <v>9.2899999999999991</v>
      </c>
      <c r="CZ85" s="62">
        <v>3.05</v>
      </c>
      <c r="DA85" s="62">
        <v>0.72</v>
      </c>
      <c r="DB85" s="62">
        <v>10.91</v>
      </c>
      <c r="DC85" s="62">
        <v>2.35</v>
      </c>
      <c r="DD85" s="62">
        <v>1.62</v>
      </c>
      <c r="DE85" s="62">
        <v>2.11</v>
      </c>
      <c r="DF85" s="62">
        <v>5</v>
      </c>
      <c r="DG85" s="62">
        <v>0.76</v>
      </c>
      <c r="DH85" s="62">
        <v>0</v>
      </c>
      <c r="DI85" s="62">
        <v>6.08</v>
      </c>
      <c r="DJ85" s="62">
        <v>2.54</v>
      </c>
      <c r="DK85" s="62">
        <v>3.31</v>
      </c>
      <c r="DL85" s="62">
        <v>3.65</v>
      </c>
      <c r="DM85" s="62">
        <v>2.12</v>
      </c>
      <c r="DN85" s="62">
        <v>2.08</v>
      </c>
      <c r="DO85" s="62">
        <v>0.18</v>
      </c>
      <c r="DP85" s="62">
        <v>5.72</v>
      </c>
    </row>
  </sheetData>
  <phoneticPr fontId="1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8425B-6BFB-43FB-8BE0-698EEB215C36}">
  <sheetPr codeName="Sheet3"/>
  <dimension ref="A1:DP85"/>
  <sheetViews>
    <sheetView topLeftCell="A23" workbookViewId="0">
      <selection activeCell="E31" sqref="E31"/>
    </sheetView>
  </sheetViews>
  <sheetFormatPr defaultRowHeight="14.4" x14ac:dyDescent="0.3"/>
  <cols>
    <col min="1" max="1" width="10.5546875" style="63" customWidth="1"/>
    <col min="2" max="16384" width="8.88671875" style="62"/>
  </cols>
  <sheetData>
    <row r="1" spans="1:120" x14ac:dyDescent="0.3">
      <c r="A1" s="63" t="s">
        <v>0</v>
      </c>
      <c r="B1" s="62" t="s">
        <v>9106</v>
      </c>
      <c r="C1" s="62" t="s">
        <v>9107</v>
      </c>
      <c r="D1" s="62" t="s">
        <v>9108</v>
      </c>
      <c r="E1" s="62" t="s">
        <v>9109</v>
      </c>
      <c r="F1" s="62" t="s">
        <v>9110</v>
      </c>
      <c r="G1" s="62" t="s">
        <v>9111</v>
      </c>
      <c r="H1" s="62" t="s">
        <v>9112</v>
      </c>
      <c r="I1" s="62" t="s">
        <v>9113</v>
      </c>
      <c r="J1" s="62" t="s">
        <v>9114</v>
      </c>
      <c r="K1" s="62" t="s">
        <v>9115</v>
      </c>
      <c r="L1" s="62" t="s">
        <v>9116</v>
      </c>
      <c r="M1" s="62" t="s">
        <v>9117</v>
      </c>
      <c r="N1" s="62" t="s">
        <v>9118</v>
      </c>
      <c r="O1" s="62" t="s">
        <v>9119</v>
      </c>
      <c r="P1" s="62" t="s">
        <v>9120</v>
      </c>
      <c r="Q1" s="62" t="s">
        <v>9121</v>
      </c>
      <c r="R1" s="62" t="s">
        <v>9122</v>
      </c>
      <c r="S1" s="62" t="s">
        <v>9123</v>
      </c>
      <c r="T1" s="62" t="s">
        <v>9124</v>
      </c>
      <c r="U1" s="62" t="s">
        <v>9125</v>
      </c>
      <c r="V1" s="62" t="s">
        <v>9126</v>
      </c>
      <c r="W1" s="62" t="s">
        <v>9127</v>
      </c>
      <c r="X1" s="62" t="s">
        <v>9128</v>
      </c>
      <c r="Y1" s="62" t="s">
        <v>9129</v>
      </c>
      <c r="Z1" s="62" t="s">
        <v>9130</v>
      </c>
      <c r="AA1" s="62" t="s">
        <v>9131</v>
      </c>
      <c r="AB1" s="62" t="s">
        <v>9132</v>
      </c>
      <c r="AC1" s="62" t="s">
        <v>9133</v>
      </c>
      <c r="AD1" s="62" t="s">
        <v>9134</v>
      </c>
      <c r="AE1" s="62" t="s">
        <v>9135</v>
      </c>
      <c r="AF1" s="62" t="s">
        <v>9136</v>
      </c>
      <c r="AG1" s="62" t="s">
        <v>9137</v>
      </c>
      <c r="AH1" s="62" t="s">
        <v>9138</v>
      </c>
      <c r="AI1" s="62" t="s">
        <v>9139</v>
      </c>
      <c r="AJ1" s="62" t="s">
        <v>9140</v>
      </c>
      <c r="AK1" s="62" t="s">
        <v>9141</v>
      </c>
      <c r="AL1" s="62" t="s">
        <v>9142</v>
      </c>
      <c r="AM1" s="62" t="s">
        <v>9143</v>
      </c>
      <c r="AN1" s="62" t="s">
        <v>9144</v>
      </c>
      <c r="AO1" s="62" t="s">
        <v>9145</v>
      </c>
      <c r="AP1" s="62" t="s">
        <v>9146</v>
      </c>
      <c r="AQ1" s="62" t="s">
        <v>9147</v>
      </c>
      <c r="AR1" s="62" t="s">
        <v>9148</v>
      </c>
      <c r="AS1" s="62" t="s">
        <v>9149</v>
      </c>
      <c r="AT1" s="62" t="s">
        <v>9150</v>
      </c>
      <c r="AU1" s="62" t="s">
        <v>9151</v>
      </c>
      <c r="AV1" s="62" t="s">
        <v>9152</v>
      </c>
      <c r="AW1" s="62" t="s">
        <v>9153</v>
      </c>
      <c r="AX1" s="62" t="s">
        <v>9154</v>
      </c>
      <c r="AY1" s="62" t="s">
        <v>9155</v>
      </c>
      <c r="AZ1" s="62" t="s">
        <v>9156</v>
      </c>
      <c r="BA1" s="62" t="s">
        <v>9157</v>
      </c>
      <c r="BB1" s="62" t="s">
        <v>9158</v>
      </c>
      <c r="BC1" s="62" t="s">
        <v>9159</v>
      </c>
      <c r="BD1" s="62" t="s">
        <v>9160</v>
      </c>
      <c r="BE1" s="62" t="s">
        <v>9161</v>
      </c>
      <c r="BF1" s="62" t="s">
        <v>9162</v>
      </c>
      <c r="BG1" s="62" t="s">
        <v>9163</v>
      </c>
      <c r="BH1" s="62" t="s">
        <v>9164</v>
      </c>
      <c r="BI1" s="62" t="s">
        <v>9165</v>
      </c>
      <c r="BJ1" s="62" t="s">
        <v>9166</v>
      </c>
      <c r="BK1" s="62" t="s">
        <v>9167</v>
      </c>
      <c r="BL1" s="62" t="s">
        <v>9168</v>
      </c>
      <c r="BM1" s="62" t="s">
        <v>9169</v>
      </c>
      <c r="BN1" s="62" t="s">
        <v>9170</v>
      </c>
      <c r="BO1" s="62" t="s">
        <v>9171</v>
      </c>
      <c r="BP1" s="62" t="s">
        <v>9172</v>
      </c>
      <c r="BQ1" s="62" t="s">
        <v>9173</v>
      </c>
      <c r="BR1" s="62" t="s">
        <v>9174</v>
      </c>
      <c r="BS1" s="62" t="s">
        <v>9175</v>
      </c>
      <c r="BT1" s="62" t="s">
        <v>9176</v>
      </c>
      <c r="BU1" s="62" t="s">
        <v>9177</v>
      </c>
      <c r="BV1" s="62" t="s">
        <v>9178</v>
      </c>
      <c r="BW1" s="62" t="s">
        <v>9179</v>
      </c>
      <c r="BX1" s="62" t="s">
        <v>9180</v>
      </c>
      <c r="BY1" s="62" t="s">
        <v>9181</v>
      </c>
      <c r="BZ1" s="62" t="s">
        <v>9182</v>
      </c>
      <c r="CA1" s="62" t="s">
        <v>9183</v>
      </c>
      <c r="CB1" s="62" t="s">
        <v>9184</v>
      </c>
      <c r="CC1" s="62" t="s">
        <v>9185</v>
      </c>
      <c r="CD1" s="62" t="s">
        <v>9186</v>
      </c>
      <c r="CE1" s="62" t="s">
        <v>9187</v>
      </c>
      <c r="CF1" s="62" t="s">
        <v>9188</v>
      </c>
      <c r="CG1" s="62" t="s">
        <v>9189</v>
      </c>
      <c r="CH1" s="62" t="s">
        <v>9190</v>
      </c>
      <c r="CI1" s="62" t="s">
        <v>9191</v>
      </c>
      <c r="CJ1" s="62" t="s">
        <v>9192</v>
      </c>
      <c r="CK1" s="62" t="s">
        <v>9193</v>
      </c>
      <c r="CL1" s="62" t="s">
        <v>9194</v>
      </c>
      <c r="CM1" s="62" t="s">
        <v>9195</v>
      </c>
      <c r="CN1" s="62" t="s">
        <v>9196</v>
      </c>
      <c r="CO1" s="62" t="s">
        <v>9197</v>
      </c>
      <c r="CP1" s="62" t="s">
        <v>9198</v>
      </c>
      <c r="CQ1" s="62" t="s">
        <v>9199</v>
      </c>
      <c r="CR1" s="62" t="s">
        <v>9200</v>
      </c>
      <c r="CS1" s="62" t="s">
        <v>9201</v>
      </c>
      <c r="CT1" s="62" t="s">
        <v>9202</v>
      </c>
      <c r="CU1" s="62" t="s">
        <v>9203</v>
      </c>
      <c r="CV1" s="62" t="s">
        <v>9204</v>
      </c>
      <c r="CW1" s="62" t="s">
        <v>9205</v>
      </c>
      <c r="CX1" s="62" t="s">
        <v>9206</v>
      </c>
      <c r="CY1" s="62" t="s">
        <v>9207</v>
      </c>
      <c r="CZ1" s="62" t="s">
        <v>9208</v>
      </c>
      <c r="DA1" s="62" t="s">
        <v>9209</v>
      </c>
      <c r="DB1" s="62" t="s">
        <v>9210</v>
      </c>
      <c r="DC1" s="62" t="s">
        <v>9211</v>
      </c>
      <c r="DD1" s="62" t="s">
        <v>9212</v>
      </c>
      <c r="DE1" s="62" t="s">
        <v>9213</v>
      </c>
      <c r="DF1" s="62" t="s">
        <v>9214</v>
      </c>
      <c r="DG1" s="62" t="s">
        <v>9215</v>
      </c>
      <c r="DH1" s="62" t="s">
        <v>9216</v>
      </c>
      <c r="DI1" s="62" t="s">
        <v>9217</v>
      </c>
      <c r="DJ1" s="62" t="s">
        <v>9218</v>
      </c>
      <c r="DK1" s="62" t="s">
        <v>9219</v>
      </c>
      <c r="DL1" s="62" t="s">
        <v>9220</v>
      </c>
      <c r="DM1" s="62" t="s">
        <v>9221</v>
      </c>
      <c r="DN1" s="62" t="s">
        <v>9222</v>
      </c>
      <c r="DO1" s="62" t="s">
        <v>9223</v>
      </c>
      <c r="DP1" s="62" t="s">
        <v>9224</v>
      </c>
    </row>
    <row r="2" spans="1:120" x14ac:dyDescent="0.3">
      <c r="A2" s="64" t="s">
        <v>9022</v>
      </c>
      <c r="B2" s="62">
        <v>0.79</v>
      </c>
      <c r="C2" s="62">
        <v>6.76</v>
      </c>
      <c r="E2" s="62">
        <v>0.59</v>
      </c>
      <c r="F2" s="62">
        <v>-0.89</v>
      </c>
      <c r="G2" s="62">
        <v>0.72</v>
      </c>
      <c r="H2" s="62">
        <v>0.9</v>
      </c>
      <c r="J2" s="62">
        <v>0.92</v>
      </c>
      <c r="K2" s="62">
        <v>1.35</v>
      </c>
      <c r="L2" s="62">
        <v>0.9</v>
      </c>
      <c r="M2" s="62">
        <v>2.61</v>
      </c>
      <c r="N2" s="62">
        <v>0.87</v>
      </c>
      <c r="O2" s="62">
        <v>-0.7</v>
      </c>
      <c r="P2" s="62">
        <v>-42.67</v>
      </c>
      <c r="Q2" s="62">
        <v>2.04</v>
      </c>
      <c r="R2" s="62">
        <v>7.06</v>
      </c>
      <c r="S2" s="62">
        <v>1.45</v>
      </c>
      <c r="T2" s="62">
        <v>0.76</v>
      </c>
      <c r="U2" s="62">
        <v>2.2799999999999998</v>
      </c>
      <c r="V2" s="62">
        <v>0.7</v>
      </c>
      <c r="W2" s="62">
        <v>0.9</v>
      </c>
      <c r="X2" s="62">
        <v>1.1100000000000001</v>
      </c>
      <c r="Y2" s="62">
        <v>-0.42</v>
      </c>
      <c r="Z2" s="62">
        <v>0.2</v>
      </c>
      <c r="AA2" s="62">
        <v>1.1000000000000001</v>
      </c>
      <c r="AB2" s="62">
        <v>1.64</v>
      </c>
      <c r="AE2" s="62">
        <v>1.22</v>
      </c>
      <c r="AF2" s="62">
        <v>3.83</v>
      </c>
      <c r="AG2" s="62">
        <v>1.17</v>
      </c>
      <c r="AH2" s="62">
        <v>0.91</v>
      </c>
      <c r="AJ2" s="62">
        <v>3.27</v>
      </c>
      <c r="AK2" s="62">
        <v>1.59</v>
      </c>
      <c r="AN2" s="62">
        <v>0.32</v>
      </c>
      <c r="AQ2" s="62">
        <v>1.06</v>
      </c>
      <c r="AR2" s="62">
        <v>1.52</v>
      </c>
      <c r="AS2" s="62">
        <v>3.14</v>
      </c>
      <c r="AT2" s="62">
        <v>0.51</v>
      </c>
      <c r="AV2" s="62">
        <v>1.03</v>
      </c>
      <c r="AX2" s="62">
        <v>1.81</v>
      </c>
      <c r="AY2" s="62">
        <v>0.92</v>
      </c>
      <c r="AZ2" s="62">
        <v>0.75</v>
      </c>
      <c r="BA2" s="62">
        <v>2.8</v>
      </c>
      <c r="BC2" s="62">
        <v>0.83</v>
      </c>
      <c r="BD2" s="62">
        <v>0.49</v>
      </c>
      <c r="BE2" s="62">
        <v>0.85</v>
      </c>
      <c r="BH2" s="62">
        <v>0.75</v>
      </c>
      <c r="BJ2" s="62">
        <v>0.31</v>
      </c>
      <c r="BL2" s="62">
        <v>0.81</v>
      </c>
      <c r="BN2" s="62">
        <v>0.8</v>
      </c>
      <c r="BO2" s="62">
        <v>0.57999999999999996</v>
      </c>
      <c r="BQ2" s="62">
        <v>5.44</v>
      </c>
      <c r="BS2" s="62">
        <v>2.95</v>
      </c>
      <c r="BT2" s="62">
        <v>4.08</v>
      </c>
      <c r="BU2" s="62">
        <v>0.5</v>
      </c>
      <c r="BV2" s="62">
        <v>-6.74</v>
      </c>
      <c r="BW2" s="62">
        <v>1.82</v>
      </c>
      <c r="BX2" s="62">
        <v>0.93</v>
      </c>
      <c r="BY2" s="62">
        <v>-1.87</v>
      </c>
      <c r="BZ2" s="62">
        <v>1.02</v>
      </c>
      <c r="CB2" s="62">
        <v>0.45</v>
      </c>
      <c r="CC2" s="62">
        <v>3.39</v>
      </c>
      <c r="CD2" s="62">
        <v>0.52</v>
      </c>
      <c r="CE2" s="62">
        <v>2.08</v>
      </c>
      <c r="CF2" s="62">
        <v>0.69</v>
      </c>
      <c r="CH2" s="62">
        <v>1.58</v>
      </c>
      <c r="CI2" s="62">
        <v>5.39</v>
      </c>
      <c r="CJ2" s="62">
        <v>0.23</v>
      </c>
      <c r="CL2" s="62">
        <v>2.16</v>
      </c>
      <c r="CM2" s="62">
        <v>2.46</v>
      </c>
      <c r="CN2" s="62">
        <v>1.66</v>
      </c>
      <c r="CO2" s="62">
        <v>1.89</v>
      </c>
      <c r="CP2" s="62">
        <v>0.54</v>
      </c>
      <c r="CR2" s="62">
        <v>3.81</v>
      </c>
      <c r="CS2" s="62">
        <v>3.03</v>
      </c>
      <c r="CU2" s="62">
        <v>2.37</v>
      </c>
      <c r="CV2" s="62">
        <v>1.22</v>
      </c>
      <c r="CW2" s="62">
        <v>0.81</v>
      </c>
      <c r="CX2" s="62">
        <v>1.1599999999999999</v>
      </c>
      <c r="CZ2" s="62">
        <v>0.76</v>
      </c>
      <c r="DA2" s="62">
        <v>1.8</v>
      </c>
      <c r="DB2" s="62">
        <v>3.89</v>
      </c>
      <c r="DC2" s="62">
        <v>1.37</v>
      </c>
      <c r="DD2" s="62">
        <v>1.52</v>
      </c>
      <c r="DF2" s="62">
        <v>0.37</v>
      </c>
      <c r="DG2" s="62">
        <v>0.83</v>
      </c>
      <c r="DH2" s="62">
        <v>-11.11</v>
      </c>
      <c r="DJ2" s="62">
        <v>0.54</v>
      </c>
      <c r="DK2" s="62">
        <v>1.1499999999999999</v>
      </c>
      <c r="DM2" s="62">
        <v>1.1200000000000001</v>
      </c>
      <c r="DN2" s="62">
        <v>2.94</v>
      </c>
      <c r="DO2" s="62">
        <v>2.3199999999999998</v>
      </c>
    </row>
    <row r="3" spans="1:120" x14ac:dyDescent="0.3">
      <c r="A3" s="64" t="s">
        <v>9023</v>
      </c>
      <c r="B3" s="62">
        <v>0.78</v>
      </c>
      <c r="C3" s="62">
        <v>6.76</v>
      </c>
      <c r="E3" s="62">
        <v>0.6</v>
      </c>
      <c r="F3" s="62">
        <v>-1.06</v>
      </c>
      <c r="G3" s="62">
        <v>0.72</v>
      </c>
      <c r="H3" s="62">
        <v>0.94</v>
      </c>
      <c r="J3" s="62">
        <v>0.93</v>
      </c>
      <c r="K3" s="62">
        <v>1.33</v>
      </c>
      <c r="L3" s="62">
        <v>0.87</v>
      </c>
      <c r="M3" s="62">
        <v>2.67</v>
      </c>
      <c r="N3" s="62">
        <v>0.87</v>
      </c>
      <c r="O3" s="62">
        <v>-0.14000000000000001</v>
      </c>
      <c r="P3" s="62">
        <v>-53.33</v>
      </c>
      <c r="Q3" s="62">
        <v>2.36</v>
      </c>
      <c r="R3" s="62">
        <v>7.46</v>
      </c>
      <c r="S3" s="62">
        <v>1.77</v>
      </c>
      <c r="T3" s="62">
        <v>0.81</v>
      </c>
      <c r="U3" s="62">
        <v>2.4</v>
      </c>
      <c r="V3" s="62">
        <v>0.76</v>
      </c>
      <c r="W3" s="62">
        <v>1</v>
      </c>
      <c r="X3" s="62">
        <v>1.01</v>
      </c>
      <c r="Y3" s="62">
        <v>-0.42</v>
      </c>
      <c r="Z3" s="62">
        <v>0.81</v>
      </c>
      <c r="AA3" s="62">
        <v>1.23</v>
      </c>
      <c r="AB3" s="62">
        <v>1.78</v>
      </c>
      <c r="AE3" s="62">
        <v>1.22</v>
      </c>
      <c r="AF3" s="62">
        <v>3.25</v>
      </c>
      <c r="AG3" s="62">
        <v>1.23</v>
      </c>
      <c r="AH3" s="62">
        <v>0.82</v>
      </c>
      <c r="AJ3" s="62">
        <v>3.32</v>
      </c>
      <c r="AK3" s="62">
        <v>1.73</v>
      </c>
      <c r="AL3" s="62">
        <v>1.51</v>
      </c>
      <c r="AN3" s="62">
        <v>0.28000000000000003</v>
      </c>
      <c r="AQ3" s="62">
        <v>1.08</v>
      </c>
      <c r="AR3" s="62">
        <v>1.44</v>
      </c>
      <c r="AS3" s="62">
        <v>3.3</v>
      </c>
      <c r="AT3" s="62">
        <v>0.5</v>
      </c>
      <c r="AV3" s="62">
        <v>1.02</v>
      </c>
      <c r="AX3" s="62">
        <v>1.48</v>
      </c>
      <c r="AY3" s="62">
        <v>0.96</v>
      </c>
      <c r="AZ3" s="62">
        <v>0.76</v>
      </c>
      <c r="BA3" s="62">
        <v>2.76</v>
      </c>
      <c r="BC3" s="62">
        <v>0.83</v>
      </c>
      <c r="BD3" s="62">
        <v>0.49</v>
      </c>
      <c r="BE3" s="62">
        <v>0.94</v>
      </c>
      <c r="BH3" s="62">
        <v>0.76</v>
      </c>
      <c r="BJ3" s="62">
        <v>0.32</v>
      </c>
      <c r="BL3" s="62">
        <v>0.59</v>
      </c>
      <c r="BN3" s="62">
        <v>0.82</v>
      </c>
      <c r="BO3" s="62">
        <v>0.57999999999999996</v>
      </c>
      <c r="BQ3" s="62">
        <v>6.38</v>
      </c>
      <c r="BS3" s="62">
        <v>3.11</v>
      </c>
      <c r="BT3" s="62">
        <v>3.06</v>
      </c>
      <c r="BU3" s="62">
        <v>0.5</v>
      </c>
      <c r="BV3" s="62">
        <v>-6.74</v>
      </c>
      <c r="BW3" s="62">
        <v>1.9</v>
      </c>
      <c r="BX3" s="62">
        <v>0.98</v>
      </c>
      <c r="BY3" s="62">
        <v>-1.87</v>
      </c>
      <c r="BZ3" s="62">
        <v>1.02</v>
      </c>
      <c r="CB3" s="62">
        <v>0.63</v>
      </c>
      <c r="CC3" s="62">
        <v>3.19</v>
      </c>
      <c r="CD3" s="62">
        <v>0.65</v>
      </c>
      <c r="CE3" s="62">
        <v>2.1800000000000002</v>
      </c>
      <c r="CF3" s="62">
        <v>0.69</v>
      </c>
      <c r="CH3" s="62">
        <v>1.6</v>
      </c>
      <c r="CI3" s="62">
        <v>5.77</v>
      </c>
      <c r="CJ3" s="62">
        <v>0.23</v>
      </c>
      <c r="CL3" s="62">
        <v>2.16</v>
      </c>
      <c r="CM3" s="62">
        <v>2.5099999999999998</v>
      </c>
      <c r="CN3" s="62">
        <v>1.65</v>
      </c>
      <c r="CO3" s="62">
        <v>1.63</v>
      </c>
      <c r="CP3" s="62">
        <v>0.6</v>
      </c>
      <c r="CR3" s="62">
        <v>3.81</v>
      </c>
      <c r="CS3" s="62">
        <v>3.11</v>
      </c>
      <c r="CU3" s="62">
        <v>2.4700000000000002</v>
      </c>
      <c r="CV3" s="62">
        <v>1.3</v>
      </c>
      <c r="CW3" s="62">
        <v>0.84</v>
      </c>
      <c r="CX3" s="62">
        <v>1.23</v>
      </c>
      <c r="CZ3" s="62">
        <v>0.76</v>
      </c>
      <c r="DA3" s="62">
        <v>1.81</v>
      </c>
      <c r="DB3" s="62">
        <v>4.05</v>
      </c>
      <c r="DC3" s="62">
        <v>1.37</v>
      </c>
      <c r="DD3" s="62">
        <v>1.52</v>
      </c>
      <c r="DF3" s="62">
        <v>0.37</v>
      </c>
      <c r="DG3" s="62">
        <v>0.75</v>
      </c>
      <c r="DH3" s="62">
        <v>-11.11</v>
      </c>
      <c r="DJ3" s="62">
        <v>0.56000000000000005</v>
      </c>
      <c r="DK3" s="62">
        <v>1.24</v>
      </c>
      <c r="DM3" s="62">
        <v>1.18</v>
      </c>
      <c r="DN3" s="62">
        <v>2.97</v>
      </c>
      <c r="DO3" s="62">
        <v>2.3199999999999998</v>
      </c>
    </row>
    <row r="4" spans="1:120" x14ac:dyDescent="0.3">
      <c r="A4" s="64" t="s">
        <v>9024</v>
      </c>
      <c r="B4" s="62">
        <v>0.8</v>
      </c>
      <c r="C4" s="62">
        <v>9.52</v>
      </c>
      <c r="E4" s="62">
        <v>0.56000000000000005</v>
      </c>
      <c r="F4" s="62">
        <v>-1</v>
      </c>
      <c r="G4" s="62">
        <v>0.5</v>
      </c>
      <c r="H4" s="62">
        <v>0.97</v>
      </c>
      <c r="J4" s="62">
        <v>1.04</v>
      </c>
      <c r="K4" s="62">
        <v>1.29</v>
      </c>
      <c r="L4" s="62">
        <v>0.88</v>
      </c>
      <c r="M4" s="62">
        <v>3.09</v>
      </c>
      <c r="N4" s="62">
        <v>0.88</v>
      </c>
      <c r="O4" s="62">
        <v>-0.14000000000000001</v>
      </c>
      <c r="P4" s="62">
        <v>-56</v>
      </c>
      <c r="Q4" s="62">
        <v>2.4900000000000002</v>
      </c>
      <c r="R4" s="62">
        <v>11.99</v>
      </c>
      <c r="S4" s="62">
        <v>1.58</v>
      </c>
      <c r="T4" s="62">
        <v>0.81</v>
      </c>
      <c r="U4" s="62">
        <v>2.41</v>
      </c>
      <c r="V4" s="62">
        <v>0.8</v>
      </c>
      <c r="W4" s="62">
        <v>0.94</v>
      </c>
      <c r="X4" s="62">
        <v>1.02</v>
      </c>
      <c r="Y4" s="62">
        <v>-0.46</v>
      </c>
      <c r="Z4" s="62">
        <v>0.81</v>
      </c>
      <c r="AA4" s="62">
        <v>1.28</v>
      </c>
      <c r="AB4" s="62">
        <v>1.72</v>
      </c>
      <c r="AE4" s="62">
        <v>1.37</v>
      </c>
      <c r="AF4" s="62">
        <v>3.22</v>
      </c>
      <c r="AG4" s="62">
        <v>1.26</v>
      </c>
      <c r="AH4" s="62">
        <v>0.78</v>
      </c>
      <c r="AJ4" s="62">
        <v>3.42</v>
      </c>
      <c r="AK4" s="62">
        <v>1.73</v>
      </c>
      <c r="AL4" s="62">
        <v>1.23</v>
      </c>
      <c r="AN4" s="62">
        <v>0.53</v>
      </c>
      <c r="AQ4" s="62">
        <v>1.08</v>
      </c>
      <c r="AR4" s="62">
        <v>1.41</v>
      </c>
      <c r="AS4" s="62">
        <v>3.44</v>
      </c>
      <c r="AT4" s="62">
        <v>0.46</v>
      </c>
      <c r="AV4" s="62">
        <v>1.02</v>
      </c>
      <c r="AX4" s="62">
        <v>2.31</v>
      </c>
      <c r="AY4" s="62">
        <v>0.93</v>
      </c>
      <c r="AZ4" s="62">
        <v>0.78</v>
      </c>
      <c r="BA4" s="62">
        <v>2.69</v>
      </c>
      <c r="BC4" s="62">
        <v>0.9</v>
      </c>
      <c r="BD4" s="62">
        <v>0.55000000000000004</v>
      </c>
      <c r="BE4" s="62">
        <v>0.94</v>
      </c>
      <c r="BH4" s="62">
        <v>0.78</v>
      </c>
      <c r="BJ4" s="62">
        <v>0.32</v>
      </c>
      <c r="BL4" s="62">
        <v>0.55000000000000004</v>
      </c>
      <c r="BN4" s="62">
        <v>0.83</v>
      </c>
      <c r="BO4" s="62">
        <v>0.65</v>
      </c>
      <c r="BQ4" s="62">
        <v>6.46</v>
      </c>
      <c r="BS4" s="62">
        <v>3.11</v>
      </c>
      <c r="BT4" s="62">
        <v>2.81</v>
      </c>
      <c r="BU4" s="62">
        <v>0.51</v>
      </c>
      <c r="BV4" s="62">
        <v>-6.74</v>
      </c>
      <c r="BW4" s="62">
        <v>2.0099999999999998</v>
      </c>
      <c r="BX4" s="62">
        <v>1</v>
      </c>
      <c r="BY4" s="62">
        <v>-3.12</v>
      </c>
      <c r="BZ4" s="62">
        <v>1.02</v>
      </c>
      <c r="CB4" s="62">
        <v>0.59</v>
      </c>
      <c r="CC4" s="62">
        <v>3.18</v>
      </c>
      <c r="CD4" s="62">
        <v>0.56999999999999995</v>
      </c>
      <c r="CE4" s="62">
        <v>2.19</v>
      </c>
      <c r="CF4" s="62">
        <v>0.72</v>
      </c>
      <c r="CH4" s="62">
        <v>1.8</v>
      </c>
      <c r="CI4" s="62">
        <v>5</v>
      </c>
      <c r="CJ4" s="62">
        <v>0.26</v>
      </c>
      <c r="CL4" s="62">
        <v>2.2999999999999998</v>
      </c>
      <c r="CM4" s="62">
        <v>2.72</v>
      </c>
      <c r="CN4" s="62">
        <v>1.57</v>
      </c>
      <c r="CO4" s="62">
        <v>1.49</v>
      </c>
      <c r="CP4" s="62">
        <v>0.61</v>
      </c>
      <c r="CR4" s="62">
        <v>3.49</v>
      </c>
      <c r="CS4" s="62">
        <v>3.15</v>
      </c>
      <c r="CU4" s="62">
        <v>2.4700000000000002</v>
      </c>
      <c r="CV4" s="62">
        <v>1.29</v>
      </c>
      <c r="CW4" s="62">
        <v>0.85</v>
      </c>
      <c r="CX4" s="62">
        <v>1.26</v>
      </c>
      <c r="CZ4" s="62">
        <v>0.77</v>
      </c>
      <c r="DA4" s="62">
        <v>1.91</v>
      </c>
      <c r="DB4" s="62">
        <v>5.99</v>
      </c>
      <c r="DC4" s="62">
        <v>1.55</v>
      </c>
      <c r="DD4" s="62">
        <v>1.52</v>
      </c>
      <c r="DF4" s="62">
        <v>0.4</v>
      </c>
      <c r="DG4" s="62">
        <v>0.84</v>
      </c>
      <c r="DH4" s="62">
        <v>-11.11</v>
      </c>
      <c r="DJ4" s="62">
        <v>0.56000000000000005</v>
      </c>
      <c r="DK4" s="62">
        <v>1.21</v>
      </c>
      <c r="DM4" s="62">
        <v>1.1599999999999999</v>
      </c>
      <c r="DN4" s="62">
        <v>2.46</v>
      </c>
      <c r="DO4" s="62">
        <v>2.21</v>
      </c>
    </row>
    <row r="5" spans="1:120" x14ac:dyDescent="0.3">
      <c r="A5" s="64" t="s">
        <v>9025</v>
      </c>
      <c r="B5" s="62">
        <v>0.75</v>
      </c>
      <c r="C5" s="62">
        <v>-3.52</v>
      </c>
      <c r="E5" s="62">
        <v>0.56000000000000005</v>
      </c>
      <c r="F5" s="62">
        <v>-1.2</v>
      </c>
      <c r="G5" s="62">
        <v>0.77</v>
      </c>
      <c r="H5" s="62">
        <v>0.95</v>
      </c>
      <c r="J5" s="62">
        <v>0.8</v>
      </c>
      <c r="K5" s="62">
        <v>1.3</v>
      </c>
      <c r="L5" s="62">
        <v>0.87</v>
      </c>
      <c r="M5" s="62">
        <v>2.99</v>
      </c>
      <c r="N5" s="62">
        <v>0.88</v>
      </c>
      <c r="O5" s="62">
        <v>-0.04</v>
      </c>
      <c r="P5" s="62">
        <v>4.03</v>
      </c>
      <c r="Q5" s="62">
        <v>2.5099999999999998</v>
      </c>
      <c r="R5" s="62">
        <v>6.54</v>
      </c>
      <c r="S5" s="62">
        <v>1.58</v>
      </c>
      <c r="T5" s="62">
        <v>0.87</v>
      </c>
      <c r="U5" s="62">
        <v>2.64</v>
      </c>
      <c r="V5" s="62">
        <v>0.83</v>
      </c>
      <c r="W5" s="62">
        <v>0.94</v>
      </c>
      <c r="X5" s="62">
        <v>0.98</v>
      </c>
      <c r="Y5" s="62">
        <v>-0.68</v>
      </c>
      <c r="Z5" s="62">
        <v>0.81</v>
      </c>
      <c r="AA5" s="62">
        <v>1.29</v>
      </c>
      <c r="AB5" s="62">
        <v>1.81</v>
      </c>
      <c r="AE5" s="62">
        <v>1.1599999999999999</v>
      </c>
      <c r="AF5" s="62">
        <v>3.26</v>
      </c>
      <c r="AG5" s="62">
        <v>1.26</v>
      </c>
      <c r="AH5" s="62">
        <v>0.78</v>
      </c>
      <c r="AJ5" s="62">
        <v>3.49</v>
      </c>
      <c r="AK5" s="62">
        <v>1.58</v>
      </c>
      <c r="AL5" s="62">
        <v>1.17</v>
      </c>
      <c r="AN5" s="62">
        <v>0.56999999999999995</v>
      </c>
      <c r="AQ5" s="62">
        <v>1.04</v>
      </c>
      <c r="AR5" s="62">
        <v>1.26</v>
      </c>
      <c r="AS5" s="62">
        <v>3.62</v>
      </c>
      <c r="AT5" s="62">
        <v>0.5</v>
      </c>
      <c r="AV5" s="62">
        <v>1.1000000000000001</v>
      </c>
      <c r="AX5" s="62">
        <v>1.56</v>
      </c>
      <c r="AY5" s="62">
        <v>0.94</v>
      </c>
      <c r="AZ5" s="62">
        <v>0.78</v>
      </c>
      <c r="BA5" s="62">
        <v>2.4500000000000002</v>
      </c>
      <c r="BC5" s="62">
        <v>0.89</v>
      </c>
      <c r="BD5" s="62">
        <v>0.62</v>
      </c>
      <c r="BE5" s="62">
        <v>1.52</v>
      </c>
      <c r="BH5" s="62">
        <v>0.8</v>
      </c>
      <c r="BJ5" s="62">
        <v>0.33</v>
      </c>
      <c r="BL5" s="62">
        <v>0.89</v>
      </c>
      <c r="BN5" s="62">
        <v>0.87</v>
      </c>
      <c r="BO5" s="62">
        <v>0.71</v>
      </c>
      <c r="BQ5" s="62">
        <v>6.74</v>
      </c>
      <c r="BS5" s="62">
        <v>5.25</v>
      </c>
      <c r="BT5" s="62">
        <v>3.14</v>
      </c>
      <c r="BU5" s="62">
        <v>0.51</v>
      </c>
      <c r="BV5" s="62">
        <v>81.08</v>
      </c>
      <c r="BW5" s="62">
        <v>1.98</v>
      </c>
      <c r="BX5" s="62">
        <v>1.06</v>
      </c>
      <c r="BY5" s="62">
        <v>-3.43</v>
      </c>
      <c r="BZ5" s="62">
        <v>1.01</v>
      </c>
      <c r="CB5" s="62">
        <v>0.62</v>
      </c>
      <c r="CC5" s="62">
        <v>3.02</v>
      </c>
      <c r="CD5" s="62">
        <v>0.52</v>
      </c>
      <c r="CE5" s="62">
        <v>2.11</v>
      </c>
      <c r="CF5" s="62">
        <v>0.7</v>
      </c>
      <c r="CH5" s="62">
        <v>1.74</v>
      </c>
      <c r="CI5" s="62">
        <v>1.53</v>
      </c>
      <c r="CJ5" s="62">
        <v>0.45</v>
      </c>
      <c r="CL5" s="62">
        <v>2.27</v>
      </c>
      <c r="CM5" s="62">
        <v>2.74</v>
      </c>
      <c r="CN5" s="62">
        <v>1.63</v>
      </c>
      <c r="CO5" s="62">
        <v>4.12</v>
      </c>
      <c r="CP5" s="62">
        <v>0.63</v>
      </c>
      <c r="CR5" s="62">
        <v>3.27</v>
      </c>
      <c r="CS5" s="62">
        <v>3.15</v>
      </c>
      <c r="CU5" s="62">
        <v>2.81</v>
      </c>
      <c r="CV5" s="62">
        <v>1.33</v>
      </c>
      <c r="CW5" s="62">
        <v>0.83</v>
      </c>
      <c r="CX5" s="62">
        <v>1.31</v>
      </c>
      <c r="CZ5" s="62">
        <v>0.73</v>
      </c>
      <c r="DA5" s="62">
        <v>1.98</v>
      </c>
      <c r="DB5" s="62">
        <v>6.48</v>
      </c>
      <c r="DC5" s="62">
        <v>1.38</v>
      </c>
      <c r="DD5" s="62">
        <v>1.48</v>
      </c>
      <c r="DF5" s="62">
        <v>0.38</v>
      </c>
      <c r="DG5" s="62">
        <v>0.9</v>
      </c>
      <c r="DH5" s="62">
        <v>-8.33</v>
      </c>
      <c r="DJ5" s="62">
        <v>0.51</v>
      </c>
      <c r="DK5" s="62">
        <v>1.21</v>
      </c>
      <c r="DM5" s="62">
        <v>1.22</v>
      </c>
      <c r="DN5" s="62">
        <v>2.75</v>
      </c>
      <c r="DO5" s="62">
        <v>2.21</v>
      </c>
    </row>
    <row r="6" spans="1:120" x14ac:dyDescent="0.3">
      <c r="A6" s="64" t="s">
        <v>9026</v>
      </c>
      <c r="B6" s="62">
        <v>0.78</v>
      </c>
      <c r="C6" s="62">
        <v>-4.2300000000000004</v>
      </c>
      <c r="E6" s="62">
        <v>0.56999999999999995</v>
      </c>
      <c r="F6" s="62">
        <v>-1.1200000000000001</v>
      </c>
      <c r="G6" s="62">
        <v>0.88</v>
      </c>
      <c r="H6" s="62">
        <v>0.96</v>
      </c>
      <c r="J6" s="62">
        <v>0.79</v>
      </c>
      <c r="K6" s="62">
        <v>1.36</v>
      </c>
      <c r="L6" s="62">
        <v>0.89</v>
      </c>
      <c r="M6" s="62">
        <v>3.09</v>
      </c>
      <c r="N6" s="62">
        <v>0.85</v>
      </c>
      <c r="O6" s="62">
        <v>-0.04</v>
      </c>
      <c r="P6" s="62">
        <v>3.45</v>
      </c>
      <c r="Q6" s="62">
        <v>2.56</v>
      </c>
      <c r="R6" s="62">
        <v>7.31</v>
      </c>
      <c r="S6" s="62">
        <v>1.35</v>
      </c>
      <c r="T6" s="62">
        <v>0.93</v>
      </c>
      <c r="U6" s="62">
        <v>2.58</v>
      </c>
      <c r="V6" s="62">
        <v>0.81</v>
      </c>
      <c r="W6" s="62">
        <v>1.02</v>
      </c>
      <c r="X6" s="62">
        <v>1.02</v>
      </c>
      <c r="Y6" s="62">
        <v>-0.62</v>
      </c>
      <c r="Z6" s="62">
        <v>0.61</v>
      </c>
      <c r="AA6" s="62">
        <v>1.28</v>
      </c>
      <c r="AB6" s="62">
        <v>1.9</v>
      </c>
      <c r="AE6" s="62">
        <v>1.1599999999999999</v>
      </c>
      <c r="AF6" s="62">
        <v>3.22</v>
      </c>
      <c r="AG6" s="62">
        <v>1.21</v>
      </c>
      <c r="AH6" s="62">
        <v>0.78</v>
      </c>
      <c r="AJ6" s="62">
        <v>3.68</v>
      </c>
      <c r="AK6" s="62">
        <v>1.49</v>
      </c>
      <c r="AL6" s="62">
        <v>0.74</v>
      </c>
      <c r="AN6" s="62">
        <v>0.56999999999999995</v>
      </c>
      <c r="AQ6" s="62">
        <v>1.06</v>
      </c>
      <c r="AR6" s="62">
        <v>1.31</v>
      </c>
      <c r="AS6" s="62">
        <v>3.54</v>
      </c>
      <c r="AT6" s="62">
        <v>0.61</v>
      </c>
      <c r="AV6" s="62">
        <v>1.1000000000000001</v>
      </c>
      <c r="AX6" s="62">
        <v>1.73</v>
      </c>
      <c r="AY6" s="62">
        <v>0.95</v>
      </c>
      <c r="AZ6" s="62">
        <v>0.79</v>
      </c>
      <c r="BA6" s="62">
        <v>2.5099999999999998</v>
      </c>
      <c r="BC6" s="62">
        <v>0.91</v>
      </c>
      <c r="BD6" s="62">
        <v>0.66</v>
      </c>
      <c r="BE6" s="62">
        <v>1.95</v>
      </c>
      <c r="BH6" s="62">
        <v>0.74</v>
      </c>
      <c r="BJ6" s="62">
        <v>0.33</v>
      </c>
      <c r="BL6" s="62">
        <v>0.8</v>
      </c>
      <c r="BN6" s="62">
        <v>0.88</v>
      </c>
      <c r="BO6" s="62">
        <v>0.71</v>
      </c>
      <c r="BQ6" s="62">
        <v>6.7</v>
      </c>
      <c r="BS6" s="62">
        <v>4.75</v>
      </c>
      <c r="BT6" s="62">
        <v>3.33</v>
      </c>
      <c r="BU6" s="62">
        <v>0.49</v>
      </c>
      <c r="BV6" s="62">
        <v>81.08</v>
      </c>
      <c r="BW6" s="62">
        <v>2.1</v>
      </c>
      <c r="BX6" s="62">
        <v>1.1100000000000001</v>
      </c>
      <c r="BY6" s="62">
        <v>-3.43</v>
      </c>
      <c r="BZ6" s="62">
        <v>1.03</v>
      </c>
      <c r="CB6" s="62">
        <v>0.63</v>
      </c>
      <c r="CC6" s="62">
        <v>3.28</v>
      </c>
      <c r="CD6" s="62">
        <v>0.55000000000000004</v>
      </c>
      <c r="CE6" s="62">
        <v>2.19</v>
      </c>
      <c r="CF6" s="62">
        <v>0.69</v>
      </c>
      <c r="CH6" s="62">
        <v>1.71</v>
      </c>
      <c r="CI6" s="62">
        <v>2.44</v>
      </c>
      <c r="CJ6" s="62">
        <v>0.44</v>
      </c>
      <c r="CL6" s="62">
        <v>2.37</v>
      </c>
      <c r="CM6" s="62">
        <v>2.76</v>
      </c>
      <c r="CN6" s="62">
        <v>1.73</v>
      </c>
      <c r="CO6" s="62">
        <v>4.3099999999999996</v>
      </c>
      <c r="CP6" s="62">
        <v>0.56000000000000005</v>
      </c>
      <c r="CR6" s="62">
        <v>2.94</v>
      </c>
      <c r="CS6" s="62">
        <v>3.15</v>
      </c>
      <c r="CU6" s="62">
        <v>3.02</v>
      </c>
      <c r="CV6" s="62">
        <v>1.34</v>
      </c>
      <c r="CW6" s="62">
        <v>0.86</v>
      </c>
      <c r="CX6" s="62">
        <v>1.49</v>
      </c>
      <c r="CZ6" s="62">
        <v>0.69</v>
      </c>
      <c r="DA6" s="62">
        <v>1.99</v>
      </c>
      <c r="DB6" s="62">
        <v>7.12</v>
      </c>
      <c r="DC6" s="62">
        <v>1.4</v>
      </c>
      <c r="DD6" s="62">
        <v>1.33</v>
      </c>
      <c r="DF6" s="62">
        <v>0.38</v>
      </c>
      <c r="DG6" s="62">
        <v>0.89</v>
      </c>
      <c r="DH6" s="62">
        <v>-8.33</v>
      </c>
      <c r="DJ6" s="62">
        <v>0.53</v>
      </c>
      <c r="DK6" s="62">
        <v>1.25</v>
      </c>
      <c r="DM6" s="62">
        <v>1.26</v>
      </c>
      <c r="DN6" s="62">
        <v>2.65</v>
      </c>
      <c r="DO6" s="62">
        <v>2.4300000000000002</v>
      </c>
    </row>
    <row r="7" spans="1:120" x14ac:dyDescent="0.3">
      <c r="A7" s="64" t="s">
        <v>9027</v>
      </c>
      <c r="B7" s="62">
        <v>0.94</v>
      </c>
      <c r="C7" s="62">
        <v>-2.11</v>
      </c>
      <c r="E7" s="62">
        <v>0.56000000000000005</v>
      </c>
      <c r="F7" s="62">
        <v>-0.89</v>
      </c>
      <c r="G7" s="62">
        <v>0.64</v>
      </c>
      <c r="H7" s="62">
        <v>0.98</v>
      </c>
      <c r="J7" s="62">
        <v>0.81</v>
      </c>
      <c r="K7" s="62">
        <v>1.37</v>
      </c>
      <c r="L7" s="62">
        <v>0.88</v>
      </c>
      <c r="M7" s="62">
        <v>2.99</v>
      </c>
      <c r="N7" s="62">
        <v>0.87</v>
      </c>
      <c r="O7" s="62">
        <v>-0.02</v>
      </c>
      <c r="P7" s="62">
        <v>2.2999999999999998</v>
      </c>
      <c r="Q7" s="62">
        <v>2.99</v>
      </c>
      <c r="R7" s="62">
        <v>7.85</v>
      </c>
      <c r="S7" s="62">
        <v>1.1299999999999999</v>
      </c>
      <c r="T7" s="62">
        <v>0.93</v>
      </c>
      <c r="U7" s="62">
        <v>2.4</v>
      </c>
      <c r="V7" s="62">
        <v>0.84</v>
      </c>
      <c r="W7" s="62">
        <v>1.1599999999999999</v>
      </c>
      <c r="X7" s="62">
        <v>1.01</v>
      </c>
      <c r="Y7" s="62">
        <v>-0.62</v>
      </c>
      <c r="Z7" s="62">
        <v>0.61</v>
      </c>
      <c r="AA7" s="62">
        <v>1.39</v>
      </c>
      <c r="AB7" s="62">
        <v>1.88</v>
      </c>
      <c r="AE7" s="62">
        <v>1.1000000000000001</v>
      </c>
      <c r="AF7" s="62">
        <v>2.97</v>
      </c>
      <c r="AG7" s="62">
        <v>1.1499999999999999</v>
      </c>
      <c r="AH7" s="62">
        <v>0.78</v>
      </c>
      <c r="AJ7" s="62">
        <v>3.38</v>
      </c>
      <c r="AK7" s="62">
        <v>1.54</v>
      </c>
      <c r="AL7" s="62">
        <v>0.74</v>
      </c>
      <c r="AN7" s="62">
        <v>0.56999999999999995</v>
      </c>
      <c r="AQ7" s="62">
        <v>1.02</v>
      </c>
      <c r="AR7" s="62">
        <v>1.6</v>
      </c>
      <c r="AS7" s="62">
        <v>3.72</v>
      </c>
      <c r="AT7" s="62">
        <v>0.51</v>
      </c>
      <c r="AV7" s="62">
        <v>1.1599999999999999</v>
      </c>
      <c r="AX7" s="62">
        <v>1.65</v>
      </c>
      <c r="AY7" s="62">
        <v>0.92</v>
      </c>
      <c r="AZ7" s="62">
        <v>0.82</v>
      </c>
      <c r="BA7" s="62">
        <v>2.5099999999999998</v>
      </c>
      <c r="BC7" s="62">
        <v>0.86</v>
      </c>
      <c r="BD7" s="62">
        <v>0.61</v>
      </c>
      <c r="BE7" s="62">
        <v>1.59</v>
      </c>
      <c r="BH7" s="62">
        <v>0.68</v>
      </c>
      <c r="BJ7" s="62">
        <v>0.32</v>
      </c>
      <c r="BL7" s="62">
        <v>0.84</v>
      </c>
      <c r="BN7" s="62">
        <v>0.84</v>
      </c>
      <c r="BO7" s="62">
        <v>0.57999999999999996</v>
      </c>
      <c r="BQ7" s="62">
        <v>6.17</v>
      </c>
      <c r="BS7" s="62">
        <v>4.75</v>
      </c>
      <c r="BT7" s="62">
        <v>3.2</v>
      </c>
      <c r="BU7" s="62">
        <v>0.41</v>
      </c>
      <c r="BV7" s="62">
        <v>81.08</v>
      </c>
      <c r="BW7" s="62">
        <v>2.02</v>
      </c>
      <c r="BX7" s="62">
        <v>1.08</v>
      </c>
      <c r="BY7" s="62">
        <v>-3.12</v>
      </c>
      <c r="BZ7" s="62">
        <v>1.01</v>
      </c>
      <c r="CB7" s="62">
        <v>0.62</v>
      </c>
      <c r="CC7" s="62">
        <v>3.45</v>
      </c>
      <c r="CD7" s="62">
        <v>0.56999999999999995</v>
      </c>
      <c r="CE7" s="62">
        <v>2.2799999999999998</v>
      </c>
      <c r="CF7" s="62">
        <v>0.65</v>
      </c>
      <c r="CH7" s="62">
        <v>1.77</v>
      </c>
      <c r="CI7" s="62">
        <v>2.29</v>
      </c>
      <c r="CJ7" s="62">
        <v>0.42</v>
      </c>
      <c r="CL7" s="62">
        <v>2.3199999999999998</v>
      </c>
      <c r="CM7" s="62">
        <v>2.52</v>
      </c>
      <c r="CN7" s="62">
        <v>1.55</v>
      </c>
      <c r="CO7" s="62">
        <v>5.57</v>
      </c>
      <c r="CP7" s="62">
        <v>0.51</v>
      </c>
      <c r="CR7" s="62">
        <v>2.94</v>
      </c>
      <c r="CS7" s="62">
        <v>3.11</v>
      </c>
      <c r="CU7" s="62">
        <v>2.91</v>
      </c>
      <c r="CV7" s="62">
        <v>1.21</v>
      </c>
      <c r="CW7" s="62">
        <v>0.89</v>
      </c>
      <c r="CX7" s="62">
        <v>1.42</v>
      </c>
      <c r="CZ7" s="62">
        <v>0.69</v>
      </c>
      <c r="DA7" s="62">
        <v>2.02</v>
      </c>
      <c r="DB7" s="62">
        <v>7.61</v>
      </c>
      <c r="DC7" s="62">
        <v>1.28</v>
      </c>
      <c r="DD7" s="62">
        <v>1.33</v>
      </c>
      <c r="DF7" s="62">
        <v>0.36</v>
      </c>
      <c r="DG7" s="62">
        <v>0.87</v>
      </c>
      <c r="DH7" s="62">
        <v>-8.33</v>
      </c>
      <c r="DJ7" s="62">
        <v>0.56000000000000005</v>
      </c>
      <c r="DK7" s="62">
        <v>1.23</v>
      </c>
      <c r="DM7" s="62">
        <v>1.2</v>
      </c>
      <c r="DN7" s="62">
        <v>2.4700000000000002</v>
      </c>
      <c r="DO7" s="62">
        <v>2.1</v>
      </c>
    </row>
    <row r="8" spans="1:120" x14ac:dyDescent="0.3">
      <c r="A8" s="64" t="s">
        <v>9028</v>
      </c>
      <c r="B8" s="62">
        <v>1.02</v>
      </c>
      <c r="C8" s="62">
        <v>-2.11</v>
      </c>
      <c r="E8" s="62">
        <v>0.54</v>
      </c>
      <c r="F8" s="62">
        <v>-0.44</v>
      </c>
      <c r="G8" s="62">
        <v>0.72</v>
      </c>
      <c r="H8" s="62">
        <v>0.99</v>
      </c>
      <c r="J8" s="62">
        <v>0.81</v>
      </c>
      <c r="K8" s="62">
        <v>1.3</v>
      </c>
      <c r="L8" s="62">
        <v>0.92</v>
      </c>
      <c r="M8" s="62">
        <v>3.08</v>
      </c>
      <c r="N8" s="62">
        <v>0.78</v>
      </c>
      <c r="O8" s="62">
        <v>-0.02</v>
      </c>
      <c r="P8" s="62">
        <v>2.2999999999999998</v>
      </c>
      <c r="Q8" s="62">
        <v>2.88</v>
      </c>
      <c r="R8" s="62">
        <v>8.4700000000000006</v>
      </c>
      <c r="S8" s="62">
        <v>1.1599999999999999</v>
      </c>
      <c r="T8" s="62">
        <v>0.91</v>
      </c>
      <c r="U8" s="62">
        <v>1.96</v>
      </c>
      <c r="V8" s="62">
        <v>0.78</v>
      </c>
      <c r="W8" s="62">
        <v>1.1200000000000001</v>
      </c>
      <c r="X8" s="62">
        <v>1.01</v>
      </c>
      <c r="Y8" s="62">
        <v>-0.62</v>
      </c>
      <c r="Z8" s="62">
        <v>0.22</v>
      </c>
      <c r="AA8" s="62">
        <v>1.25</v>
      </c>
      <c r="AB8" s="62">
        <v>1.42</v>
      </c>
      <c r="AE8" s="62">
        <v>1.1000000000000001</v>
      </c>
      <c r="AF8" s="62">
        <v>2.88</v>
      </c>
      <c r="AG8" s="62">
        <v>1.18</v>
      </c>
      <c r="AH8" s="62">
        <v>0.61</v>
      </c>
      <c r="AJ8" s="62">
        <v>3.15</v>
      </c>
      <c r="AK8" s="62">
        <v>1.36</v>
      </c>
      <c r="AL8" s="62">
        <v>0.98</v>
      </c>
      <c r="AN8" s="62">
        <v>0.56999999999999995</v>
      </c>
      <c r="AQ8" s="62">
        <v>1.01</v>
      </c>
      <c r="AR8" s="62">
        <v>1.6</v>
      </c>
      <c r="AS8" s="62">
        <v>3.64</v>
      </c>
      <c r="AT8" s="62">
        <v>0.55000000000000004</v>
      </c>
      <c r="AV8" s="62">
        <v>1.18</v>
      </c>
      <c r="AX8" s="62">
        <v>1.81</v>
      </c>
      <c r="AY8" s="62">
        <v>0.93</v>
      </c>
      <c r="AZ8" s="62">
        <v>0.81</v>
      </c>
      <c r="BA8" s="62">
        <v>2.46</v>
      </c>
      <c r="BC8" s="62">
        <v>0.81</v>
      </c>
      <c r="BD8" s="62">
        <v>0.61</v>
      </c>
      <c r="BE8" s="62">
        <v>1.67</v>
      </c>
      <c r="BH8" s="62">
        <v>0.61</v>
      </c>
      <c r="BJ8" s="62">
        <v>0.35</v>
      </c>
      <c r="BL8" s="62">
        <v>0.8</v>
      </c>
      <c r="BN8" s="62">
        <v>0.96</v>
      </c>
      <c r="BO8" s="62">
        <v>0.7</v>
      </c>
      <c r="BQ8" s="62">
        <v>6.88</v>
      </c>
      <c r="BS8" s="62">
        <v>4.63</v>
      </c>
      <c r="BT8" s="62">
        <v>3.27</v>
      </c>
      <c r="BU8" s="62">
        <v>0.9</v>
      </c>
      <c r="BV8" s="62">
        <v>81.08</v>
      </c>
      <c r="BW8" s="62">
        <v>1.88</v>
      </c>
      <c r="BX8" s="62">
        <v>0.95</v>
      </c>
      <c r="BY8" s="62">
        <v>-0.94</v>
      </c>
      <c r="BZ8" s="62">
        <v>1.03</v>
      </c>
      <c r="CB8" s="62">
        <v>0.57999999999999996</v>
      </c>
      <c r="CC8" s="62">
        <v>3.39</v>
      </c>
      <c r="CD8" s="62">
        <v>0.47</v>
      </c>
      <c r="CE8" s="62">
        <v>2.36</v>
      </c>
      <c r="CF8" s="62">
        <v>0.65</v>
      </c>
      <c r="CH8" s="62">
        <v>1.71</v>
      </c>
      <c r="CI8" s="62">
        <v>2.44</v>
      </c>
      <c r="CJ8" s="62">
        <v>0.4</v>
      </c>
      <c r="CL8" s="62">
        <v>2.2000000000000002</v>
      </c>
      <c r="CM8" s="62">
        <v>2.4700000000000002</v>
      </c>
      <c r="CN8" s="62">
        <v>1.61</v>
      </c>
      <c r="CO8" s="62">
        <v>5.81</v>
      </c>
      <c r="CP8" s="62">
        <v>0.56999999999999995</v>
      </c>
      <c r="CR8" s="62">
        <v>3.29</v>
      </c>
      <c r="CS8" s="62">
        <v>2.62</v>
      </c>
      <c r="CU8" s="62">
        <v>3.16</v>
      </c>
      <c r="CV8" s="62">
        <v>1.18</v>
      </c>
      <c r="CW8" s="62">
        <v>0.9</v>
      </c>
      <c r="CX8" s="62">
        <v>1.42</v>
      </c>
      <c r="CZ8" s="62">
        <v>0.69</v>
      </c>
      <c r="DA8" s="62">
        <v>1.76</v>
      </c>
      <c r="DB8" s="62">
        <v>5.17</v>
      </c>
      <c r="DC8" s="62">
        <v>1.17</v>
      </c>
      <c r="DD8" s="62">
        <v>1.3</v>
      </c>
      <c r="DF8" s="62">
        <v>0.38</v>
      </c>
      <c r="DG8" s="62">
        <v>0.86</v>
      </c>
      <c r="DH8" s="62">
        <v>-8.33</v>
      </c>
      <c r="DJ8" s="62">
        <v>0.51</v>
      </c>
      <c r="DK8" s="62">
        <v>1.19</v>
      </c>
      <c r="DM8" s="62">
        <v>1.2</v>
      </c>
      <c r="DN8" s="62">
        <v>2.5</v>
      </c>
      <c r="DO8" s="62">
        <v>1.99</v>
      </c>
    </row>
    <row r="9" spans="1:120" x14ac:dyDescent="0.3">
      <c r="A9" s="64" t="s">
        <v>9029</v>
      </c>
      <c r="B9" s="62">
        <v>1.06</v>
      </c>
      <c r="C9" s="62">
        <v>-2.11</v>
      </c>
      <c r="E9" s="62">
        <v>0.55000000000000004</v>
      </c>
      <c r="F9" s="62">
        <v>-0.44</v>
      </c>
      <c r="G9" s="62">
        <v>0.61</v>
      </c>
      <c r="H9" s="62">
        <v>0.99</v>
      </c>
      <c r="J9" s="62">
        <v>0.81</v>
      </c>
      <c r="K9" s="62">
        <v>1.32</v>
      </c>
      <c r="L9" s="62">
        <v>0.93</v>
      </c>
      <c r="M9" s="62">
        <v>2.9</v>
      </c>
      <c r="N9" s="62">
        <v>0.76</v>
      </c>
      <c r="O9" s="62">
        <v>-0.02</v>
      </c>
      <c r="P9" s="62">
        <v>2.69</v>
      </c>
      <c r="Q9" s="62">
        <v>2.94</v>
      </c>
      <c r="R9" s="62">
        <v>7.78</v>
      </c>
      <c r="S9" s="62">
        <v>1.1599999999999999</v>
      </c>
      <c r="T9" s="62">
        <v>0.91</v>
      </c>
      <c r="U9" s="62">
        <v>1.92</v>
      </c>
      <c r="V9" s="62">
        <v>0.79</v>
      </c>
      <c r="W9" s="62">
        <v>1.24</v>
      </c>
      <c r="X9" s="62">
        <v>1.03</v>
      </c>
      <c r="Y9" s="62">
        <v>-0.62</v>
      </c>
      <c r="Z9" s="62">
        <v>0.22</v>
      </c>
      <c r="AA9" s="62">
        <v>1.38</v>
      </c>
      <c r="AB9" s="62">
        <v>1.43</v>
      </c>
      <c r="AE9" s="62">
        <v>1.1000000000000001</v>
      </c>
      <c r="AF9" s="62">
        <v>2.75</v>
      </c>
      <c r="AG9" s="62">
        <v>1.18</v>
      </c>
      <c r="AH9" s="62">
        <v>0.61</v>
      </c>
      <c r="AJ9" s="62">
        <v>3.17</v>
      </c>
      <c r="AK9" s="62">
        <v>1.62</v>
      </c>
      <c r="AL9" s="62">
        <v>1.76</v>
      </c>
      <c r="AN9" s="62">
        <v>0.52</v>
      </c>
      <c r="AQ9" s="62">
        <v>1.01</v>
      </c>
      <c r="AR9" s="62">
        <v>1.96</v>
      </c>
      <c r="AS9" s="62">
        <v>3.73</v>
      </c>
      <c r="AT9" s="62">
        <v>0.56000000000000005</v>
      </c>
      <c r="AV9" s="62">
        <v>1.22</v>
      </c>
      <c r="AX9" s="62">
        <v>1.65</v>
      </c>
      <c r="AY9" s="62">
        <v>0.95</v>
      </c>
      <c r="AZ9" s="62">
        <v>0.84</v>
      </c>
      <c r="BA9" s="62">
        <v>2.37</v>
      </c>
      <c r="BC9" s="62">
        <v>0.78</v>
      </c>
      <c r="BD9" s="62">
        <v>0.63</v>
      </c>
      <c r="BE9" s="62">
        <v>1.74</v>
      </c>
      <c r="BH9" s="62">
        <v>0.7</v>
      </c>
      <c r="BJ9" s="62">
        <v>0.34</v>
      </c>
      <c r="BL9" s="62">
        <v>0.71</v>
      </c>
      <c r="BN9" s="62">
        <v>0.95</v>
      </c>
      <c r="BO9" s="62">
        <v>0.7</v>
      </c>
      <c r="BQ9" s="62">
        <v>5.82</v>
      </c>
      <c r="BS9" s="62">
        <v>4.75</v>
      </c>
      <c r="BT9" s="62">
        <v>3.58</v>
      </c>
      <c r="BU9" s="62">
        <v>0.93</v>
      </c>
      <c r="BV9" s="62">
        <v>81.08</v>
      </c>
      <c r="BW9" s="62">
        <v>1.91</v>
      </c>
      <c r="BX9" s="62">
        <v>1</v>
      </c>
      <c r="BY9" s="62">
        <v>-7.8</v>
      </c>
      <c r="BZ9" s="62">
        <v>1.02</v>
      </c>
      <c r="CB9" s="62">
        <v>0.53</v>
      </c>
      <c r="CC9" s="62">
        <v>3.44</v>
      </c>
      <c r="CD9" s="62">
        <v>0.59</v>
      </c>
      <c r="CE9" s="62">
        <v>2.4700000000000002</v>
      </c>
      <c r="CF9" s="62">
        <v>0.64</v>
      </c>
      <c r="CH9" s="62">
        <v>1.78</v>
      </c>
      <c r="CI9" s="62">
        <v>2.44</v>
      </c>
      <c r="CJ9" s="62">
        <v>0.4</v>
      </c>
      <c r="CL9" s="62">
        <v>2.27</v>
      </c>
      <c r="CM9" s="62">
        <v>2.5</v>
      </c>
      <c r="CN9" s="62">
        <v>1.63</v>
      </c>
      <c r="CO9" s="62">
        <v>5.86</v>
      </c>
      <c r="CP9" s="62">
        <v>0.6</v>
      </c>
      <c r="CR9" s="62">
        <v>3.42</v>
      </c>
      <c r="CS9" s="62">
        <v>2.66</v>
      </c>
      <c r="CU9" s="62">
        <v>3.43</v>
      </c>
      <c r="CV9" s="62">
        <v>1.19</v>
      </c>
      <c r="CW9" s="62">
        <v>0.94</v>
      </c>
      <c r="CX9" s="62">
        <v>1.67</v>
      </c>
      <c r="CZ9" s="62">
        <v>0.73</v>
      </c>
      <c r="DA9" s="62">
        <v>1.92</v>
      </c>
      <c r="DB9" s="62">
        <v>4.95</v>
      </c>
      <c r="DC9" s="62">
        <v>1.1299999999999999</v>
      </c>
      <c r="DD9" s="62">
        <v>1.33</v>
      </c>
      <c r="DF9" s="62">
        <v>0.39</v>
      </c>
      <c r="DG9" s="62">
        <v>0.93</v>
      </c>
      <c r="DH9" s="62">
        <v>-8.33</v>
      </c>
      <c r="DJ9" s="62">
        <v>0.78</v>
      </c>
      <c r="DK9" s="62">
        <v>1.24</v>
      </c>
      <c r="DM9" s="62">
        <v>1.23</v>
      </c>
      <c r="DN9" s="62">
        <v>2.04</v>
      </c>
      <c r="DO9" s="62">
        <v>1.55</v>
      </c>
    </row>
    <row r="10" spans="1:120" x14ac:dyDescent="0.3">
      <c r="A10" s="64" t="s">
        <v>9030</v>
      </c>
      <c r="B10" s="62">
        <v>1.18</v>
      </c>
      <c r="C10" s="62">
        <v>-2.11</v>
      </c>
      <c r="E10" s="62">
        <v>0.66</v>
      </c>
      <c r="F10" s="62">
        <v>-0.39</v>
      </c>
      <c r="G10" s="62">
        <v>0.88</v>
      </c>
      <c r="H10" s="62">
        <v>1</v>
      </c>
      <c r="J10" s="62">
        <v>0.83</v>
      </c>
      <c r="K10" s="62">
        <v>1.36</v>
      </c>
      <c r="L10" s="62">
        <v>0.93</v>
      </c>
      <c r="M10" s="62">
        <v>2.87</v>
      </c>
      <c r="N10" s="62">
        <v>0.8</v>
      </c>
      <c r="O10" s="62">
        <v>-0.02</v>
      </c>
      <c r="P10" s="62">
        <v>1.73</v>
      </c>
      <c r="Q10" s="62">
        <v>3.26</v>
      </c>
      <c r="R10" s="62">
        <v>7.7</v>
      </c>
      <c r="S10" s="62">
        <v>1.31</v>
      </c>
      <c r="T10" s="62">
        <v>1.03</v>
      </c>
      <c r="U10" s="62">
        <v>2.13</v>
      </c>
      <c r="V10" s="62">
        <v>0.9</v>
      </c>
      <c r="W10" s="62">
        <v>1.31</v>
      </c>
      <c r="X10" s="62">
        <v>1.02</v>
      </c>
      <c r="Y10" s="62">
        <v>-0.62</v>
      </c>
      <c r="Z10" s="62">
        <v>1.08</v>
      </c>
      <c r="AA10" s="62">
        <v>1.46</v>
      </c>
      <c r="AB10" s="62">
        <v>1.54</v>
      </c>
      <c r="AE10" s="62">
        <v>0.79</v>
      </c>
      <c r="AF10" s="62">
        <v>3.11</v>
      </c>
      <c r="AG10" s="62">
        <v>1.28</v>
      </c>
      <c r="AH10" s="62">
        <v>0.79</v>
      </c>
      <c r="AJ10" s="62">
        <v>3.35</v>
      </c>
      <c r="AK10" s="62">
        <v>1.49</v>
      </c>
      <c r="AL10" s="62">
        <v>0.98</v>
      </c>
      <c r="AN10" s="62">
        <v>0.55000000000000004</v>
      </c>
      <c r="AQ10" s="62">
        <v>1.02</v>
      </c>
      <c r="AR10" s="62">
        <v>2.11</v>
      </c>
      <c r="AS10" s="62">
        <v>4.04</v>
      </c>
      <c r="AT10" s="62">
        <v>0.56999999999999995</v>
      </c>
      <c r="AV10" s="62">
        <v>1.21</v>
      </c>
      <c r="AX10" s="62">
        <v>1.98</v>
      </c>
      <c r="AY10" s="62">
        <v>0.97</v>
      </c>
      <c r="AZ10" s="62">
        <v>0.82</v>
      </c>
      <c r="BA10" s="62">
        <v>2.46</v>
      </c>
      <c r="BC10" s="62">
        <v>0.76</v>
      </c>
      <c r="BD10" s="62">
        <v>0.65</v>
      </c>
      <c r="BE10" s="62">
        <v>1.81</v>
      </c>
      <c r="BH10" s="62">
        <v>0.8</v>
      </c>
      <c r="BJ10" s="62">
        <v>0.35</v>
      </c>
      <c r="BL10" s="62">
        <v>0.75</v>
      </c>
      <c r="BN10" s="62">
        <v>1</v>
      </c>
      <c r="BO10" s="62">
        <v>0.57999999999999996</v>
      </c>
      <c r="BQ10" s="62">
        <v>5.46</v>
      </c>
      <c r="BS10" s="62">
        <v>5.5</v>
      </c>
      <c r="BT10" s="62">
        <v>3.58</v>
      </c>
      <c r="BU10" s="62">
        <v>1.05</v>
      </c>
      <c r="BV10" s="62">
        <v>189.19</v>
      </c>
      <c r="BW10" s="62">
        <v>2.08</v>
      </c>
      <c r="BX10" s="62">
        <v>0.97</v>
      </c>
      <c r="BY10" s="62">
        <v>-2.5</v>
      </c>
      <c r="BZ10" s="62">
        <v>1.03</v>
      </c>
      <c r="CB10" s="62">
        <v>0.56000000000000005</v>
      </c>
      <c r="CC10" s="62">
        <v>3.65</v>
      </c>
      <c r="CD10" s="62">
        <v>0.55000000000000004</v>
      </c>
      <c r="CE10" s="62">
        <v>2.59</v>
      </c>
      <c r="CF10" s="62">
        <v>0.65</v>
      </c>
      <c r="CH10" s="62">
        <v>1.65</v>
      </c>
      <c r="CI10" s="62">
        <v>3.21</v>
      </c>
      <c r="CJ10" s="62">
        <v>0.25</v>
      </c>
      <c r="CL10" s="62">
        <v>2.5499999999999998</v>
      </c>
      <c r="CM10" s="62">
        <v>2.7</v>
      </c>
      <c r="CN10" s="62">
        <v>1.66</v>
      </c>
      <c r="CO10" s="62">
        <v>5.33</v>
      </c>
      <c r="CP10" s="62">
        <v>0.59</v>
      </c>
      <c r="CR10" s="62">
        <v>3.8</v>
      </c>
      <c r="CS10" s="62">
        <v>2.74</v>
      </c>
      <c r="CU10" s="62">
        <v>3.16</v>
      </c>
      <c r="CV10" s="62">
        <v>1.27</v>
      </c>
      <c r="CW10" s="62">
        <v>0.95</v>
      </c>
      <c r="CX10" s="62">
        <v>1.62</v>
      </c>
      <c r="CZ10" s="62">
        <v>0.65</v>
      </c>
      <c r="DA10" s="62">
        <v>1.86</v>
      </c>
      <c r="DB10" s="62">
        <v>4.95</v>
      </c>
      <c r="DC10" s="62">
        <v>1.37</v>
      </c>
      <c r="DD10" s="62">
        <v>1.33</v>
      </c>
      <c r="DF10" s="62">
        <v>0.47</v>
      </c>
      <c r="DG10" s="62">
        <v>1</v>
      </c>
      <c r="DH10" s="62">
        <v>-8.33</v>
      </c>
      <c r="DJ10" s="62">
        <v>1.02</v>
      </c>
      <c r="DK10" s="62">
        <v>1.23</v>
      </c>
      <c r="DM10" s="62">
        <v>1.22</v>
      </c>
      <c r="DN10" s="62">
        <v>2.1800000000000002</v>
      </c>
      <c r="DO10" s="62">
        <v>1.66</v>
      </c>
    </row>
    <row r="11" spans="1:120" x14ac:dyDescent="0.3">
      <c r="A11" s="64" t="s">
        <v>9031</v>
      </c>
      <c r="B11" s="62">
        <v>1.28</v>
      </c>
      <c r="C11" s="62">
        <v>-0.7</v>
      </c>
      <c r="E11" s="62">
        <v>0.72</v>
      </c>
      <c r="F11" s="62">
        <v>-0.5</v>
      </c>
      <c r="G11" s="62">
        <v>0.99</v>
      </c>
      <c r="H11" s="62">
        <v>1.01</v>
      </c>
      <c r="J11" s="62">
        <v>0.81</v>
      </c>
      <c r="K11" s="62">
        <v>1.39</v>
      </c>
      <c r="L11" s="62">
        <v>1</v>
      </c>
      <c r="M11" s="62">
        <v>2.57</v>
      </c>
      <c r="N11" s="62">
        <v>0.81</v>
      </c>
      <c r="O11" s="62">
        <v>-0.02</v>
      </c>
      <c r="P11" s="62">
        <v>1.34</v>
      </c>
      <c r="Q11" s="62">
        <v>3.34</v>
      </c>
      <c r="R11" s="62">
        <v>8.24</v>
      </c>
      <c r="S11" s="62">
        <v>1.42</v>
      </c>
      <c r="T11" s="62">
        <v>1.06</v>
      </c>
      <c r="U11" s="62">
        <v>2.02</v>
      </c>
      <c r="V11" s="62">
        <v>0.92</v>
      </c>
      <c r="W11" s="62">
        <v>1.45</v>
      </c>
      <c r="X11" s="62">
        <v>1.08</v>
      </c>
      <c r="Y11" s="62">
        <v>-0.62</v>
      </c>
      <c r="Z11" s="62">
        <v>1.08</v>
      </c>
      <c r="AA11" s="62">
        <v>1.39</v>
      </c>
      <c r="AB11" s="62">
        <v>1.54</v>
      </c>
      <c r="AE11" s="62">
        <v>0.73</v>
      </c>
      <c r="AF11" s="62">
        <v>3.28</v>
      </c>
      <c r="AG11" s="62">
        <v>1.37</v>
      </c>
      <c r="AH11" s="62">
        <v>0.86</v>
      </c>
      <c r="AJ11" s="62">
        <v>3.45</v>
      </c>
      <c r="AK11" s="62">
        <v>1.68</v>
      </c>
      <c r="AL11" s="62">
        <v>1.56</v>
      </c>
      <c r="AN11" s="62">
        <v>0.56999999999999995</v>
      </c>
      <c r="AQ11" s="62">
        <v>1.04</v>
      </c>
      <c r="AR11" s="62">
        <v>2.0699999999999998</v>
      </c>
      <c r="AS11" s="62">
        <v>4.18</v>
      </c>
      <c r="AT11" s="62">
        <v>0.7</v>
      </c>
      <c r="AV11" s="62">
        <v>1.25</v>
      </c>
      <c r="AX11" s="62">
        <v>2.14</v>
      </c>
      <c r="AY11" s="62">
        <v>0.97</v>
      </c>
      <c r="AZ11" s="62">
        <v>0.82</v>
      </c>
      <c r="BA11" s="62">
        <v>2.61</v>
      </c>
      <c r="BC11" s="62">
        <v>0.76</v>
      </c>
      <c r="BD11" s="62">
        <v>0.65</v>
      </c>
      <c r="BE11" s="62">
        <v>2.5</v>
      </c>
      <c r="BH11" s="62">
        <v>0.84</v>
      </c>
      <c r="BJ11" s="62">
        <v>0.35</v>
      </c>
      <c r="BL11" s="62">
        <v>0.84</v>
      </c>
      <c r="BN11" s="62">
        <v>0.97</v>
      </c>
      <c r="BO11" s="62">
        <v>0.56999999999999995</v>
      </c>
      <c r="BQ11" s="62">
        <v>5.72</v>
      </c>
      <c r="BS11" s="62">
        <v>8</v>
      </c>
      <c r="BT11" s="62">
        <v>3.58</v>
      </c>
      <c r="BU11" s="62">
        <v>1.05</v>
      </c>
      <c r="BV11" s="62">
        <v>189.19</v>
      </c>
      <c r="BW11" s="62">
        <v>2.14</v>
      </c>
      <c r="BX11" s="62">
        <v>1</v>
      </c>
      <c r="BY11" s="62">
        <v>-2.5</v>
      </c>
      <c r="BZ11" s="62">
        <v>1.04</v>
      </c>
      <c r="CB11" s="62">
        <v>0.56999999999999995</v>
      </c>
      <c r="CC11" s="62">
        <v>3.65</v>
      </c>
      <c r="CD11" s="62">
        <v>0.59</v>
      </c>
      <c r="CE11" s="62">
        <v>2.76</v>
      </c>
      <c r="CF11" s="62">
        <v>0.72</v>
      </c>
      <c r="CH11" s="62">
        <v>1.93</v>
      </c>
      <c r="CI11" s="62">
        <v>2.75</v>
      </c>
      <c r="CJ11" s="62">
        <v>0.23</v>
      </c>
      <c r="CL11" s="62">
        <v>2.6</v>
      </c>
      <c r="CM11" s="62">
        <v>2.65</v>
      </c>
      <c r="CN11" s="62">
        <v>1.68</v>
      </c>
      <c r="CO11" s="62">
        <v>7.51</v>
      </c>
      <c r="CP11" s="62">
        <v>0.57999999999999996</v>
      </c>
      <c r="CR11" s="62">
        <v>3.8</v>
      </c>
      <c r="CS11" s="62">
        <v>2.75</v>
      </c>
      <c r="CU11" s="62">
        <v>3.05</v>
      </c>
      <c r="CV11" s="62">
        <v>1.3</v>
      </c>
      <c r="CW11" s="62">
        <v>0.97</v>
      </c>
      <c r="CX11" s="62">
        <v>1.7</v>
      </c>
      <c r="CZ11" s="62">
        <v>0.69</v>
      </c>
      <c r="DA11" s="62">
        <v>1.93</v>
      </c>
      <c r="DB11" s="62">
        <v>6.67</v>
      </c>
      <c r="DC11" s="62">
        <v>1.34</v>
      </c>
      <c r="DD11" s="62">
        <v>1.3</v>
      </c>
      <c r="DF11" s="62">
        <v>0.49</v>
      </c>
      <c r="DG11" s="62">
        <v>0.98</v>
      </c>
      <c r="DH11" s="62">
        <v>-8.33</v>
      </c>
      <c r="DJ11" s="62">
        <v>1.25</v>
      </c>
      <c r="DK11" s="62">
        <v>1.28</v>
      </c>
      <c r="DM11" s="62">
        <v>1.24</v>
      </c>
      <c r="DN11" s="62">
        <v>2.29</v>
      </c>
      <c r="DO11" s="62">
        <v>1.71</v>
      </c>
    </row>
    <row r="12" spans="1:120" x14ac:dyDescent="0.3">
      <c r="A12" s="64" t="s">
        <v>9032</v>
      </c>
      <c r="B12" s="62">
        <v>1.33</v>
      </c>
      <c r="C12" s="62">
        <v>-2.11</v>
      </c>
      <c r="E12" s="62">
        <v>0.74</v>
      </c>
      <c r="F12" s="62">
        <v>-0.46</v>
      </c>
      <c r="G12" s="62">
        <v>1.33</v>
      </c>
      <c r="H12" s="62">
        <v>1.04</v>
      </c>
      <c r="J12" s="62">
        <v>0.88</v>
      </c>
      <c r="K12" s="62">
        <v>1.42</v>
      </c>
      <c r="L12" s="62">
        <v>1</v>
      </c>
      <c r="M12" s="62">
        <v>2.87</v>
      </c>
      <c r="N12" s="62">
        <v>0.82</v>
      </c>
      <c r="O12" s="62">
        <v>-0.02</v>
      </c>
      <c r="P12" s="62">
        <v>1.73</v>
      </c>
      <c r="Q12" s="62">
        <v>3.49</v>
      </c>
      <c r="R12" s="62">
        <v>9.6199999999999992</v>
      </c>
      <c r="S12" s="62">
        <v>1.32</v>
      </c>
      <c r="T12" s="62">
        <v>1.07</v>
      </c>
      <c r="U12" s="62">
        <v>2.09</v>
      </c>
      <c r="V12" s="62">
        <v>0.93</v>
      </c>
      <c r="W12" s="62">
        <v>1.36</v>
      </c>
      <c r="X12" s="62">
        <v>1.1299999999999999</v>
      </c>
      <c r="Y12" s="62">
        <v>-0.62</v>
      </c>
      <c r="Z12" s="62">
        <v>0.87</v>
      </c>
      <c r="AA12" s="62">
        <v>1.47</v>
      </c>
      <c r="AB12" s="62">
        <v>1.54</v>
      </c>
      <c r="AE12" s="62">
        <v>1.04</v>
      </c>
      <c r="AF12" s="62">
        <v>3.41</v>
      </c>
      <c r="AG12" s="62">
        <v>1.35</v>
      </c>
      <c r="AH12" s="62">
        <v>0.72</v>
      </c>
      <c r="AJ12" s="62">
        <v>3.54</v>
      </c>
      <c r="AK12" s="62">
        <v>1.75</v>
      </c>
      <c r="AL12" s="62">
        <v>1.33</v>
      </c>
      <c r="AN12" s="62">
        <v>0.48</v>
      </c>
      <c r="AQ12" s="62">
        <v>1.08</v>
      </c>
      <c r="AR12" s="62">
        <v>1.99</v>
      </c>
      <c r="AS12" s="62">
        <v>4.4400000000000004</v>
      </c>
      <c r="AT12" s="62">
        <v>0.71</v>
      </c>
      <c r="AV12" s="62">
        <v>1.3</v>
      </c>
      <c r="AX12" s="62">
        <v>2.06</v>
      </c>
      <c r="AY12" s="62">
        <v>1.03</v>
      </c>
      <c r="AZ12" s="62">
        <v>0.84</v>
      </c>
      <c r="BA12" s="62">
        <v>2.69</v>
      </c>
      <c r="BC12" s="62">
        <v>0.76</v>
      </c>
      <c r="BD12" s="62">
        <v>0.7</v>
      </c>
      <c r="BE12" s="62">
        <v>1.95</v>
      </c>
      <c r="BH12" s="62">
        <v>0.92</v>
      </c>
      <c r="BJ12" s="62">
        <v>0.35</v>
      </c>
      <c r="BL12" s="62">
        <v>0.81</v>
      </c>
      <c r="BN12" s="62">
        <v>1.04</v>
      </c>
      <c r="BO12" s="62">
        <v>0.52</v>
      </c>
      <c r="BQ12" s="62">
        <v>6.27</v>
      </c>
      <c r="BS12" s="62">
        <v>10</v>
      </c>
      <c r="BT12" s="62">
        <v>3.58</v>
      </c>
      <c r="BU12" s="62">
        <v>1.05</v>
      </c>
      <c r="BV12" s="62">
        <v>54.05</v>
      </c>
      <c r="BW12" s="62">
        <v>2.19</v>
      </c>
      <c r="BX12" s="62">
        <v>1.05</v>
      </c>
      <c r="BY12" s="62">
        <v>-1.56</v>
      </c>
      <c r="BZ12" s="62">
        <v>1.07</v>
      </c>
      <c r="CB12" s="62">
        <v>0.52</v>
      </c>
      <c r="CC12" s="62">
        <v>4.0999999999999996</v>
      </c>
      <c r="CD12" s="62">
        <v>0.55000000000000004</v>
      </c>
      <c r="CE12" s="62">
        <v>2.74</v>
      </c>
      <c r="CF12" s="62">
        <v>0.73</v>
      </c>
      <c r="CH12" s="62">
        <v>2.1</v>
      </c>
      <c r="CI12" s="62">
        <v>3.06</v>
      </c>
      <c r="CJ12" s="62">
        <v>0.23</v>
      </c>
      <c r="CL12" s="62">
        <v>2.4700000000000002</v>
      </c>
      <c r="CM12" s="62">
        <v>2.73</v>
      </c>
      <c r="CN12" s="62">
        <v>1.78</v>
      </c>
      <c r="CO12" s="62">
        <v>8.7200000000000006</v>
      </c>
      <c r="CP12" s="62">
        <v>0.64</v>
      </c>
      <c r="CR12" s="62">
        <v>3.8</v>
      </c>
      <c r="CS12" s="62">
        <v>2.83</v>
      </c>
      <c r="CU12" s="62">
        <v>3.1</v>
      </c>
      <c r="CV12" s="62">
        <v>1.21</v>
      </c>
      <c r="CW12" s="62">
        <v>0.98</v>
      </c>
      <c r="CX12" s="62">
        <v>1.74</v>
      </c>
      <c r="CZ12" s="62">
        <v>0.66</v>
      </c>
      <c r="DA12" s="62">
        <v>1.87</v>
      </c>
      <c r="DB12" s="62">
        <v>7.11</v>
      </c>
      <c r="DC12" s="62">
        <v>1.38</v>
      </c>
      <c r="DD12" s="62">
        <v>1.33</v>
      </c>
      <c r="DF12" s="62">
        <v>0.5</v>
      </c>
      <c r="DG12" s="62">
        <v>1.05</v>
      </c>
      <c r="DH12" s="62">
        <v>-8.33</v>
      </c>
      <c r="DJ12" s="62">
        <v>1.19</v>
      </c>
      <c r="DK12" s="62">
        <v>1.22</v>
      </c>
      <c r="DM12" s="62">
        <v>1.25</v>
      </c>
      <c r="DN12" s="62">
        <v>2.4</v>
      </c>
      <c r="DO12" s="62">
        <v>2.16</v>
      </c>
    </row>
    <row r="13" spans="1:120" x14ac:dyDescent="0.3">
      <c r="A13" s="64" t="s">
        <v>9033</v>
      </c>
      <c r="B13" s="62">
        <v>1.39</v>
      </c>
      <c r="C13" s="62">
        <v>-4.2300000000000004</v>
      </c>
      <c r="E13" s="62">
        <v>0.78</v>
      </c>
      <c r="F13" s="62">
        <v>-0.36</v>
      </c>
      <c r="G13" s="62">
        <v>1.44</v>
      </c>
      <c r="H13" s="62">
        <v>1.06</v>
      </c>
      <c r="J13" s="62">
        <v>0.86</v>
      </c>
      <c r="K13" s="62">
        <v>1.42</v>
      </c>
      <c r="L13" s="62">
        <v>1.04</v>
      </c>
      <c r="M13" s="62">
        <v>2.99</v>
      </c>
      <c r="N13" s="62">
        <v>0.87</v>
      </c>
      <c r="O13" s="62">
        <v>-0.02</v>
      </c>
      <c r="P13" s="62">
        <v>1.92</v>
      </c>
      <c r="Q13" s="62">
        <v>3.61</v>
      </c>
      <c r="R13" s="62">
        <v>10.09</v>
      </c>
      <c r="S13" s="62">
        <v>1.26</v>
      </c>
      <c r="T13" s="62">
        <v>1.1100000000000001</v>
      </c>
      <c r="U13" s="62">
        <v>1.82</v>
      </c>
      <c r="V13" s="62">
        <v>0.9</v>
      </c>
      <c r="W13" s="62">
        <v>1.33</v>
      </c>
      <c r="X13" s="62">
        <v>1.1200000000000001</v>
      </c>
      <c r="Y13" s="62">
        <v>-0.62</v>
      </c>
      <c r="Z13" s="62">
        <v>0.95</v>
      </c>
      <c r="AA13" s="62">
        <v>1.44</v>
      </c>
      <c r="AB13" s="62">
        <v>1.55</v>
      </c>
      <c r="AE13" s="62">
        <v>1.04</v>
      </c>
      <c r="AF13" s="62">
        <v>3.8</v>
      </c>
      <c r="AG13" s="62">
        <v>1.55</v>
      </c>
      <c r="AH13" s="62">
        <v>0.78</v>
      </c>
      <c r="AI13" s="62">
        <v>1.6</v>
      </c>
      <c r="AJ13" s="62">
        <v>3.6</v>
      </c>
      <c r="AK13" s="62">
        <v>1.49</v>
      </c>
      <c r="AL13" s="62">
        <v>1.33</v>
      </c>
      <c r="AN13" s="62">
        <v>0.56999999999999995</v>
      </c>
      <c r="AQ13" s="62">
        <v>1.03</v>
      </c>
      <c r="AR13" s="62">
        <v>2.04</v>
      </c>
      <c r="AS13" s="62">
        <v>4.51</v>
      </c>
      <c r="AT13" s="62">
        <v>0.74</v>
      </c>
      <c r="AV13" s="62">
        <v>1.34</v>
      </c>
      <c r="AX13" s="62">
        <v>2.09</v>
      </c>
      <c r="AY13" s="62">
        <v>1.03</v>
      </c>
      <c r="AZ13" s="62">
        <v>0.87</v>
      </c>
      <c r="BA13" s="62">
        <v>2.82</v>
      </c>
      <c r="BC13" s="62">
        <v>0.74</v>
      </c>
      <c r="BD13" s="62">
        <v>0.71</v>
      </c>
      <c r="BE13" s="62">
        <v>2.64</v>
      </c>
      <c r="BH13" s="62">
        <v>0.89</v>
      </c>
      <c r="BJ13" s="62">
        <v>0.36</v>
      </c>
      <c r="BL13" s="62">
        <v>0.57999999999999996</v>
      </c>
      <c r="BN13" s="62">
        <v>1.03</v>
      </c>
      <c r="BO13" s="62">
        <v>0.46</v>
      </c>
      <c r="BQ13" s="62">
        <v>6.17</v>
      </c>
      <c r="BS13" s="62">
        <v>11</v>
      </c>
      <c r="BT13" s="62">
        <v>3.14</v>
      </c>
      <c r="BU13" s="62">
        <v>1.1100000000000001</v>
      </c>
      <c r="BV13" s="62">
        <v>54.05</v>
      </c>
      <c r="BW13" s="62">
        <v>2.2200000000000002</v>
      </c>
      <c r="BX13" s="62">
        <v>1.01</v>
      </c>
      <c r="BY13" s="62">
        <v>-2.81</v>
      </c>
      <c r="BZ13" s="62">
        <v>1.08</v>
      </c>
      <c r="CB13" s="62">
        <v>0.52</v>
      </c>
      <c r="CC13" s="62">
        <v>4.38</v>
      </c>
      <c r="CD13" s="62">
        <v>0.49</v>
      </c>
      <c r="CE13" s="62">
        <v>2.81</v>
      </c>
      <c r="CF13" s="62">
        <v>0.75</v>
      </c>
      <c r="CH13" s="62">
        <v>2.29</v>
      </c>
      <c r="CI13" s="62">
        <v>3.36</v>
      </c>
      <c r="CJ13" s="62">
        <v>0.24</v>
      </c>
      <c r="CL13" s="62">
        <v>2.4</v>
      </c>
      <c r="CM13" s="62">
        <v>2.64</v>
      </c>
      <c r="CN13" s="62">
        <v>1.74</v>
      </c>
      <c r="CO13" s="62">
        <v>8.24</v>
      </c>
      <c r="CP13" s="62">
        <v>0.61</v>
      </c>
      <c r="CR13" s="62">
        <v>3.8</v>
      </c>
      <c r="CS13" s="62">
        <v>2.83</v>
      </c>
      <c r="CU13" s="62">
        <v>3</v>
      </c>
      <c r="CV13" s="62">
        <v>1.28</v>
      </c>
      <c r="CW13" s="62">
        <v>0.99</v>
      </c>
      <c r="CX13" s="62">
        <v>1.96</v>
      </c>
      <c r="CZ13" s="62">
        <v>0.69</v>
      </c>
      <c r="DA13" s="62">
        <v>1.91</v>
      </c>
      <c r="DB13" s="62">
        <v>7.21</v>
      </c>
      <c r="DC13" s="62">
        <v>1.34</v>
      </c>
      <c r="DD13" s="62">
        <v>1.42</v>
      </c>
      <c r="DF13" s="62">
        <v>0.51</v>
      </c>
      <c r="DG13" s="62">
        <v>1.05</v>
      </c>
      <c r="DH13" s="62">
        <v>-8.33</v>
      </c>
      <c r="DJ13" s="62">
        <v>1.69</v>
      </c>
      <c r="DK13" s="62">
        <v>1.18</v>
      </c>
      <c r="DM13" s="62">
        <v>1.25</v>
      </c>
      <c r="DN13" s="62">
        <v>2.42</v>
      </c>
      <c r="DO13" s="62">
        <v>1.66</v>
      </c>
    </row>
    <row r="14" spans="1:120" x14ac:dyDescent="0.3">
      <c r="A14" s="64" t="s">
        <v>9034</v>
      </c>
      <c r="B14" s="62">
        <v>1.43</v>
      </c>
      <c r="C14" s="62">
        <v>-4.2300000000000004</v>
      </c>
      <c r="E14" s="62">
        <v>0.79</v>
      </c>
      <c r="F14" s="62">
        <v>-0.47</v>
      </c>
      <c r="G14" s="62">
        <v>1.33</v>
      </c>
      <c r="H14" s="62">
        <v>1.03</v>
      </c>
      <c r="J14" s="62">
        <v>0.84</v>
      </c>
      <c r="K14" s="62">
        <v>1.41</v>
      </c>
      <c r="L14" s="62">
        <v>1.04</v>
      </c>
      <c r="M14" s="62">
        <v>2.87</v>
      </c>
      <c r="N14" s="62">
        <v>0.83</v>
      </c>
      <c r="O14" s="62">
        <v>-0.02</v>
      </c>
      <c r="P14" s="62">
        <v>2.88</v>
      </c>
      <c r="Q14" s="62">
        <v>3.64</v>
      </c>
      <c r="R14" s="62">
        <v>11.93</v>
      </c>
      <c r="S14" s="62">
        <v>1.22</v>
      </c>
      <c r="T14" s="62">
        <v>1.05</v>
      </c>
      <c r="U14" s="62">
        <v>1.83</v>
      </c>
      <c r="V14" s="62">
        <v>0.94</v>
      </c>
      <c r="W14" s="62">
        <v>1.32</v>
      </c>
      <c r="X14" s="62">
        <v>1.08</v>
      </c>
      <c r="Y14" s="62">
        <v>-0.62</v>
      </c>
      <c r="Z14" s="62">
        <v>0.95</v>
      </c>
      <c r="AA14" s="62">
        <v>1.37</v>
      </c>
      <c r="AB14" s="62">
        <v>1.55</v>
      </c>
      <c r="AE14" s="62">
        <v>1.1599999999999999</v>
      </c>
      <c r="AF14" s="62">
        <v>3.6</v>
      </c>
      <c r="AG14" s="62">
        <v>1.63</v>
      </c>
      <c r="AH14" s="62">
        <v>0.86</v>
      </c>
      <c r="AI14" s="62">
        <v>1.65</v>
      </c>
      <c r="AJ14" s="62">
        <v>3.49</v>
      </c>
      <c r="AK14" s="62">
        <v>2.0699999999999998</v>
      </c>
      <c r="AL14" s="62">
        <v>1.29</v>
      </c>
      <c r="AN14" s="62">
        <v>0.59</v>
      </c>
      <c r="AQ14" s="62">
        <v>1.02</v>
      </c>
      <c r="AR14" s="62">
        <v>1.97</v>
      </c>
      <c r="AS14" s="62">
        <v>4.6500000000000004</v>
      </c>
      <c r="AT14" s="62">
        <v>0.72</v>
      </c>
      <c r="AV14" s="62">
        <v>1.32</v>
      </c>
      <c r="AX14" s="62">
        <v>1.98</v>
      </c>
      <c r="AY14" s="62">
        <v>1.01</v>
      </c>
      <c r="AZ14" s="62">
        <v>0.9</v>
      </c>
      <c r="BA14" s="62">
        <v>2.98</v>
      </c>
      <c r="BC14" s="62">
        <v>0.73</v>
      </c>
      <c r="BD14" s="62">
        <v>0.78</v>
      </c>
      <c r="BE14" s="62">
        <v>2.78</v>
      </c>
      <c r="BH14" s="62">
        <v>0.9</v>
      </c>
      <c r="BJ14" s="62">
        <v>0.36</v>
      </c>
      <c r="BL14" s="62">
        <v>0.57999999999999996</v>
      </c>
      <c r="BN14" s="62">
        <v>1.01</v>
      </c>
      <c r="BO14" s="62">
        <v>0.45</v>
      </c>
      <c r="BQ14" s="62">
        <v>6.25</v>
      </c>
      <c r="BS14" s="62">
        <v>13.51</v>
      </c>
      <c r="BT14" s="62">
        <v>2.95</v>
      </c>
      <c r="BU14" s="62">
        <v>1.32</v>
      </c>
      <c r="BV14" s="62">
        <v>54.05</v>
      </c>
      <c r="BW14" s="62">
        <v>2.2200000000000002</v>
      </c>
      <c r="BX14" s="62">
        <v>1</v>
      </c>
      <c r="BY14" s="62">
        <v>-4.01</v>
      </c>
      <c r="BZ14" s="62">
        <v>0.94</v>
      </c>
      <c r="CB14" s="62">
        <v>0.46</v>
      </c>
      <c r="CC14" s="62">
        <v>4.28</v>
      </c>
      <c r="CD14" s="62">
        <v>0.56999999999999995</v>
      </c>
      <c r="CE14" s="62">
        <v>3.08</v>
      </c>
      <c r="CF14" s="62">
        <v>0.72</v>
      </c>
      <c r="CH14" s="62">
        <v>2.4300000000000002</v>
      </c>
      <c r="CI14" s="62">
        <v>4.13</v>
      </c>
      <c r="CJ14" s="62">
        <v>0.22</v>
      </c>
      <c r="CL14" s="62">
        <v>2.46</v>
      </c>
      <c r="CM14" s="62">
        <v>2.68</v>
      </c>
      <c r="CN14" s="62">
        <v>1.62</v>
      </c>
      <c r="CO14" s="62">
        <v>8.33</v>
      </c>
      <c r="CP14" s="62">
        <v>0.68</v>
      </c>
      <c r="CR14" s="62">
        <v>2.5299999999999998</v>
      </c>
      <c r="CS14" s="62">
        <v>2.74</v>
      </c>
      <c r="CU14" s="62">
        <v>2.94</v>
      </c>
      <c r="CV14" s="62">
        <v>1.36</v>
      </c>
      <c r="CW14" s="62">
        <v>0.97</v>
      </c>
      <c r="CX14" s="62">
        <v>1.72</v>
      </c>
      <c r="CZ14" s="62">
        <v>0.72</v>
      </c>
      <c r="DA14" s="62">
        <v>2.0299999999999998</v>
      </c>
      <c r="DB14" s="62">
        <v>5.71</v>
      </c>
      <c r="DC14" s="62">
        <v>1.2</v>
      </c>
      <c r="DD14" s="62">
        <v>1.48</v>
      </c>
      <c r="DF14" s="62">
        <v>0.48</v>
      </c>
      <c r="DG14" s="62">
        <v>1.05</v>
      </c>
      <c r="DH14" s="62">
        <v>-8.33</v>
      </c>
      <c r="DJ14" s="62">
        <v>2.0699999999999998</v>
      </c>
      <c r="DK14" s="62">
        <v>1.21</v>
      </c>
      <c r="DM14" s="62">
        <v>1.25</v>
      </c>
      <c r="DN14" s="62">
        <v>2.31</v>
      </c>
      <c r="DO14" s="62">
        <v>2.3199999999999998</v>
      </c>
    </row>
    <row r="15" spans="1:120" x14ac:dyDescent="0.3">
      <c r="A15" s="64" t="s">
        <v>9035</v>
      </c>
      <c r="B15" s="62">
        <v>1.47</v>
      </c>
      <c r="C15" s="62">
        <v>-2.82</v>
      </c>
      <c r="E15" s="62">
        <v>0.77</v>
      </c>
      <c r="F15" s="62">
        <v>-0.46</v>
      </c>
      <c r="G15" s="62">
        <v>1.33</v>
      </c>
      <c r="H15" s="62">
        <v>1.05</v>
      </c>
      <c r="J15" s="62">
        <v>0.86</v>
      </c>
      <c r="K15" s="62">
        <v>1.5</v>
      </c>
      <c r="L15" s="62">
        <v>1.04</v>
      </c>
      <c r="M15" s="62">
        <v>3.11</v>
      </c>
      <c r="N15" s="62">
        <v>0.89</v>
      </c>
      <c r="O15" s="62">
        <v>-0.02</v>
      </c>
      <c r="P15" s="62">
        <v>5.18</v>
      </c>
      <c r="Q15" s="62">
        <v>3.83</v>
      </c>
      <c r="R15" s="62">
        <v>14.63</v>
      </c>
      <c r="S15" s="62">
        <v>1.36</v>
      </c>
      <c r="T15" s="62">
        <v>1.18</v>
      </c>
      <c r="U15" s="62">
        <v>1.78</v>
      </c>
      <c r="V15" s="62">
        <v>0.99</v>
      </c>
      <c r="W15" s="62">
        <v>1.31</v>
      </c>
      <c r="X15" s="62">
        <v>1.08</v>
      </c>
      <c r="Y15" s="62">
        <v>-0.62</v>
      </c>
      <c r="Z15" s="62">
        <v>0.95</v>
      </c>
      <c r="AA15" s="62">
        <v>1.5</v>
      </c>
      <c r="AB15" s="62">
        <v>1.59</v>
      </c>
      <c r="AE15" s="62">
        <v>1.1599999999999999</v>
      </c>
      <c r="AF15" s="62">
        <v>3.46</v>
      </c>
      <c r="AG15" s="62">
        <v>1.82</v>
      </c>
      <c r="AH15" s="62">
        <v>0.86</v>
      </c>
      <c r="AI15" s="62">
        <v>1.63</v>
      </c>
      <c r="AJ15" s="62">
        <v>3.68</v>
      </c>
      <c r="AK15" s="62">
        <v>1.63</v>
      </c>
      <c r="AL15" s="62">
        <v>1.01</v>
      </c>
      <c r="AN15" s="62">
        <v>0.45</v>
      </c>
      <c r="AQ15" s="62">
        <v>1.04</v>
      </c>
      <c r="AR15" s="62">
        <v>1.96</v>
      </c>
      <c r="AS15" s="62">
        <v>4.67</v>
      </c>
      <c r="AT15" s="62">
        <v>0.7</v>
      </c>
      <c r="AV15" s="62">
        <v>1.43</v>
      </c>
      <c r="AX15" s="62">
        <v>2.4700000000000002</v>
      </c>
      <c r="AY15" s="62">
        <v>1</v>
      </c>
      <c r="AZ15" s="62">
        <v>0.93</v>
      </c>
      <c r="BA15" s="62">
        <v>3.1</v>
      </c>
      <c r="BC15" s="62">
        <v>0.75</v>
      </c>
      <c r="BD15" s="62">
        <v>0.81</v>
      </c>
      <c r="BE15" s="62">
        <v>4.04</v>
      </c>
      <c r="BH15" s="62">
        <v>0.93</v>
      </c>
      <c r="BJ15" s="62">
        <v>0.42</v>
      </c>
      <c r="BK15" s="62">
        <v>2.63</v>
      </c>
      <c r="BL15" s="62">
        <v>0.57999999999999996</v>
      </c>
      <c r="BN15" s="62">
        <v>1.07</v>
      </c>
      <c r="BO15" s="62">
        <v>0.44</v>
      </c>
      <c r="BQ15" s="62">
        <v>6.92</v>
      </c>
      <c r="BS15" s="62">
        <v>15.76</v>
      </c>
      <c r="BT15" s="62">
        <v>2.5099999999999998</v>
      </c>
      <c r="BU15" s="62">
        <v>1.29</v>
      </c>
      <c r="BV15" s="62">
        <v>27.03</v>
      </c>
      <c r="BW15" s="62">
        <v>2.35</v>
      </c>
      <c r="BX15" s="62">
        <v>1.03</v>
      </c>
      <c r="BY15" s="62">
        <v>-4.46</v>
      </c>
      <c r="BZ15" s="62">
        <v>0.95</v>
      </c>
      <c r="CB15" s="62">
        <v>0.45</v>
      </c>
      <c r="CC15" s="62">
        <v>4.59</v>
      </c>
      <c r="CD15" s="62">
        <v>0.59</v>
      </c>
      <c r="CE15" s="62">
        <v>3.14</v>
      </c>
      <c r="CF15" s="62">
        <v>0.73</v>
      </c>
      <c r="CH15" s="62">
        <v>2.68</v>
      </c>
      <c r="CI15" s="62">
        <v>3.82</v>
      </c>
      <c r="CJ15" s="62">
        <v>0.23</v>
      </c>
      <c r="CL15" s="62">
        <v>2.5499999999999998</v>
      </c>
      <c r="CM15" s="62">
        <v>2.8</v>
      </c>
      <c r="CN15" s="62">
        <v>1.71</v>
      </c>
      <c r="CO15" s="62">
        <v>7.99</v>
      </c>
      <c r="CP15" s="62">
        <v>0.69</v>
      </c>
      <c r="CR15" s="62">
        <v>2.0299999999999998</v>
      </c>
      <c r="CS15" s="62">
        <v>2.83</v>
      </c>
      <c r="CU15" s="62">
        <v>3.14</v>
      </c>
      <c r="CV15" s="62">
        <v>1.39</v>
      </c>
      <c r="CW15" s="62">
        <v>1</v>
      </c>
      <c r="CX15" s="62">
        <v>1.89</v>
      </c>
      <c r="CZ15" s="62">
        <v>0.72</v>
      </c>
      <c r="DA15" s="62">
        <v>2.11</v>
      </c>
      <c r="DB15" s="62">
        <v>5.49</v>
      </c>
      <c r="DC15" s="62">
        <v>1.33</v>
      </c>
      <c r="DD15" s="62">
        <v>1.36</v>
      </c>
      <c r="DF15" s="62">
        <v>0.5</v>
      </c>
      <c r="DG15" s="62">
        <v>1.05</v>
      </c>
      <c r="DH15" s="62">
        <v>-8.33</v>
      </c>
      <c r="DJ15" s="62">
        <v>2.0699999999999998</v>
      </c>
      <c r="DK15" s="62">
        <v>1.24</v>
      </c>
      <c r="DM15" s="62">
        <v>1.25</v>
      </c>
      <c r="DN15" s="62">
        <v>2.59</v>
      </c>
      <c r="DO15" s="62">
        <v>2.3199999999999998</v>
      </c>
    </row>
    <row r="16" spans="1:120" x14ac:dyDescent="0.3">
      <c r="A16" s="64" t="s">
        <v>9036</v>
      </c>
      <c r="B16" s="62">
        <v>1.52</v>
      </c>
      <c r="C16" s="62">
        <v>-2.82</v>
      </c>
      <c r="E16" s="62">
        <v>0.86</v>
      </c>
      <c r="F16" s="62">
        <v>-0.3</v>
      </c>
      <c r="G16" s="62">
        <v>1.22</v>
      </c>
      <c r="H16" s="62">
        <v>1.0900000000000001</v>
      </c>
      <c r="J16" s="62">
        <v>0.88</v>
      </c>
      <c r="K16" s="62">
        <v>1.49</v>
      </c>
      <c r="L16" s="62">
        <v>1.02</v>
      </c>
      <c r="M16" s="62">
        <v>2.89</v>
      </c>
      <c r="N16" s="62">
        <v>0.92</v>
      </c>
      <c r="O16" s="62">
        <v>-0.01</v>
      </c>
      <c r="P16" s="62">
        <v>3.84</v>
      </c>
      <c r="Q16" s="62">
        <v>3.6</v>
      </c>
      <c r="R16" s="62">
        <v>13.47</v>
      </c>
      <c r="S16" s="62">
        <v>1.4</v>
      </c>
      <c r="T16" s="62">
        <v>1.27</v>
      </c>
      <c r="U16" s="62">
        <v>1.81</v>
      </c>
      <c r="V16" s="62">
        <v>1.04</v>
      </c>
      <c r="W16" s="62">
        <v>1.3</v>
      </c>
      <c r="X16" s="62">
        <v>1.1299999999999999</v>
      </c>
      <c r="Y16" s="62">
        <v>-0.62</v>
      </c>
      <c r="Z16" s="62">
        <v>0.95</v>
      </c>
      <c r="AA16" s="62">
        <v>1.57</v>
      </c>
      <c r="AB16" s="62">
        <v>1.73</v>
      </c>
      <c r="AE16" s="62">
        <v>1.1599999999999999</v>
      </c>
      <c r="AF16" s="62">
        <v>3.74</v>
      </c>
      <c r="AG16" s="62">
        <v>1.77</v>
      </c>
      <c r="AH16" s="62">
        <v>0.75</v>
      </c>
      <c r="AI16" s="62">
        <v>1.61</v>
      </c>
      <c r="AJ16" s="62">
        <v>3.67</v>
      </c>
      <c r="AK16" s="62">
        <v>1.42</v>
      </c>
      <c r="AL16" s="62">
        <v>1.17</v>
      </c>
      <c r="AN16" s="62">
        <v>1.1399999999999999</v>
      </c>
      <c r="AQ16" s="62">
        <v>1.07</v>
      </c>
      <c r="AR16" s="62">
        <v>2.12</v>
      </c>
      <c r="AS16" s="62">
        <v>4.93</v>
      </c>
      <c r="AT16" s="62">
        <v>0.74</v>
      </c>
      <c r="AV16" s="62">
        <v>1.39</v>
      </c>
      <c r="AX16" s="62">
        <v>2.31</v>
      </c>
      <c r="AY16" s="62">
        <v>1.03</v>
      </c>
      <c r="AZ16" s="62">
        <v>0.95</v>
      </c>
      <c r="BA16" s="62">
        <v>3.05</v>
      </c>
      <c r="BC16" s="62">
        <v>0.78</v>
      </c>
      <c r="BD16" s="62">
        <v>0.9</v>
      </c>
      <c r="BE16" s="62">
        <v>3.06</v>
      </c>
      <c r="BH16" s="62">
        <v>0.93</v>
      </c>
      <c r="BJ16" s="62">
        <v>0.46</v>
      </c>
      <c r="BK16" s="62">
        <v>2.59</v>
      </c>
      <c r="BL16" s="62">
        <v>0.63</v>
      </c>
      <c r="BN16" s="62">
        <v>1.06</v>
      </c>
      <c r="BO16" s="62">
        <v>0.44</v>
      </c>
      <c r="BQ16" s="62">
        <v>6.76</v>
      </c>
      <c r="BS16" s="62">
        <v>15.76</v>
      </c>
      <c r="BT16" s="62">
        <v>2.2000000000000002</v>
      </c>
      <c r="BU16" s="62">
        <v>1.2</v>
      </c>
      <c r="BV16" s="62">
        <v>27.03</v>
      </c>
      <c r="BW16" s="62">
        <v>2.36</v>
      </c>
      <c r="BX16" s="62">
        <v>1.05</v>
      </c>
      <c r="BY16" s="62">
        <v>-5.57</v>
      </c>
      <c r="BZ16" s="62">
        <v>0.96</v>
      </c>
      <c r="CB16" s="62">
        <v>0.26</v>
      </c>
      <c r="CC16" s="62">
        <v>4.4000000000000004</v>
      </c>
      <c r="CD16" s="62">
        <v>0.61</v>
      </c>
      <c r="CE16" s="62">
        <v>3.12</v>
      </c>
      <c r="CF16" s="62">
        <v>0.73</v>
      </c>
      <c r="CH16" s="62">
        <v>2.5299999999999998</v>
      </c>
      <c r="CI16" s="62">
        <v>3.67</v>
      </c>
      <c r="CJ16" s="62">
        <v>0.36</v>
      </c>
      <c r="CL16" s="62">
        <v>2.46</v>
      </c>
      <c r="CM16" s="62">
        <v>3.04</v>
      </c>
      <c r="CN16" s="62">
        <v>1.71</v>
      </c>
      <c r="CO16" s="62">
        <v>7.75</v>
      </c>
      <c r="CP16" s="62">
        <v>0.7</v>
      </c>
      <c r="CR16" s="62">
        <v>2.0299999999999998</v>
      </c>
      <c r="CS16" s="62">
        <v>2.83</v>
      </c>
      <c r="CU16" s="62">
        <v>3.06</v>
      </c>
      <c r="CV16" s="62">
        <v>1.55</v>
      </c>
      <c r="CW16" s="62">
        <v>1.02</v>
      </c>
      <c r="CX16" s="62">
        <v>1.96</v>
      </c>
      <c r="CZ16" s="62">
        <v>0.67</v>
      </c>
      <c r="DA16" s="62">
        <v>2</v>
      </c>
      <c r="DB16" s="62">
        <v>5.92</v>
      </c>
      <c r="DC16" s="62">
        <v>1.21</v>
      </c>
      <c r="DD16" s="62">
        <v>1.48</v>
      </c>
      <c r="DF16" s="62">
        <v>0.45</v>
      </c>
      <c r="DG16" s="62">
        <v>1.04</v>
      </c>
      <c r="DH16" s="62">
        <v>-8.33</v>
      </c>
      <c r="DJ16" s="62">
        <v>1.95</v>
      </c>
      <c r="DK16" s="62">
        <v>1.27</v>
      </c>
      <c r="DM16" s="62">
        <v>1.32</v>
      </c>
      <c r="DN16" s="62">
        <v>2.64</v>
      </c>
      <c r="DO16" s="62">
        <v>2.1</v>
      </c>
    </row>
    <row r="17" spans="1:120" x14ac:dyDescent="0.3">
      <c r="A17" s="64" t="s">
        <v>9037</v>
      </c>
      <c r="B17" s="62">
        <v>1.45</v>
      </c>
      <c r="C17" s="62">
        <v>-1.74</v>
      </c>
      <c r="E17" s="62">
        <v>0.93</v>
      </c>
      <c r="F17" s="62">
        <v>-0.24</v>
      </c>
      <c r="G17" s="62">
        <v>1.1499999999999999</v>
      </c>
      <c r="H17" s="62">
        <v>1.04</v>
      </c>
      <c r="J17" s="62">
        <v>0.83</v>
      </c>
      <c r="K17" s="62">
        <v>1.56</v>
      </c>
      <c r="L17" s="62">
        <v>1.1100000000000001</v>
      </c>
      <c r="M17" s="62">
        <v>2.98</v>
      </c>
      <c r="N17" s="62">
        <v>0.92</v>
      </c>
      <c r="O17" s="62">
        <v>-0.01</v>
      </c>
      <c r="P17" s="62">
        <v>3.04</v>
      </c>
      <c r="Q17" s="62">
        <v>3.68</v>
      </c>
      <c r="R17" s="62">
        <v>6.96</v>
      </c>
      <c r="S17" s="62">
        <v>1.38</v>
      </c>
      <c r="T17" s="62">
        <v>1.32</v>
      </c>
      <c r="U17" s="62">
        <v>1.75</v>
      </c>
      <c r="V17" s="62">
        <v>1.05</v>
      </c>
      <c r="W17" s="62">
        <v>1.32</v>
      </c>
      <c r="X17" s="62">
        <v>1.18</v>
      </c>
      <c r="Y17" s="62">
        <v>1.47</v>
      </c>
      <c r="Z17" s="62">
        <v>0.95</v>
      </c>
      <c r="AA17" s="62">
        <v>1.67</v>
      </c>
      <c r="AB17" s="62">
        <v>1.74</v>
      </c>
      <c r="AE17" s="62">
        <v>0.93</v>
      </c>
      <c r="AF17" s="62">
        <v>3.55</v>
      </c>
      <c r="AG17" s="62">
        <v>1.66</v>
      </c>
      <c r="AH17" s="62">
        <v>0.89</v>
      </c>
      <c r="AI17" s="62">
        <v>1.74</v>
      </c>
      <c r="AJ17" s="62">
        <v>3.72</v>
      </c>
      <c r="AK17" s="62">
        <v>1.71</v>
      </c>
      <c r="AL17" s="62">
        <v>1.03</v>
      </c>
      <c r="AN17" s="62">
        <v>1</v>
      </c>
      <c r="AQ17" s="62">
        <v>1.01</v>
      </c>
      <c r="AR17" s="62">
        <v>1.84</v>
      </c>
      <c r="AS17" s="62">
        <v>5.1100000000000003</v>
      </c>
      <c r="AT17" s="62">
        <v>0.8</v>
      </c>
      <c r="AV17" s="62">
        <v>1.1499999999999999</v>
      </c>
      <c r="AX17" s="62">
        <v>1.98</v>
      </c>
      <c r="AY17" s="62">
        <v>1</v>
      </c>
      <c r="AZ17" s="62">
        <v>0.95</v>
      </c>
      <c r="BA17" s="62">
        <v>2.5299999999999998</v>
      </c>
      <c r="BC17" s="62">
        <v>0.78</v>
      </c>
      <c r="BD17" s="62">
        <v>0.89</v>
      </c>
      <c r="BE17" s="62">
        <v>2.78</v>
      </c>
      <c r="BH17" s="62">
        <v>0.92</v>
      </c>
      <c r="BJ17" s="62">
        <v>0.49</v>
      </c>
      <c r="BK17" s="62">
        <v>4.12</v>
      </c>
      <c r="BL17" s="62">
        <v>1.29</v>
      </c>
      <c r="BN17" s="62">
        <v>0.99</v>
      </c>
      <c r="BO17" s="62">
        <v>0.39</v>
      </c>
      <c r="BQ17" s="62">
        <v>6.92</v>
      </c>
      <c r="BS17" s="62">
        <v>9.31</v>
      </c>
      <c r="BT17" s="62">
        <v>16.7</v>
      </c>
      <c r="BU17" s="62">
        <v>1.1100000000000001</v>
      </c>
      <c r="BV17" s="62">
        <v>1.86</v>
      </c>
      <c r="BW17" s="62">
        <v>2.33</v>
      </c>
      <c r="BX17" s="62">
        <v>1.05</v>
      </c>
      <c r="BY17" s="62">
        <v>-4.68</v>
      </c>
      <c r="BZ17" s="62">
        <v>1</v>
      </c>
      <c r="CB17" s="62">
        <v>0.56999999999999995</v>
      </c>
      <c r="CC17" s="62">
        <v>4.22</v>
      </c>
      <c r="CD17" s="62">
        <v>0.61</v>
      </c>
      <c r="CE17" s="62">
        <v>2.71</v>
      </c>
      <c r="CF17" s="62">
        <v>0.75</v>
      </c>
      <c r="CH17" s="62">
        <v>2.25</v>
      </c>
      <c r="CI17" s="62">
        <v>3.98</v>
      </c>
      <c r="CJ17" s="62">
        <v>0.39</v>
      </c>
      <c r="CL17" s="62">
        <v>2.29</v>
      </c>
      <c r="CM17" s="62">
        <v>3.13</v>
      </c>
      <c r="CN17" s="62">
        <v>1.76</v>
      </c>
      <c r="CO17" s="62">
        <v>5.32</v>
      </c>
      <c r="CP17" s="62">
        <v>0.74</v>
      </c>
      <c r="CQ17" s="62">
        <v>6.53</v>
      </c>
      <c r="CR17" s="62">
        <v>2.2799999999999998</v>
      </c>
      <c r="CS17" s="62">
        <v>2.83</v>
      </c>
      <c r="CU17" s="62">
        <v>3.02</v>
      </c>
      <c r="CV17" s="62">
        <v>1.49</v>
      </c>
      <c r="CW17" s="62">
        <v>1.01</v>
      </c>
      <c r="CX17" s="62">
        <v>2.0099999999999998</v>
      </c>
      <c r="CZ17" s="62">
        <v>0.67</v>
      </c>
      <c r="DA17" s="62">
        <v>2.0699999999999998</v>
      </c>
      <c r="DB17" s="62">
        <v>6.24</v>
      </c>
      <c r="DC17" s="62">
        <v>1.19</v>
      </c>
      <c r="DD17" s="62">
        <v>1.56</v>
      </c>
      <c r="DF17" s="62">
        <v>0.44</v>
      </c>
      <c r="DG17" s="62">
        <v>1.04</v>
      </c>
      <c r="DH17" s="62">
        <v>-6.67</v>
      </c>
      <c r="DJ17" s="62">
        <v>1.87</v>
      </c>
      <c r="DK17" s="62">
        <v>1.27</v>
      </c>
      <c r="DM17" s="62">
        <v>1.35</v>
      </c>
      <c r="DN17" s="62">
        <v>2.7</v>
      </c>
      <c r="DO17" s="62">
        <v>2.17</v>
      </c>
    </row>
    <row r="18" spans="1:120" x14ac:dyDescent="0.3">
      <c r="A18" s="64" t="s">
        <v>9038</v>
      </c>
      <c r="B18" s="62">
        <v>1.29</v>
      </c>
      <c r="C18" s="62">
        <v>-1.74</v>
      </c>
      <c r="E18" s="62">
        <v>0.91</v>
      </c>
      <c r="F18" s="62">
        <v>-0.28000000000000003</v>
      </c>
      <c r="G18" s="62">
        <v>1.04</v>
      </c>
      <c r="H18" s="62">
        <v>1.1100000000000001</v>
      </c>
      <c r="J18" s="62">
        <v>0.85</v>
      </c>
      <c r="K18" s="62">
        <v>1.63</v>
      </c>
      <c r="L18" s="62">
        <v>1.1100000000000001</v>
      </c>
      <c r="M18" s="62">
        <v>3.85</v>
      </c>
      <c r="N18" s="62">
        <v>0.87</v>
      </c>
      <c r="O18" s="62">
        <v>-0.01</v>
      </c>
      <c r="P18" s="62">
        <v>2.5</v>
      </c>
      <c r="Q18" s="62">
        <v>3.88</v>
      </c>
      <c r="R18" s="62">
        <v>6.29</v>
      </c>
      <c r="S18" s="62">
        <v>1.32</v>
      </c>
      <c r="T18" s="62">
        <v>1.34</v>
      </c>
      <c r="U18" s="62">
        <v>1.71</v>
      </c>
      <c r="V18" s="62">
        <v>1.05</v>
      </c>
      <c r="W18" s="62">
        <v>1.27</v>
      </c>
      <c r="X18" s="62">
        <v>1.0900000000000001</v>
      </c>
      <c r="Y18" s="62">
        <v>1.47</v>
      </c>
      <c r="Z18" s="62">
        <v>0.95</v>
      </c>
      <c r="AA18" s="62">
        <v>1.77</v>
      </c>
      <c r="AB18" s="62">
        <v>1.82</v>
      </c>
      <c r="AE18" s="62">
        <v>0.98</v>
      </c>
      <c r="AF18" s="62">
        <v>3.65</v>
      </c>
      <c r="AG18" s="62">
        <v>1.68</v>
      </c>
      <c r="AH18" s="62">
        <v>0.87</v>
      </c>
      <c r="AI18" s="62">
        <v>1.92</v>
      </c>
      <c r="AJ18" s="62">
        <v>3.74</v>
      </c>
      <c r="AK18" s="62">
        <v>1.71</v>
      </c>
      <c r="AL18" s="62">
        <v>1.56</v>
      </c>
      <c r="AN18" s="62">
        <v>0.9</v>
      </c>
      <c r="AQ18" s="62">
        <v>1.1000000000000001</v>
      </c>
      <c r="AR18" s="62">
        <v>1.93</v>
      </c>
      <c r="AS18" s="62">
        <v>5.0199999999999996</v>
      </c>
      <c r="AT18" s="62">
        <v>0.81</v>
      </c>
      <c r="AV18" s="62">
        <v>1.1100000000000001</v>
      </c>
      <c r="AX18" s="62">
        <v>1.98</v>
      </c>
      <c r="AY18" s="62">
        <v>1.01</v>
      </c>
      <c r="AZ18" s="62">
        <v>0.99</v>
      </c>
      <c r="BA18" s="62">
        <v>2.35</v>
      </c>
      <c r="BC18" s="62">
        <v>0.78</v>
      </c>
      <c r="BD18" s="62">
        <v>0.92</v>
      </c>
      <c r="BE18" s="62">
        <v>2.23</v>
      </c>
      <c r="BH18" s="62">
        <v>1.05</v>
      </c>
      <c r="BJ18" s="62">
        <v>0.52</v>
      </c>
      <c r="BK18" s="62">
        <v>4.09</v>
      </c>
      <c r="BL18" s="62">
        <v>1.23</v>
      </c>
      <c r="BN18" s="62">
        <v>0.96</v>
      </c>
      <c r="BO18" s="62">
        <v>0.34</v>
      </c>
      <c r="BQ18" s="62">
        <v>6.97</v>
      </c>
      <c r="BS18" s="62">
        <v>9.0299999999999994</v>
      </c>
      <c r="BT18" s="62">
        <v>17.52</v>
      </c>
      <c r="BU18" s="62">
        <v>1.1399999999999999</v>
      </c>
      <c r="BV18" s="62">
        <v>2.79</v>
      </c>
      <c r="BW18" s="62">
        <v>2.6</v>
      </c>
      <c r="BX18" s="62">
        <v>1.0900000000000001</v>
      </c>
      <c r="BY18" s="62">
        <v>-4.68</v>
      </c>
      <c r="BZ18" s="62">
        <v>1.05</v>
      </c>
      <c r="CB18" s="62">
        <v>0.55000000000000004</v>
      </c>
      <c r="CC18" s="62">
        <v>4.4800000000000004</v>
      </c>
      <c r="CD18" s="62">
        <v>0.56999999999999995</v>
      </c>
      <c r="CE18" s="62">
        <v>3.22</v>
      </c>
      <c r="CF18" s="62">
        <v>0.78</v>
      </c>
      <c r="CH18" s="62">
        <v>2.4900000000000002</v>
      </c>
      <c r="CI18" s="62">
        <v>4.32</v>
      </c>
      <c r="CJ18" s="62">
        <v>0.41</v>
      </c>
      <c r="CL18" s="62">
        <v>2.29</v>
      </c>
      <c r="CM18" s="62">
        <v>3.22</v>
      </c>
      <c r="CN18" s="62">
        <v>1.92</v>
      </c>
      <c r="CO18" s="62">
        <v>5.49</v>
      </c>
      <c r="CP18" s="62">
        <v>0.73</v>
      </c>
      <c r="CQ18" s="62">
        <v>6.75</v>
      </c>
      <c r="CR18" s="62">
        <v>1.9</v>
      </c>
      <c r="CS18" s="62">
        <v>2.79</v>
      </c>
      <c r="CU18" s="62">
        <v>3.34</v>
      </c>
      <c r="CV18" s="62">
        <v>1.42</v>
      </c>
      <c r="CW18" s="62">
        <v>1.04</v>
      </c>
      <c r="CX18" s="62">
        <v>2.4300000000000002</v>
      </c>
      <c r="CZ18" s="62">
        <v>0.68</v>
      </c>
      <c r="DA18" s="62">
        <v>2.0299999999999998</v>
      </c>
      <c r="DB18" s="62">
        <v>7.97</v>
      </c>
      <c r="DC18" s="62">
        <v>1.1100000000000001</v>
      </c>
      <c r="DD18" s="62">
        <v>1.56</v>
      </c>
      <c r="DF18" s="62">
        <v>0.41</v>
      </c>
      <c r="DG18" s="62">
        <v>0.94</v>
      </c>
      <c r="DH18" s="62">
        <v>-6.67</v>
      </c>
      <c r="DJ18" s="62">
        <v>2.27</v>
      </c>
      <c r="DK18" s="62">
        <v>1.25</v>
      </c>
      <c r="DM18" s="62">
        <v>1.39</v>
      </c>
      <c r="DN18" s="62">
        <v>3.1</v>
      </c>
      <c r="DO18" s="62">
        <v>1.82</v>
      </c>
    </row>
    <row r="19" spans="1:120" x14ac:dyDescent="0.3">
      <c r="A19" s="64" t="s">
        <v>9039</v>
      </c>
      <c r="B19" s="62">
        <v>1.21</v>
      </c>
      <c r="C19" s="62">
        <v>-1.74</v>
      </c>
      <c r="E19" s="62">
        <v>0.89</v>
      </c>
      <c r="F19" s="62">
        <v>-0.28000000000000003</v>
      </c>
      <c r="G19" s="62">
        <v>0.94</v>
      </c>
      <c r="H19" s="62">
        <v>1.08</v>
      </c>
      <c r="J19" s="62">
        <v>0.94</v>
      </c>
      <c r="K19" s="62">
        <v>1.59</v>
      </c>
      <c r="L19" s="62">
        <v>1.18</v>
      </c>
      <c r="M19" s="62">
        <v>3.91</v>
      </c>
      <c r="N19" s="62">
        <v>0.87</v>
      </c>
      <c r="O19" s="62">
        <v>-0.01</v>
      </c>
      <c r="P19" s="62">
        <v>2.3199999999999998</v>
      </c>
      <c r="Q19" s="62">
        <v>4.01</v>
      </c>
      <c r="R19" s="62">
        <v>6.74</v>
      </c>
      <c r="S19" s="62">
        <v>1.21</v>
      </c>
      <c r="T19" s="62">
        <v>1.36</v>
      </c>
      <c r="U19" s="62">
        <v>1.55</v>
      </c>
      <c r="V19" s="62">
        <v>1</v>
      </c>
      <c r="W19" s="62">
        <v>1.3</v>
      </c>
      <c r="X19" s="62">
        <v>1.07</v>
      </c>
      <c r="Y19" s="62">
        <v>1.47</v>
      </c>
      <c r="Z19" s="62">
        <v>0.82</v>
      </c>
      <c r="AA19" s="62">
        <v>1.87</v>
      </c>
      <c r="AB19" s="62">
        <v>2.02</v>
      </c>
      <c r="AE19" s="62">
        <v>1.02</v>
      </c>
      <c r="AF19" s="62">
        <v>4.2300000000000004</v>
      </c>
      <c r="AG19" s="62">
        <v>1.62</v>
      </c>
      <c r="AH19" s="62">
        <v>0.91</v>
      </c>
      <c r="AI19" s="62">
        <v>1.81</v>
      </c>
      <c r="AJ19" s="62">
        <v>3.5</v>
      </c>
      <c r="AK19" s="62">
        <v>2.2799999999999998</v>
      </c>
      <c r="AL19" s="62">
        <v>1.03</v>
      </c>
      <c r="AN19" s="62">
        <v>1.34</v>
      </c>
      <c r="AQ19" s="62">
        <v>1.07</v>
      </c>
      <c r="AR19" s="62">
        <v>1.99</v>
      </c>
      <c r="AS19" s="62">
        <v>4.8899999999999997</v>
      </c>
      <c r="AT19" s="62">
        <v>0.83</v>
      </c>
      <c r="AV19" s="62">
        <v>1.0900000000000001</v>
      </c>
      <c r="AX19" s="62">
        <v>1.98</v>
      </c>
      <c r="AY19" s="62">
        <v>1.02</v>
      </c>
      <c r="AZ19" s="62">
        <v>0.97</v>
      </c>
      <c r="BA19" s="62">
        <v>2.31</v>
      </c>
      <c r="BC19" s="62">
        <v>0.8</v>
      </c>
      <c r="BD19" s="62">
        <v>0.95</v>
      </c>
      <c r="BE19" s="62">
        <v>2.5</v>
      </c>
      <c r="BF19" s="62">
        <v>1.06</v>
      </c>
      <c r="BH19" s="62">
        <v>0.94</v>
      </c>
      <c r="BJ19" s="62">
        <v>0.54</v>
      </c>
      <c r="BK19" s="62">
        <v>4.1900000000000004</v>
      </c>
      <c r="BL19" s="62">
        <v>0.8</v>
      </c>
      <c r="BN19" s="62">
        <v>0.93</v>
      </c>
      <c r="BO19" s="62">
        <v>0.31</v>
      </c>
      <c r="BQ19" s="62">
        <v>7.28</v>
      </c>
      <c r="BS19" s="62">
        <v>8.07</v>
      </c>
      <c r="BT19" s="62">
        <v>13.03</v>
      </c>
      <c r="BU19" s="62">
        <v>0.75</v>
      </c>
      <c r="BV19" s="62">
        <v>2.79</v>
      </c>
      <c r="BW19" s="62">
        <v>2.41</v>
      </c>
      <c r="BX19" s="62">
        <v>1.1000000000000001</v>
      </c>
      <c r="BY19" s="62">
        <v>-7.8</v>
      </c>
      <c r="BZ19" s="62">
        <v>1.02</v>
      </c>
      <c r="CB19" s="62">
        <v>0.48</v>
      </c>
      <c r="CC19" s="62">
        <v>4.54</v>
      </c>
      <c r="CD19" s="62">
        <v>0.59</v>
      </c>
      <c r="CE19" s="62">
        <v>3.54</v>
      </c>
      <c r="CF19" s="62">
        <v>0.79</v>
      </c>
      <c r="CH19" s="62">
        <v>2.34</v>
      </c>
      <c r="CI19" s="62">
        <v>5.01</v>
      </c>
      <c r="CJ19" s="62">
        <v>0.45</v>
      </c>
      <c r="CL19" s="62">
        <v>2.09</v>
      </c>
      <c r="CM19" s="62">
        <v>2.97</v>
      </c>
      <c r="CN19" s="62">
        <v>1.94</v>
      </c>
      <c r="CO19" s="62">
        <v>5.99</v>
      </c>
      <c r="CP19" s="62">
        <v>0.75</v>
      </c>
      <c r="CQ19" s="62">
        <v>5.69</v>
      </c>
      <c r="CR19" s="62">
        <v>1.9</v>
      </c>
      <c r="CS19" s="62">
        <v>2.92</v>
      </c>
      <c r="CU19" s="62">
        <v>2.98</v>
      </c>
      <c r="CV19" s="62">
        <v>1.42</v>
      </c>
      <c r="CW19" s="62">
        <v>0.99</v>
      </c>
      <c r="CX19" s="62">
        <v>2.34</v>
      </c>
      <c r="CZ19" s="62">
        <v>0.7</v>
      </c>
      <c r="DA19" s="62">
        <v>1.95</v>
      </c>
      <c r="DB19" s="62">
        <v>7.54</v>
      </c>
      <c r="DC19" s="62">
        <v>1.04</v>
      </c>
      <c r="DD19" s="62">
        <v>1.56</v>
      </c>
      <c r="DF19" s="62">
        <v>0.43</v>
      </c>
      <c r="DG19" s="62">
        <v>1.04</v>
      </c>
      <c r="DH19" s="62">
        <v>-6.67</v>
      </c>
      <c r="DJ19" s="62">
        <v>1.93</v>
      </c>
      <c r="DK19" s="62">
        <v>1.3</v>
      </c>
      <c r="DM19" s="62">
        <v>1.4</v>
      </c>
      <c r="DN19" s="62">
        <v>2.98</v>
      </c>
      <c r="DO19" s="62">
        <v>2.17</v>
      </c>
    </row>
    <row r="20" spans="1:120" x14ac:dyDescent="0.3">
      <c r="A20" s="64" t="s">
        <v>9040</v>
      </c>
      <c r="B20" s="62">
        <v>1.26</v>
      </c>
      <c r="C20" s="62">
        <v>-1.1599999999999999</v>
      </c>
      <c r="E20" s="62">
        <v>0.87</v>
      </c>
      <c r="F20" s="62">
        <v>-0.46</v>
      </c>
      <c r="G20" s="62">
        <v>0.94</v>
      </c>
      <c r="H20" s="62">
        <v>1.02</v>
      </c>
      <c r="J20" s="62">
        <v>0.93</v>
      </c>
      <c r="K20" s="62">
        <v>1.22</v>
      </c>
      <c r="L20" s="62">
        <v>1.18</v>
      </c>
      <c r="M20" s="62">
        <v>3.54</v>
      </c>
      <c r="N20" s="62">
        <v>0.99</v>
      </c>
      <c r="O20" s="62">
        <v>-0.08</v>
      </c>
      <c r="P20" s="62">
        <v>1.79</v>
      </c>
      <c r="Q20" s="62">
        <v>3.83</v>
      </c>
      <c r="R20" s="62">
        <v>8.09</v>
      </c>
      <c r="S20" s="62">
        <v>1.23</v>
      </c>
      <c r="T20" s="62">
        <v>1.36</v>
      </c>
      <c r="U20" s="62">
        <v>1.31</v>
      </c>
      <c r="V20" s="62">
        <v>0.93</v>
      </c>
      <c r="W20" s="62">
        <v>1.32</v>
      </c>
      <c r="X20" s="62">
        <v>1.04</v>
      </c>
      <c r="Y20" s="62">
        <v>2.5</v>
      </c>
      <c r="Z20" s="62">
        <v>0.99</v>
      </c>
      <c r="AA20" s="62">
        <v>1.69</v>
      </c>
      <c r="AB20" s="62">
        <v>1.46</v>
      </c>
      <c r="AE20" s="62">
        <v>1.02</v>
      </c>
      <c r="AF20" s="62">
        <v>4.57</v>
      </c>
      <c r="AG20" s="62">
        <v>1.69</v>
      </c>
      <c r="AH20" s="62">
        <v>0.9</v>
      </c>
      <c r="AI20" s="62">
        <v>1.72</v>
      </c>
      <c r="AJ20" s="62">
        <v>3.45</v>
      </c>
      <c r="AK20" s="62">
        <v>2.13</v>
      </c>
      <c r="AL20" s="62">
        <v>1.1499999999999999</v>
      </c>
      <c r="AN20" s="62">
        <v>1.61</v>
      </c>
      <c r="AQ20" s="62">
        <v>1</v>
      </c>
      <c r="AR20" s="62">
        <v>1.91</v>
      </c>
      <c r="AS20" s="62">
        <v>4.41</v>
      </c>
      <c r="AT20" s="62">
        <v>0.85</v>
      </c>
      <c r="AV20" s="62">
        <v>1.07</v>
      </c>
      <c r="AX20" s="62">
        <v>2.14</v>
      </c>
      <c r="AY20" s="62">
        <v>0.92</v>
      </c>
      <c r="AZ20" s="62">
        <v>0.97</v>
      </c>
      <c r="BA20" s="62">
        <v>2.42</v>
      </c>
      <c r="BC20" s="62">
        <v>0.78</v>
      </c>
      <c r="BD20" s="62">
        <v>0.9</v>
      </c>
      <c r="BE20" s="62">
        <v>1.72</v>
      </c>
      <c r="BF20" s="62">
        <v>0.97</v>
      </c>
      <c r="BH20" s="62">
        <v>0.87</v>
      </c>
      <c r="BJ20" s="62">
        <v>0.51</v>
      </c>
      <c r="BK20" s="62">
        <v>3.92</v>
      </c>
      <c r="BL20" s="62">
        <v>0.8</v>
      </c>
      <c r="BN20" s="62">
        <v>1.07</v>
      </c>
      <c r="BO20" s="62">
        <v>0.35</v>
      </c>
      <c r="BQ20" s="62">
        <v>6.81</v>
      </c>
      <c r="BS20" s="62">
        <v>8.35</v>
      </c>
      <c r="BT20" s="62">
        <v>12.22</v>
      </c>
      <c r="BU20" s="62">
        <v>0.85</v>
      </c>
      <c r="BV20" s="62">
        <v>2.79</v>
      </c>
      <c r="BW20" s="62">
        <v>2.2599999999999998</v>
      </c>
      <c r="BX20" s="62">
        <v>0.99</v>
      </c>
      <c r="BY20" s="62">
        <v>-8.91</v>
      </c>
      <c r="BZ20" s="62">
        <v>1.06</v>
      </c>
      <c r="CB20" s="62">
        <v>0.48</v>
      </c>
      <c r="CC20" s="62">
        <v>4.22</v>
      </c>
      <c r="CD20" s="62">
        <v>0.74</v>
      </c>
      <c r="CE20" s="62">
        <v>3.42</v>
      </c>
      <c r="CF20" s="62">
        <v>0.8</v>
      </c>
      <c r="CH20" s="62">
        <v>2.1</v>
      </c>
      <c r="CI20" s="62">
        <v>4.32</v>
      </c>
      <c r="CJ20" s="62">
        <v>0.44</v>
      </c>
      <c r="CL20" s="62">
        <v>1.75</v>
      </c>
      <c r="CM20" s="62">
        <v>3.23</v>
      </c>
      <c r="CN20" s="62">
        <v>1.69</v>
      </c>
      <c r="CO20" s="62">
        <v>5.32</v>
      </c>
      <c r="CP20" s="62">
        <v>0.8</v>
      </c>
      <c r="CQ20" s="62">
        <v>4.22</v>
      </c>
      <c r="CR20" s="62">
        <v>1.23</v>
      </c>
      <c r="CS20" s="62">
        <v>2.59</v>
      </c>
      <c r="CU20" s="62">
        <v>2.37</v>
      </c>
      <c r="CV20" s="62">
        <v>1.32</v>
      </c>
      <c r="CW20" s="62">
        <v>0.96</v>
      </c>
      <c r="CX20" s="62">
        <v>2.1800000000000002</v>
      </c>
      <c r="CZ20" s="62">
        <v>0.7</v>
      </c>
      <c r="DA20" s="62">
        <v>2.81</v>
      </c>
      <c r="DB20" s="62">
        <v>6.98</v>
      </c>
      <c r="DC20" s="62">
        <v>0.99</v>
      </c>
      <c r="DD20" s="62">
        <v>1.56</v>
      </c>
      <c r="DF20" s="62">
        <v>0.41</v>
      </c>
      <c r="DG20" s="62">
        <v>1.06</v>
      </c>
      <c r="DH20" s="62">
        <v>-6.67</v>
      </c>
      <c r="DJ20" s="62">
        <v>1.53</v>
      </c>
      <c r="DK20" s="62">
        <v>1.1599999999999999</v>
      </c>
      <c r="DM20" s="62">
        <v>1.32</v>
      </c>
      <c r="DN20" s="62">
        <v>2.78</v>
      </c>
      <c r="DO20" s="62">
        <v>1.88</v>
      </c>
    </row>
    <row r="21" spans="1:120" x14ac:dyDescent="0.3">
      <c r="A21" s="64" t="s">
        <v>9041</v>
      </c>
      <c r="B21" s="62">
        <v>1.26</v>
      </c>
      <c r="C21" s="62">
        <v>-1.1599999999999999</v>
      </c>
      <c r="E21" s="62">
        <v>0.85</v>
      </c>
      <c r="F21" s="62">
        <v>-0.36</v>
      </c>
      <c r="G21" s="62">
        <v>0.94</v>
      </c>
      <c r="H21" s="62">
        <v>1.04</v>
      </c>
      <c r="J21" s="62">
        <v>0.9</v>
      </c>
      <c r="K21" s="62">
        <v>1.31</v>
      </c>
      <c r="L21" s="62">
        <v>1.1399999999999999</v>
      </c>
      <c r="M21" s="62">
        <v>3.89</v>
      </c>
      <c r="N21" s="62">
        <v>1</v>
      </c>
      <c r="O21" s="62">
        <v>-0.08</v>
      </c>
      <c r="P21" s="62">
        <v>2.14</v>
      </c>
      <c r="Q21" s="62">
        <v>3.62</v>
      </c>
      <c r="R21" s="62">
        <v>7.86</v>
      </c>
      <c r="S21" s="62">
        <v>1.1599999999999999</v>
      </c>
      <c r="T21" s="62">
        <v>1.34</v>
      </c>
      <c r="U21" s="62">
        <v>1.46</v>
      </c>
      <c r="V21" s="62">
        <v>1.01</v>
      </c>
      <c r="W21" s="62">
        <v>1.35</v>
      </c>
      <c r="X21" s="62">
        <v>1.1100000000000001</v>
      </c>
      <c r="Y21" s="62">
        <v>2.35</v>
      </c>
      <c r="Z21" s="62">
        <v>1.04</v>
      </c>
      <c r="AA21" s="62">
        <v>1.62</v>
      </c>
      <c r="AB21" s="62">
        <v>1.49</v>
      </c>
      <c r="AE21" s="62">
        <v>1.02</v>
      </c>
      <c r="AF21" s="62">
        <v>4.78</v>
      </c>
      <c r="AG21" s="62">
        <v>1.65</v>
      </c>
      <c r="AH21" s="62">
        <v>0.9</v>
      </c>
      <c r="AI21" s="62">
        <v>1.77</v>
      </c>
      <c r="AJ21" s="62">
        <v>3.14</v>
      </c>
      <c r="AK21" s="62">
        <v>2.42</v>
      </c>
      <c r="AL21" s="62">
        <v>1.03</v>
      </c>
      <c r="AN21" s="62">
        <v>1.67</v>
      </c>
      <c r="AQ21" s="62">
        <v>1</v>
      </c>
      <c r="AR21" s="62">
        <v>1.94</v>
      </c>
      <c r="AS21" s="62">
        <v>4.22</v>
      </c>
      <c r="AT21" s="62">
        <v>0.89</v>
      </c>
      <c r="AV21" s="62">
        <v>1.19</v>
      </c>
      <c r="AX21" s="62">
        <v>1.65</v>
      </c>
      <c r="AY21" s="62">
        <v>0.97</v>
      </c>
      <c r="AZ21" s="62">
        <v>1.02</v>
      </c>
      <c r="BA21" s="62">
        <v>2.34</v>
      </c>
      <c r="BC21" s="62">
        <v>0.8</v>
      </c>
      <c r="BD21" s="62">
        <v>0.91</v>
      </c>
      <c r="BE21" s="62">
        <v>2.87</v>
      </c>
      <c r="BF21" s="62">
        <v>1.02</v>
      </c>
      <c r="BH21" s="62">
        <v>0.87</v>
      </c>
      <c r="BJ21" s="62">
        <v>0.52</v>
      </c>
      <c r="BK21" s="62">
        <v>4.3</v>
      </c>
      <c r="BL21" s="62">
        <v>0.74</v>
      </c>
      <c r="BN21" s="62">
        <v>1.04</v>
      </c>
      <c r="BO21" s="62">
        <v>0.33</v>
      </c>
      <c r="BQ21" s="62">
        <v>6.92</v>
      </c>
      <c r="BS21" s="62">
        <v>8.2100000000000009</v>
      </c>
      <c r="BT21" s="62">
        <v>12.22</v>
      </c>
      <c r="BU21" s="62">
        <v>0.9</v>
      </c>
      <c r="BV21" s="62">
        <v>2.79</v>
      </c>
      <c r="BW21" s="62">
        <v>2.36</v>
      </c>
      <c r="BX21" s="62">
        <v>0.99</v>
      </c>
      <c r="BY21" s="62">
        <v>-7.8</v>
      </c>
      <c r="BZ21" s="62">
        <v>1.07</v>
      </c>
      <c r="CB21" s="62">
        <v>0.56999999999999995</v>
      </c>
      <c r="CC21" s="62">
        <v>4.28</v>
      </c>
      <c r="CD21" s="62">
        <v>0.79</v>
      </c>
      <c r="CE21" s="62">
        <v>3.82</v>
      </c>
      <c r="CF21" s="62">
        <v>0.79</v>
      </c>
      <c r="CH21" s="62">
        <v>2.2000000000000002</v>
      </c>
      <c r="CI21" s="62">
        <v>4.32</v>
      </c>
      <c r="CJ21" s="62">
        <v>0.46</v>
      </c>
      <c r="CL21" s="62">
        <v>1.8</v>
      </c>
      <c r="CM21" s="62">
        <v>3.13</v>
      </c>
      <c r="CN21" s="62">
        <v>1.69</v>
      </c>
      <c r="CO21" s="62">
        <v>5.07</v>
      </c>
      <c r="CP21" s="62">
        <v>0.79</v>
      </c>
      <c r="CQ21" s="62">
        <v>5.0599999999999996</v>
      </c>
      <c r="CR21" s="62">
        <v>1.47</v>
      </c>
      <c r="CS21" s="62">
        <v>2.67</v>
      </c>
      <c r="CU21" s="62">
        <v>2.44</v>
      </c>
      <c r="CV21" s="62">
        <v>1.42</v>
      </c>
      <c r="CW21" s="62">
        <v>0.97</v>
      </c>
      <c r="CX21" s="62">
        <v>2.35</v>
      </c>
      <c r="CY21" s="62">
        <v>2.09</v>
      </c>
      <c r="CZ21" s="62">
        <v>0.72</v>
      </c>
      <c r="DA21" s="62">
        <v>3.03</v>
      </c>
      <c r="DB21" s="62">
        <v>7.54</v>
      </c>
      <c r="DC21" s="62">
        <v>1.1399999999999999</v>
      </c>
      <c r="DD21" s="62">
        <v>1.56</v>
      </c>
      <c r="DF21" s="62">
        <v>0.43</v>
      </c>
      <c r="DG21" s="62">
        <v>1.02</v>
      </c>
      <c r="DH21" s="62">
        <v>-6.67</v>
      </c>
      <c r="DJ21" s="62">
        <v>1.6</v>
      </c>
      <c r="DK21" s="62">
        <v>1.19</v>
      </c>
      <c r="DM21" s="62">
        <v>1.33</v>
      </c>
      <c r="DN21" s="62">
        <v>2.58</v>
      </c>
      <c r="DO21" s="62">
        <v>1.74</v>
      </c>
    </row>
    <row r="22" spans="1:120" x14ac:dyDescent="0.3">
      <c r="A22" s="64" t="s">
        <v>9042</v>
      </c>
      <c r="B22" s="62">
        <v>1.45</v>
      </c>
      <c r="C22" s="62">
        <v>-1.1599999999999999</v>
      </c>
      <c r="E22" s="62">
        <v>0.85</v>
      </c>
      <c r="F22" s="62">
        <v>-0.62</v>
      </c>
      <c r="G22" s="62">
        <v>0.94</v>
      </c>
      <c r="H22" s="62">
        <v>1.05</v>
      </c>
      <c r="J22" s="62">
        <v>0.88</v>
      </c>
      <c r="K22" s="62">
        <v>1.28</v>
      </c>
      <c r="L22" s="62">
        <v>1.07</v>
      </c>
      <c r="M22" s="62">
        <v>3.62</v>
      </c>
      <c r="N22" s="62">
        <v>1.03</v>
      </c>
      <c r="O22" s="62">
        <v>-0.08</v>
      </c>
      <c r="P22" s="62">
        <v>1.96</v>
      </c>
      <c r="Q22" s="62">
        <v>3.71</v>
      </c>
      <c r="R22" s="62">
        <v>7.55</v>
      </c>
      <c r="S22" s="62">
        <v>1.23</v>
      </c>
      <c r="T22" s="62">
        <v>1.29</v>
      </c>
      <c r="U22" s="62">
        <v>1.6</v>
      </c>
      <c r="V22" s="62">
        <v>1.07</v>
      </c>
      <c r="W22" s="62">
        <v>1.35</v>
      </c>
      <c r="X22" s="62">
        <v>1.07</v>
      </c>
      <c r="Y22" s="62">
        <v>2.2000000000000002</v>
      </c>
      <c r="Z22" s="62">
        <v>0.73</v>
      </c>
      <c r="AA22" s="62">
        <v>1.62</v>
      </c>
      <c r="AB22" s="62">
        <v>1.46</v>
      </c>
      <c r="AE22" s="62">
        <v>1.02</v>
      </c>
      <c r="AF22" s="62">
        <v>4.99</v>
      </c>
      <c r="AG22" s="62">
        <v>1.81</v>
      </c>
      <c r="AH22" s="62">
        <v>1.07</v>
      </c>
      <c r="AI22" s="62">
        <v>1.73</v>
      </c>
      <c r="AJ22" s="62">
        <v>3.26</v>
      </c>
      <c r="AK22" s="62">
        <v>2.13</v>
      </c>
      <c r="AL22" s="62">
        <v>1.03</v>
      </c>
      <c r="AN22" s="62">
        <v>1.51</v>
      </c>
      <c r="AQ22" s="62">
        <v>1.01</v>
      </c>
      <c r="AR22" s="62">
        <v>1.93</v>
      </c>
      <c r="AS22" s="62">
        <v>4.46</v>
      </c>
      <c r="AT22" s="62">
        <v>0.9</v>
      </c>
      <c r="AV22" s="62">
        <v>1.17</v>
      </c>
      <c r="AX22" s="62">
        <v>2.14</v>
      </c>
      <c r="AY22" s="62">
        <v>0.99</v>
      </c>
      <c r="AZ22" s="62">
        <v>0.96</v>
      </c>
      <c r="BA22" s="62">
        <v>2.44</v>
      </c>
      <c r="BC22" s="62">
        <v>0.82</v>
      </c>
      <c r="BD22" s="62">
        <v>0.9</v>
      </c>
      <c r="BE22" s="62">
        <v>3.16</v>
      </c>
      <c r="BF22" s="62">
        <v>0.97</v>
      </c>
      <c r="BH22" s="62">
        <v>0.87</v>
      </c>
      <c r="BJ22" s="62">
        <v>0.51</v>
      </c>
      <c r="BK22" s="62">
        <v>2.68</v>
      </c>
      <c r="BL22" s="62">
        <v>0.68</v>
      </c>
      <c r="BN22" s="62">
        <v>1.06</v>
      </c>
      <c r="BO22" s="62">
        <v>0.31</v>
      </c>
      <c r="BQ22" s="62">
        <v>6.55</v>
      </c>
      <c r="BS22" s="62">
        <v>6.84</v>
      </c>
      <c r="BT22" s="62">
        <v>12.63</v>
      </c>
      <c r="BU22" s="62">
        <v>0.96</v>
      </c>
      <c r="BV22" s="62">
        <v>2.42</v>
      </c>
      <c r="BW22" s="62">
        <v>2.4300000000000002</v>
      </c>
      <c r="BX22" s="62">
        <v>1</v>
      </c>
      <c r="BY22" s="62">
        <v>-7.8</v>
      </c>
      <c r="BZ22" s="62">
        <v>1.03</v>
      </c>
      <c r="CB22" s="62">
        <v>0.5</v>
      </c>
      <c r="CC22" s="62">
        <v>4.24</v>
      </c>
      <c r="CD22" s="62">
        <v>0.77</v>
      </c>
      <c r="CE22" s="62">
        <v>3.71</v>
      </c>
      <c r="CF22" s="62">
        <v>0.78</v>
      </c>
      <c r="CH22" s="62">
        <v>2.15</v>
      </c>
      <c r="CI22" s="62">
        <v>3.63</v>
      </c>
      <c r="CJ22" s="62">
        <v>0.45</v>
      </c>
      <c r="CL22" s="62">
        <v>2.13</v>
      </c>
      <c r="CM22" s="62">
        <v>2.94</v>
      </c>
      <c r="CN22" s="62">
        <v>1.8</v>
      </c>
      <c r="CO22" s="62">
        <v>5.32</v>
      </c>
      <c r="CP22" s="62">
        <v>0.83</v>
      </c>
      <c r="CQ22" s="62">
        <v>3.92</v>
      </c>
      <c r="CR22" s="62">
        <v>1.47</v>
      </c>
      <c r="CS22" s="62">
        <v>2.84</v>
      </c>
      <c r="CU22" s="62">
        <v>2.41</v>
      </c>
      <c r="CV22" s="62">
        <v>1.53</v>
      </c>
      <c r="CW22" s="62">
        <v>0.98</v>
      </c>
      <c r="CX22" s="62">
        <v>2.31</v>
      </c>
      <c r="CY22" s="62">
        <v>2.59</v>
      </c>
      <c r="CZ22" s="62">
        <v>0.72</v>
      </c>
      <c r="DA22" s="62">
        <v>2.81</v>
      </c>
      <c r="DB22" s="62">
        <v>8.33</v>
      </c>
      <c r="DC22" s="62">
        <v>1.0900000000000001</v>
      </c>
      <c r="DD22" s="62">
        <v>1.56</v>
      </c>
      <c r="DF22" s="62">
        <v>0.48</v>
      </c>
      <c r="DG22" s="62">
        <v>0.94</v>
      </c>
      <c r="DH22" s="62">
        <v>-6.67</v>
      </c>
      <c r="DJ22" s="62">
        <v>1.47</v>
      </c>
      <c r="DK22" s="62">
        <v>1.19</v>
      </c>
      <c r="DM22" s="62">
        <v>1.33</v>
      </c>
      <c r="DN22" s="62">
        <v>2.48</v>
      </c>
      <c r="DO22" s="62">
        <v>2.75</v>
      </c>
      <c r="DP22" s="62">
        <v>2.4500000000000002</v>
      </c>
    </row>
    <row r="23" spans="1:120" x14ac:dyDescent="0.3">
      <c r="A23" s="64" t="s">
        <v>9043</v>
      </c>
      <c r="B23" s="62">
        <v>1.45</v>
      </c>
      <c r="C23" s="62">
        <v>-1.1599999999999999</v>
      </c>
      <c r="E23" s="62">
        <v>0.89</v>
      </c>
      <c r="F23" s="62">
        <v>-1.34</v>
      </c>
      <c r="G23" s="62">
        <v>0.73</v>
      </c>
      <c r="H23" s="62">
        <v>1</v>
      </c>
      <c r="J23" s="62">
        <v>0.86</v>
      </c>
      <c r="K23" s="62">
        <v>1.38</v>
      </c>
      <c r="L23" s="62">
        <v>1.04</v>
      </c>
      <c r="M23" s="62">
        <v>3.64</v>
      </c>
      <c r="N23" s="62">
        <v>1.05</v>
      </c>
      <c r="O23" s="62">
        <v>-0.08</v>
      </c>
      <c r="P23" s="62">
        <v>1.79</v>
      </c>
      <c r="Q23" s="62">
        <v>3.74</v>
      </c>
      <c r="R23" s="62">
        <v>7.19</v>
      </c>
      <c r="S23" s="62">
        <v>1.34</v>
      </c>
      <c r="T23" s="62">
        <v>1.32</v>
      </c>
      <c r="U23" s="62">
        <v>1.45</v>
      </c>
      <c r="V23" s="62">
        <v>1.0900000000000001</v>
      </c>
      <c r="W23" s="62">
        <v>1.46</v>
      </c>
      <c r="X23" s="62">
        <v>1.1000000000000001</v>
      </c>
      <c r="Y23" s="62">
        <v>2.5</v>
      </c>
      <c r="Z23" s="62">
        <v>0.73</v>
      </c>
      <c r="AA23" s="62">
        <v>1.56</v>
      </c>
      <c r="AB23" s="62">
        <v>1.54</v>
      </c>
      <c r="AE23" s="62">
        <v>1.02</v>
      </c>
      <c r="AF23" s="62">
        <v>4.8899999999999997</v>
      </c>
      <c r="AG23" s="62">
        <v>1.9</v>
      </c>
      <c r="AH23" s="62">
        <v>1</v>
      </c>
      <c r="AI23" s="62">
        <v>1.73</v>
      </c>
      <c r="AJ23" s="62">
        <v>3.26</v>
      </c>
      <c r="AK23" s="62">
        <v>2.56</v>
      </c>
      <c r="AL23" s="62">
        <v>0.99</v>
      </c>
      <c r="AN23" s="62">
        <v>1.34</v>
      </c>
      <c r="AQ23" s="62">
        <v>0.99</v>
      </c>
      <c r="AR23" s="62">
        <v>1.91</v>
      </c>
      <c r="AS23" s="62">
        <v>4.5199999999999996</v>
      </c>
      <c r="AT23" s="62">
        <v>0.85</v>
      </c>
      <c r="AV23" s="62">
        <v>1.19</v>
      </c>
      <c r="AX23" s="62">
        <v>1.81</v>
      </c>
      <c r="AY23" s="62">
        <v>0.94</v>
      </c>
      <c r="AZ23" s="62">
        <v>1.01</v>
      </c>
      <c r="BA23" s="62">
        <v>2.56</v>
      </c>
      <c r="BC23" s="62">
        <v>0.8</v>
      </c>
      <c r="BD23" s="62">
        <v>0.93</v>
      </c>
      <c r="BE23" s="62">
        <v>3.3</v>
      </c>
      <c r="BF23" s="62">
        <v>0.97</v>
      </c>
      <c r="BH23" s="62">
        <v>0.83</v>
      </c>
      <c r="BJ23" s="62">
        <v>0.51</v>
      </c>
      <c r="BK23" s="62">
        <v>2.75</v>
      </c>
      <c r="BL23" s="62">
        <v>0.62</v>
      </c>
      <c r="BN23" s="62">
        <v>0.98</v>
      </c>
      <c r="BO23" s="62">
        <v>0.33</v>
      </c>
      <c r="BQ23" s="62">
        <v>6.5</v>
      </c>
      <c r="BS23" s="62">
        <v>7.25</v>
      </c>
      <c r="BT23" s="62">
        <v>13.03</v>
      </c>
      <c r="BU23" s="62">
        <v>1.07</v>
      </c>
      <c r="BV23" s="62">
        <v>2.79</v>
      </c>
      <c r="BW23" s="62">
        <v>2.2799999999999998</v>
      </c>
      <c r="BX23" s="62">
        <v>0.95</v>
      </c>
      <c r="BY23" s="62">
        <v>-8.91</v>
      </c>
      <c r="BZ23" s="62">
        <v>1.02</v>
      </c>
      <c r="CB23" s="62">
        <v>0.53</v>
      </c>
      <c r="CC23" s="62">
        <v>4.3099999999999996</v>
      </c>
      <c r="CD23" s="62">
        <v>0.77</v>
      </c>
      <c r="CE23" s="62">
        <v>3.76</v>
      </c>
      <c r="CF23" s="62">
        <v>0.76</v>
      </c>
      <c r="CH23" s="62">
        <v>2.0699999999999998</v>
      </c>
      <c r="CI23" s="62">
        <v>3.11</v>
      </c>
      <c r="CJ23" s="62">
        <v>0.42</v>
      </c>
      <c r="CL23" s="62">
        <v>2.21</v>
      </c>
      <c r="CM23" s="62">
        <v>3.01</v>
      </c>
      <c r="CN23" s="62">
        <v>1.85</v>
      </c>
      <c r="CO23" s="62">
        <v>4.79</v>
      </c>
      <c r="CP23" s="62">
        <v>0.77</v>
      </c>
      <c r="CQ23" s="62">
        <v>2.95</v>
      </c>
      <c r="CR23" s="62">
        <v>1.63</v>
      </c>
      <c r="CS23" s="62">
        <v>2.88</v>
      </c>
      <c r="CU23" s="62">
        <v>2.4700000000000002</v>
      </c>
      <c r="CV23" s="62">
        <v>1.6</v>
      </c>
      <c r="CW23" s="62">
        <v>0.95</v>
      </c>
      <c r="CX23" s="62">
        <v>2.38</v>
      </c>
      <c r="CY23" s="62">
        <v>2.6</v>
      </c>
      <c r="CZ23" s="62">
        <v>0.73</v>
      </c>
      <c r="DA23" s="62">
        <v>2.82</v>
      </c>
      <c r="DB23" s="62">
        <v>7.77</v>
      </c>
      <c r="DC23" s="62">
        <v>1.1000000000000001</v>
      </c>
      <c r="DD23" s="62">
        <v>1.25</v>
      </c>
      <c r="DF23" s="62">
        <v>0.52</v>
      </c>
      <c r="DG23" s="62">
        <v>0.98</v>
      </c>
      <c r="DH23" s="62">
        <v>-6.67</v>
      </c>
      <c r="DJ23" s="62">
        <v>1.47</v>
      </c>
      <c r="DK23" s="62">
        <v>1.1599999999999999</v>
      </c>
      <c r="DM23" s="62">
        <v>1.31</v>
      </c>
      <c r="DN23" s="62">
        <v>2.4300000000000002</v>
      </c>
      <c r="DO23" s="62">
        <v>2.62</v>
      </c>
      <c r="DP23" s="62">
        <v>2.63</v>
      </c>
    </row>
    <row r="24" spans="1:120" x14ac:dyDescent="0.3">
      <c r="A24" s="64" t="s">
        <v>9044</v>
      </c>
      <c r="B24" s="62">
        <v>1.5</v>
      </c>
      <c r="C24" s="62">
        <v>-1.1599999999999999</v>
      </c>
      <c r="E24" s="62">
        <v>0.98</v>
      </c>
      <c r="F24" s="62">
        <v>-1.29</v>
      </c>
      <c r="G24" s="62">
        <v>0.83</v>
      </c>
      <c r="H24" s="62">
        <v>0.99</v>
      </c>
      <c r="J24" s="62">
        <v>0.84</v>
      </c>
      <c r="K24" s="62">
        <v>1.44</v>
      </c>
      <c r="L24" s="62">
        <v>1.02</v>
      </c>
      <c r="M24" s="62">
        <v>3.79</v>
      </c>
      <c r="N24" s="62">
        <v>1.05</v>
      </c>
      <c r="O24" s="62">
        <v>-0.08</v>
      </c>
      <c r="P24" s="62">
        <v>3.04</v>
      </c>
      <c r="Q24" s="62">
        <v>3.65</v>
      </c>
      <c r="R24" s="62">
        <v>7.01</v>
      </c>
      <c r="S24" s="62">
        <v>1.35</v>
      </c>
      <c r="T24" s="62">
        <v>1.27</v>
      </c>
      <c r="U24" s="62">
        <v>1.42</v>
      </c>
      <c r="V24" s="62">
        <v>1.1499999999999999</v>
      </c>
      <c r="W24" s="62">
        <v>1.27</v>
      </c>
      <c r="X24" s="62">
        <v>1.06</v>
      </c>
      <c r="Y24" s="62">
        <v>2.94</v>
      </c>
      <c r="Z24" s="62">
        <v>0.62</v>
      </c>
      <c r="AA24" s="62">
        <v>1.52</v>
      </c>
      <c r="AB24" s="62">
        <v>1.46</v>
      </c>
      <c r="AE24" s="62">
        <v>1.02</v>
      </c>
      <c r="AF24" s="62">
        <v>5.03</v>
      </c>
      <c r="AG24" s="62">
        <v>1.97</v>
      </c>
      <c r="AH24" s="62">
        <v>1.07</v>
      </c>
      <c r="AI24" s="62">
        <v>1.7</v>
      </c>
      <c r="AJ24" s="62">
        <v>3.4</v>
      </c>
      <c r="AK24" s="62">
        <v>2.56</v>
      </c>
      <c r="AL24" s="62">
        <v>0.99</v>
      </c>
      <c r="AN24" s="62">
        <v>1.61</v>
      </c>
      <c r="AP24" s="62">
        <v>8.25</v>
      </c>
      <c r="AQ24" s="62">
        <v>0.99</v>
      </c>
      <c r="AR24" s="62">
        <v>1.9</v>
      </c>
      <c r="AS24" s="62">
        <v>4.62</v>
      </c>
      <c r="AT24" s="62">
        <v>0.87</v>
      </c>
      <c r="AV24" s="62">
        <v>1.2</v>
      </c>
      <c r="AX24" s="62">
        <v>1.98</v>
      </c>
      <c r="AY24" s="62">
        <v>0.93</v>
      </c>
      <c r="AZ24" s="62">
        <v>1.04</v>
      </c>
      <c r="BA24" s="62">
        <v>2.62</v>
      </c>
      <c r="BC24" s="62">
        <v>0.85</v>
      </c>
      <c r="BD24" s="62">
        <v>0.93</v>
      </c>
      <c r="BE24" s="62">
        <v>3.45</v>
      </c>
      <c r="BF24" s="62">
        <v>0.97</v>
      </c>
      <c r="BG24" s="62">
        <v>0.88</v>
      </c>
      <c r="BH24" s="62">
        <v>1.0900000000000001</v>
      </c>
      <c r="BJ24" s="62">
        <v>0.5</v>
      </c>
      <c r="BK24" s="62">
        <v>2.75</v>
      </c>
      <c r="BL24" s="62">
        <v>0.68</v>
      </c>
      <c r="BN24" s="62">
        <v>1.03</v>
      </c>
      <c r="BO24" s="62">
        <v>0.3</v>
      </c>
      <c r="BQ24" s="62">
        <v>6.61</v>
      </c>
      <c r="BS24" s="62">
        <v>16.97</v>
      </c>
      <c r="BT24" s="62">
        <v>12.22</v>
      </c>
      <c r="BU24" s="62">
        <v>1.21</v>
      </c>
      <c r="BV24" s="62">
        <v>6.51</v>
      </c>
      <c r="BW24" s="62">
        <v>2.27</v>
      </c>
      <c r="BX24" s="62">
        <v>0.95</v>
      </c>
      <c r="BY24" s="62">
        <v>-4.68</v>
      </c>
      <c r="BZ24" s="62">
        <v>1.01</v>
      </c>
      <c r="CB24" s="62">
        <v>0.53</v>
      </c>
      <c r="CC24" s="62">
        <v>4.5</v>
      </c>
      <c r="CD24" s="62">
        <v>0.79</v>
      </c>
      <c r="CE24" s="62">
        <v>4.07</v>
      </c>
      <c r="CF24" s="62">
        <v>0.78</v>
      </c>
      <c r="CH24" s="62">
        <v>2.0499999999999998</v>
      </c>
      <c r="CI24" s="62">
        <v>5.19</v>
      </c>
      <c r="CJ24" s="62">
        <v>0.44</v>
      </c>
      <c r="CL24" s="62">
        <v>2.2799999999999998</v>
      </c>
      <c r="CM24" s="62">
        <v>2.89</v>
      </c>
      <c r="CN24" s="62">
        <v>1.93</v>
      </c>
      <c r="CO24" s="62">
        <v>6.2</v>
      </c>
      <c r="CP24" s="62">
        <v>0.79</v>
      </c>
      <c r="CQ24" s="62">
        <v>4.22</v>
      </c>
      <c r="CR24" s="62">
        <v>2.21</v>
      </c>
      <c r="CS24" s="62">
        <v>2.76</v>
      </c>
      <c r="CU24" s="62">
        <v>2.52</v>
      </c>
      <c r="CV24" s="62">
        <v>1.74</v>
      </c>
      <c r="CW24" s="62">
        <v>0.93</v>
      </c>
      <c r="CX24" s="62">
        <v>2.4900000000000002</v>
      </c>
      <c r="CY24" s="62">
        <v>2.92</v>
      </c>
      <c r="CZ24" s="62">
        <v>0.74</v>
      </c>
      <c r="DA24" s="62">
        <v>2.65</v>
      </c>
      <c r="DB24" s="62">
        <v>7.88</v>
      </c>
      <c r="DC24" s="62">
        <v>1.0900000000000001</v>
      </c>
      <c r="DD24" s="62">
        <v>1.56</v>
      </c>
      <c r="DF24" s="62">
        <v>0.56000000000000005</v>
      </c>
      <c r="DG24" s="62">
        <v>0.99</v>
      </c>
      <c r="DH24" s="62">
        <v>-6.67</v>
      </c>
      <c r="DJ24" s="62">
        <v>1.6</v>
      </c>
      <c r="DK24" s="62">
        <v>1.1399999999999999</v>
      </c>
      <c r="DM24" s="62">
        <v>1.25</v>
      </c>
      <c r="DN24" s="62">
        <v>2.4300000000000002</v>
      </c>
      <c r="DO24" s="62">
        <v>3.47</v>
      </c>
      <c r="DP24" s="62">
        <v>2.61</v>
      </c>
    </row>
    <row r="25" spans="1:120" x14ac:dyDescent="0.3">
      <c r="A25" s="64" t="s">
        <v>9045</v>
      </c>
      <c r="B25" s="62">
        <v>1.44</v>
      </c>
      <c r="C25" s="62">
        <v>-1.74</v>
      </c>
      <c r="E25" s="62">
        <v>0.96</v>
      </c>
      <c r="F25" s="62">
        <v>-0.77</v>
      </c>
      <c r="G25" s="62">
        <v>1.1499999999999999</v>
      </c>
      <c r="H25" s="62">
        <v>1.01</v>
      </c>
      <c r="J25" s="62">
        <v>0.85</v>
      </c>
      <c r="K25" s="62">
        <v>1.47</v>
      </c>
      <c r="L25" s="62">
        <v>1.03</v>
      </c>
      <c r="M25" s="62">
        <v>3.6</v>
      </c>
      <c r="N25" s="62">
        <v>1.06</v>
      </c>
      <c r="O25" s="62">
        <v>-0.08</v>
      </c>
      <c r="P25" s="62">
        <v>4.1100000000000003</v>
      </c>
      <c r="Q25" s="62">
        <v>3.69</v>
      </c>
      <c r="R25" s="62">
        <v>6.74</v>
      </c>
      <c r="S25" s="62">
        <v>1.24</v>
      </c>
      <c r="T25" s="62">
        <v>1.29</v>
      </c>
      <c r="U25" s="62">
        <v>0.78</v>
      </c>
      <c r="V25" s="62">
        <v>1.05</v>
      </c>
      <c r="W25" s="62">
        <v>1.25</v>
      </c>
      <c r="X25" s="62">
        <v>0.98</v>
      </c>
      <c r="Y25" s="62">
        <v>2.79</v>
      </c>
      <c r="Z25" s="62">
        <v>0.67</v>
      </c>
      <c r="AA25" s="62">
        <v>1.53</v>
      </c>
      <c r="AB25" s="62">
        <v>1.42</v>
      </c>
      <c r="AE25" s="62">
        <v>1.02</v>
      </c>
      <c r="AF25" s="62">
        <v>5.23</v>
      </c>
      <c r="AG25" s="62">
        <v>1.85</v>
      </c>
      <c r="AH25" s="62">
        <v>1.07</v>
      </c>
      <c r="AI25" s="62">
        <v>1.6</v>
      </c>
      <c r="AJ25" s="62">
        <v>3.52</v>
      </c>
      <c r="AK25" s="62">
        <v>2.63</v>
      </c>
      <c r="AL25" s="62">
        <v>0.86</v>
      </c>
      <c r="AN25" s="62">
        <v>1.67</v>
      </c>
      <c r="AP25" s="62">
        <v>6.6</v>
      </c>
      <c r="AQ25" s="62">
        <v>0.99</v>
      </c>
      <c r="AR25" s="62">
        <v>1.91</v>
      </c>
      <c r="AS25" s="62">
        <v>3.91</v>
      </c>
      <c r="AT25" s="62">
        <v>0.89</v>
      </c>
      <c r="AV25" s="62">
        <v>1.1499999999999999</v>
      </c>
      <c r="AX25" s="62">
        <v>1.98</v>
      </c>
      <c r="AY25" s="62">
        <v>0.94</v>
      </c>
      <c r="AZ25" s="62">
        <v>1.0900000000000001</v>
      </c>
      <c r="BA25" s="62">
        <v>2.6</v>
      </c>
      <c r="BC25" s="62">
        <v>0.87</v>
      </c>
      <c r="BD25" s="62">
        <v>0.96</v>
      </c>
      <c r="BE25" s="62">
        <v>2.73</v>
      </c>
      <c r="BF25" s="62">
        <v>0.91</v>
      </c>
      <c r="BG25" s="62">
        <v>0.81</v>
      </c>
      <c r="BH25" s="62">
        <v>1.1399999999999999</v>
      </c>
      <c r="BJ25" s="62">
        <v>0.5</v>
      </c>
      <c r="BK25" s="62">
        <v>2.2999999999999998</v>
      </c>
      <c r="BL25" s="62">
        <v>0.8</v>
      </c>
      <c r="BN25" s="62">
        <v>1.02</v>
      </c>
      <c r="BO25" s="62">
        <v>0.3</v>
      </c>
      <c r="BQ25" s="62">
        <v>6.3</v>
      </c>
      <c r="BS25" s="62">
        <v>20.63</v>
      </c>
      <c r="BT25" s="62">
        <v>9.7799999999999994</v>
      </c>
      <c r="BU25" s="62">
        <v>1.1299999999999999</v>
      </c>
      <c r="BV25" s="62">
        <v>5.58</v>
      </c>
      <c r="BW25" s="62">
        <v>2.2200000000000002</v>
      </c>
      <c r="BX25" s="62">
        <v>0.94</v>
      </c>
      <c r="BY25" s="62">
        <v>-11.14</v>
      </c>
      <c r="BZ25" s="62">
        <v>1.01</v>
      </c>
      <c r="CB25" s="62">
        <v>0.48</v>
      </c>
      <c r="CC25" s="62">
        <v>4.3099999999999996</v>
      </c>
      <c r="CD25" s="62">
        <v>0.81</v>
      </c>
      <c r="CE25" s="62">
        <v>4.16</v>
      </c>
      <c r="CF25" s="62">
        <v>0.76</v>
      </c>
      <c r="CH25" s="62">
        <v>1.96</v>
      </c>
      <c r="CI25" s="62">
        <v>3.46</v>
      </c>
      <c r="CJ25" s="62">
        <v>0.42</v>
      </c>
      <c r="CL25" s="62">
        <v>2.21</v>
      </c>
      <c r="CM25" s="62">
        <v>2.7</v>
      </c>
      <c r="CN25" s="62">
        <v>1.8</v>
      </c>
      <c r="CO25" s="62">
        <v>5.32</v>
      </c>
      <c r="CP25" s="62">
        <v>0.84</v>
      </c>
      <c r="CQ25" s="62">
        <v>6.16</v>
      </c>
      <c r="CR25" s="62">
        <v>2.4500000000000002</v>
      </c>
      <c r="CS25" s="62">
        <v>2.81</v>
      </c>
      <c r="CU25" s="62">
        <v>2.4700000000000002</v>
      </c>
      <c r="CV25" s="62">
        <v>1.64</v>
      </c>
      <c r="CW25" s="62">
        <v>0.89</v>
      </c>
      <c r="CX25" s="62">
        <v>2.5</v>
      </c>
      <c r="CY25" s="62">
        <v>3.06</v>
      </c>
      <c r="CZ25" s="62">
        <v>0.77</v>
      </c>
      <c r="DA25" s="62">
        <v>2.37</v>
      </c>
      <c r="DB25" s="62">
        <v>8.67</v>
      </c>
      <c r="DC25" s="62">
        <v>1.04</v>
      </c>
      <c r="DD25" s="62">
        <v>1.75</v>
      </c>
      <c r="DF25" s="62">
        <v>0.67</v>
      </c>
      <c r="DG25" s="62">
        <v>0.92</v>
      </c>
      <c r="DH25" s="62">
        <v>-6.67</v>
      </c>
      <c r="DJ25" s="62">
        <v>1.4</v>
      </c>
      <c r="DK25" s="62">
        <v>1.1399999999999999</v>
      </c>
      <c r="DM25" s="62">
        <v>1.22</v>
      </c>
      <c r="DN25" s="62">
        <v>2.4500000000000002</v>
      </c>
      <c r="DO25" s="62">
        <v>3.62</v>
      </c>
      <c r="DP25" s="62">
        <v>2.5</v>
      </c>
    </row>
    <row r="26" spans="1:120" x14ac:dyDescent="0.3">
      <c r="A26" s="64" t="s">
        <v>9046</v>
      </c>
      <c r="B26" s="62">
        <v>1.4</v>
      </c>
      <c r="C26" s="62">
        <v>-1.1599999999999999</v>
      </c>
      <c r="E26" s="62">
        <v>0.97</v>
      </c>
      <c r="F26" s="62">
        <v>-1.34</v>
      </c>
      <c r="G26" s="62">
        <v>1.04</v>
      </c>
      <c r="H26" s="62">
        <v>0.98</v>
      </c>
      <c r="J26" s="62">
        <v>0.84</v>
      </c>
      <c r="K26" s="62">
        <v>1.46</v>
      </c>
      <c r="L26" s="62">
        <v>1.02</v>
      </c>
      <c r="M26" s="62">
        <v>3.6</v>
      </c>
      <c r="N26" s="62">
        <v>1</v>
      </c>
      <c r="O26" s="62">
        <v>-0.06</v>
      </c>
      <c r="P26" s="62">
        <v>3.21</v>
      </c>
      <c r="Q26" s="62">
        <v>3.68</v>
      </c>
      <c r="R26" s="62">
        <v>7.19</v>
      </c>
      <c r="S26" s="62">
        <v>1.27</v>
      </c>
      <c r="T26" s="62">
        <v>1.2</v>
      </c>
      <c r="U26" s="62">
        <v>0.78</v>
      </c>
      <c r="V26" s="62">
        <v>1.07</v>
      </c>
      <c r="W26" s="62">
        <v>1.26</v>
      </c>
      <c r="X26" s="62">
        <v>1.05</v>
      </c>
      <c r="Y26" s="62">
        <v>2.5</v>
      </c>
      <c r="Z26" s="62">
        <v>0.52</v>
      </c>
      <c r="AA26" s="62">
        <v>1.52</v>
      </c>
      <c r="AB26" s="62">
        <v>1.47</v>
      </c>
      <c r="AE26" s="62">
        <v>1.02</v>
      </c>
      <c r="AF26" s="62">
        <v>5.22</v>
      </c>
      <c r="AG26" s="62">
        <v>1.71</v>
      </c>
      <c r="AH26" s="62">
        <v>1.1000000000000001</v>
      </c>
      <c r="AI26" s="62">
        <v>1.43</v>
      </c>
      <c r="AJ26" s="62">
        <v>3.65</v>
      </c>
      <c r="AK26" s="62">
        <v>2.1800000000000002</v>
      </c>
      <c r="AL26" s="62">
        <v>0.78</v>
      </c>
      <c r="AN26" s="62">
        <v>1.51</v>
      </c>
      <c r="AP26" s="62">
        <v>6.14</v>
      </c>
      <c r="AQ26" s="62">
        <v>0.95</v>
      </c>
      <c r="AR26" s="62">
        <v>1.88</v>
      </c>
      <c r="AS26" s="62">
        <v>3.63</v>
      </c>
      <c r="AT26" s="62">
        <v>0.87</v>
      </c>
      <c r="AV26" s="62">
        <v>1.0900000000000001</v>
      </c>
      <c r="AX26" s="62">
        <v>1.51</v>
      </c>
      <c r="AY26" s="62">
        <v>0.92</v>
      </c>
      <c r="AZ26" s="62">
        <v>1.18</v>
      </c>
      <c r="BA26" s="62">
        <v>2.68</v>
      </c>
      <c r="BC26" s="62">
        <v>0.89</v>
      </c>
      <c r="BD26" s="62">
        <v>0.92</v>
      </c>
      <c r="BE26" s="62">
        <v>2.2999999999999998</v>
      </c>
      <c r="BF26" s="62">
        <v>0.93</v>
      </c>
      <c r="BG26" s="62">
        <v>0.85</v>
      </c>
      <c r="BH26" s="62">
        <v>1.06</v>
      </c>
      <c r="BJ26" s="62">
        <v>0.37</v>
      </c>
      <c r="BK26" s="62">
        <v>2.2000000000000002</v>
      </c>
      <c r="BL26" s="62">
        <v>0.86</v>
      </c>
      <c r="BN26" s="62">
        <v>1</v>
      </c>
      <c r="BO26" s="62">
        <v>0.33</v>
      </c>
      <c r="BQ26" s="62">
        <v>6.17</v>
      </c>
      <c r="BS26" s="62">
        <v>19.46</v>
      </c>
      <c r="BT26" s="62">
        <v>9.7799999999999994</v>
      </c>
      <c r="BU26" s="62">
        <v>1.1299999999999999</v>
      </c>
      <c r="BV26" s="62">
        <v>5.95</v>
      </c>
      <c r="BW26" s="62">
        <v>2.2599999999999998</v>
      </c>
      <c r="BX26" s="62">
        <v>0.95</v>
      </c>
      <c r="BZ26" s="62">
        <v>0.94</v>
      </c>
      <c r="CB26" s="62">
        <v>0.47</v>
      </c>
      <c r="CC26" s="62">
        <v>4.25</v>
      </c>
      <c r="CD26" s="62">
        <v>0.86</v>
      </c>
      <c r="CE26" s="62">
        <v>4.22</v>
      </c>
      <c r="CF26" s="62">
        <v>0.8</v>
      </c>
      <c r="CH26" s="62">
        <v>1.77</v>
      </c>
      <c r="CI26" s="62">
        <v>3.28</v>
      </c>
      <c r="CJ26" s="62">
        <v>0.52</v>
      </c>
      <c r="CL26" s="62">
        <v>2.31</v>
      </c>
      <c r="CM26" s="62">
        <v>2.77</v>
      </c>
      <c r="CN26" s="62">
        <v>1.83</v>
      </c>
      <c r="CO26" s="62">
        <v>5.67</v>
      </c>
      <c r="CP26" s="62">
        <v>0.74</v>
      </c>
      <c r="CQ26" s="62">
        <v>5.4</v>
      </c>
      <c r="CR26" s="62">
        <v>3.27</v>
      </c>
      <c r="CS26" s="62">
        <v>2.62</v>
      </c>
      <c r="CU26" s="62">
        <v>2.48</v>
      </c>
      <c r="CV26" s="62">
        <v>1.67</v>
      </c>
      <c r="CW26" s="62">
        <v>0.9</v>
      </c>
      <c r="CX26" s="62">
        <v>2.14</v>
      </c>
      <c r="CY26" s="62">
        <v>3.15</v>
      </c>
      <c r="CZ26" s="62">
        <v>0.73</v>
      </c>
      <c r="DA26" s="62">
        <v>2.42</v>
      </c>
      <c r="DB26" s="62">
        <v>9</v>
      </c>
      <c r="DC26" s="62">
        <v>1</v>
      </c>
      <c r="DD26" s="62">
        <v>1.31</v>
      </c>
      <c r="DF26" s="62">
        <v>0.66</v>
      </c>
      <c r="DG26" s="62">
        <v>0.95</v>
      </c>
      <c r="DH26" s="62">
        <v>-6.67</v>
      </c>
      <c r="DJ26" s="62">
        <v>1.47</v>
      </c>
      <c r="DK26" s="62">
        <v>1.1200000000000001</v>
      </c>
      <c r="DM26" s="62">
        <v>1.23</v>
      </c>
      <c r="DN26" s="62">
        <v>2.48</v>
      </c>
      <c r="DO26" s="62">
        <v>7.93</v>
      </c>
      <c r="DP26" s="62">
        <v>2.5</v>
      </c>
    </row>
    <row r="27" spans="1:120" x14ac:dyDescent="0.3">
      <c r="A27" s="64" t="s">
        <v>9047</v>
      </c>
      <c r="B27" s="62">
        <v>1.32</v>
      </c>
      <c r="C27" s="62">
        <v>-1.1599999999999999</v>
      </c>
      <c r="E27" s="62">
        <v>1.02</v>
      </c>
      <c r="F27" s="62">
        <v>-1.26</v>
      </c>
      <c r="G27" s="62">
        <v>1.04</v>
      </c>
      <c r="H27" s="62">
        <v>0.98</v>
      </c>
      <c r="J27" s="62">
        <v>0.84</v>
      </c>
      <c r="K27" s="62">
        <v>1.5</v>
      </c>
      <c r="L27" s="62">
        <v>1.03</v>
      </c>
      <c r="M27" s="62">
        <v>3.48</v>
      </c>
      <c r="N27" s="62">
        <v>1</v>
      </c>
      <c r="O27" s="62">
        <v>-0.06</v>
      </c>
      <c r="P27" s="62">
        <v>3.39</v>
      </c>
      <c r="Q27" s="62">
        <v>3.3</v>
      </c>
      <c r="R27" s="62">
        <v>11.1</v>
      </c>
      <c r="S27" s="62">
        <v>1.36</v>
      </c>
      <c r="T27" s="62">
        <v>1.2</v>
      </c>
      <c r="U27" s="62">
        <v>0.74</v>
      </c>
      <c r="V27" s="62">
        <v>1.08</v>
      </c>
      <c r="W27" s="62">
        <v>1.2</v>
      </c>
      <c r="X27" s="62">
        <v>1.04</v>
      </c>
      <c r="Y27" s="62">
        <v>2.2000000000000002</v>
      </c>
      <c r="Z27" s="62">
        <v>0.52</v>
      </c>
      <c r="AA27" s="62">
        <v>1.43</v>
      </c>
      <c r="AB27" s="62">
        <v>1.47</v>
      </c>
      <c r="AE27" s="62">
        <v>1.02</v>
      </c>
      <c r="AF27" s="62">
        <v>5.49</v>
      </c>
      <c r="AG27" s="62">
        <v>1.8</v>
      </c>
      <c r="AH27" s="62">
        <v>1.1299999999999999</v>
      </c>
      <c r="AI27" s="62">
        <v>1.54</v>
      </c>
      <c r="AJ27" s="62">
        <v>3.6</v>
      </c>
      <c r="AK27" s="62">
        <v>2.19</v>
      </c>
      <c r="AL27" s="62">
        <v>0.82</v>
      </c>
      <c r="AN27" s="62">
        <v>1.47</v>
      </c>
      <c r="AP27" s="62">
        <v>8.81</v>
      </c>
      <c r="AQ27" s="62">
        <v>0.94</v>
      </c>
      <c r="AR27" s="62">
        <v>1.88</v>
      </c>
      <c r="AS27" s="62">
        <v>2.92</v>
      </c>
      <c r="AT27" s="62">
        <v>0.89</v>
      </c>
      <c r="AV27" s="62">
        <v>1.05</v>
      </c>
      <c r="AX27" s="62">
        <v>1.65</v>
      </c>
      <c r="AY27" s="62">
        <v>0.96</v>
      </c>
      <c r="AZ27" s="62">
        <v>1.26</v>
      </c>
      <c r="BA27" s="62">
        <v>2.9</v>
      </c>
      <c r="BC27" s="62">
        <v>0.89</v>
      </c>
      <c r="BD27" s="62">
        <v>0.97</v>
      </c>
      <c r="BE27" s="62">
        <v>3.45</v>
      </c>
      <c r="BF27" s="62">
        <v>0.86</v>
      </c>
      <c r="BG27" s="62">
        <v>0.83</v>
      </c>
      <c r="BH27" s="62">
        <v>1.0900000000000001</v>
      </c>
      <c r="BJ27" s="62">
        <v>0.35</v>
      </c>
      <c r="BK27" s="62">
        <v>2.17</v>
      </c>
      <c r="BL27" s="62">
        <v>0.8</v>
      </c>
      <c r="BN27" s="62">
        <v>0.95</v>
      </c>
      <c r="BO27" s="62">
        <v>0.3</v>
      </c>
      <c r="BQ27" s="62">
        <v>6.36</v>
      </c>
      <c r="BS27" s="62">
        <v>24.58</v>
      </c>
      <c r="BT27" s="62">
        <v>17.52</v>
      </c>
      <c r="BU27" s="62">
        <v>1.1599999999999999</v>
      </c>
      <c r="BV27" s="62">
        <v>7.43</v>
      </c>
      <c r="BW27" s="62">
        <v>2.38</v>
      </c>
      <c r="BX27" s="62">
        <v>0.95</v>
      </c>
      <c r="BZ27" s="62">
        <v>0.93</v>
      </c>
      <c r="CB27" s="62">
        <v>0.5</v>
      </c>
      <c r="CC27" s="62">
        <v>4.1500000000000004</v>
      </c>
      <c r="CD27" s="62">
        <v>0.92</v>
      </c>
      <c r="CE27" s="62">
        <v>4.24</v>
      </c>
      <c r="CF27" s="62">
        <v>0.78</v>
      </c>
      <c r="CH27" s="62">
        <v>1.73</v>
      </c>
      <c r="CI27" s="62">
        <v>3.46</v>
      </c>
      <c r="CJ27" s="62">
        <v>0.44</v>
      </c>
      <c r="CL27" s="62">
        <v>2.31</v>
      </c>
      <c r="CM27" s="62">
        <v>2.82</v>
      </c>
      <c r="CN27" s="62">
        <v>1.81</v>
      </c>
      <c r="CO27" s="62">
        <v>6.38</v>
      </c>
      <c r="CP27" s="62">
        <v>0.77</v>
      </c>
      <c r="CQ27" s="62">
        <v>4.3</v>
      </c>
      <c r="CR27" s="62">
        <v>3.27</v>
      </c>
      <c r="CS27" s="62">
        <v>2.94</v>
      </c>
      <c r="CU27" s="62">
        <v>2.52</v>
      </c>
      <c r="CV27" s="62">
        <v>1.71</v>
      </c>
      <c r="CW27" s="62">
        <v>0.9</v>
      </c>
      <c r="CX27" s="62">
        <v>2.2799999999999998</v>
      </c>
      <c r="CY27" s="62">
        <v>2.99</v>
      </c>
      <c r="CZ27" s="62">
        <v>0.77</v>
      </c>
      <c r="DA27" s="62">
        <v>2.2599999999999998</v>
      </c>
      <c r="DB27" s="62">
        <v>10.24</v>
      </c>
      <c r="DC27" s="62">
        <v>0.97</v>
      </c>
      <c r="DD27" s="62">
        <v>1.31</v>
      </c>
      <c r="DF27" s="62">
        <v>0.66</v>
      </c>
      <c r="DG27" s="62">
        <v>0.95</v>
      </c>
      <c r="DH27" s="62">
        <v>-6.67</v>
      </c>
      <c r="DJ27" s="62">
        <v>1.53</v>
      </c>
      <c r="DK27" s="62">
        <v>1.1000000000000001</v>
      </c>
      <c r="DM27" s="62">
        <v>1.23</v>
      </c>
      <c r="DN27" s="62">
        <v>2.37</v>
      </c>
      <c r="DO27" s="62">
        <v>5.62</v>
      </c>
      <c r="DP27" s="62">
        <v>2.46</v>
      </c>
    </row>
    <row r="28" spans="1:120" x14ac:dyDescent="0.3">
      <c r="A28" s="64" t="s">
        <v>9048</v>
      </c>
      <c r="B28" s="62">
        <v>1.4</v>
      </c>
      <c r="C28" s="62">
        <v>-1.1599999999999999</v>
      </c>
      <c r="E28" s="62">
        <v>1.07</v>
      </c>
      <c r="F28" s="62">
        <v>-1.08</v>
      </c>
      <c r="G28" s="62">
        <v>0.94</v>
      </c>
      <c r="H28" s="62">
        <v>0.99</v>
      </c>
      <c r="J28" s="62">
        <v>0.84</v>
      </c>
      <c r="K28" s="62">
        <v>1.55</v>
      </c>
      <c r="L28" s="62">
        <v>1</v>
      </c>
      <c r="M28" s="62">
        <v>3.11</v>
      </c>
      <c r="N28" s="62">
        <v>0.98</v>
      </c>
      <c r="O28" s="62">
        <v>-0.06</v>
      </c>
      <c r="P28" s="62">
        <v>3.57</v>
      </c>
      <c r="Q28" s="62">
        <v>3.56</v>
      </c>
      <c r="R28" s="62">
        <v>12.36</v>
      </c>
      <c r="S28" s="62">
        <v>1.26</v>
      </c>
      <c r="T28" s="62">
        <v>1.17</v>
      </c>
      <c r="U28" s="62">
        <v>0.82</v>
      </c>
      <c r="V28" s="62">
        <v>1.17</v>
      </c>
      <c r="W28" s="62">
        <v>1.21</v>
      </c>
      <c r="X28" s="62">
        <v>1.0900000000000001</v>
      </c>
      <c r="Y28" s="62">
        <v>2.35</v>
      </c>
      <c r="Z28" s="62">
        <v>0.52</v>
      </c>
      <c r="AA28" s="62">
        <v>1.54</v>
      </c>
      <c r="AB28" s="62">
        <v>1.51</v>
      </c>
      <c r="AE28" s="62">
        <v>0.73</v>
      </c>
      <c r="AF28" s="62">
        <v>5.42</v>
      </c>
      <c r="AG28" s="62">
        <v>1.89</v>
      </c>
      <c r="AH28" s="62">
        <v>1.1299999999999999</v>
      </c>
      <c r="AI28" s="62">
        <v>1.51</v>
      </c>
      <c r="AJ28" s="62">
        <v>3.74</v>
      </c>
      <c r="AK28" s="62">
        <v>2.13</v>
      </c>
      <c r="AL28" s="62">
        <v>0.99</v>
      </c>
      <c r="AN28" s="62">
        <v>1.47</v>
      </c>
      <c r="AP28" s="62">
        <v>6.83</v>
      </c>
      <c r="AQ28" s="62">
        <v>0.94</v>
      </c>
      <c r="AR28" s="62">
        <v>1.85</v>
      </c>
      <c r="AS28" s="62">
        <v>2.93</v>
      </c>
      <c r="AT28" s="62">
        <v>0.93</v>
      </c>
      <c r="AV28" s="62">
        <v>1.08</v>
      </c>
      <c r="AX28" s="62">
        <v>1.66</v>
      </c>
      <c r="AY28" s="62">
        <v>0.96</v>
      </c>
      <c r="AZ28" s="62">
        <v>1.28</v>
      </c>
      <c r="BA28" s="62">
        <v>2.89</v>
      </c>
      <c r="BC28" s="62">
        <v>0.92</v>
      </c>
      <c r="BD28" s="62">
        <v>1.01</v>
      </c>
      <c r="BE28" s="62">
        <v>2.87</v>
      </c>
      <c r="BF28" s="62">
        <v>0.89</v>
      </c>
      <c r="BG28" s="62">
        <v>0.87</v>
      </c>
      <c r="BH28" s="62">
        <v>1.1000000000000001</v>
      </c>
      <c r="BJ28" s="62">
        <v>0.34</v>
      </c>
      <c r="BK28" s="62">
        <v>2.23</v>
      </c>
      <c r="BL28" s="62">
        <v>0.8</v>
      </c>
      <c r="BN28" s="62">
        <v>0.98</v>
      </c>
      <c r="BO28" s="62">
        <v>0.3</v>
      </c>
      <c r="BQ28" s="62">
        <v>6.31</v>
      </c>
      <c r="BS28" s="62">
        <v>23.41</v>
      </c>
      <c r="BT28" s="62">
        <v>15.89</v>
      </c>
      <c r="BU28" s="62">
        <v>1.27</v>
      </c>
      <c r="BV28" s="62">
        <v>5.58</v>
      </c>
      <c r="BW28" s="62">
        <v>2.34</v>
      </c>
      <c r="BX28" s="62">
        <v>0.98</v>
      </c>
      <c r="BZ28" s="62">
        <v>0.93</v>
      </c>
      <c r="CB28" s="62">
        <v>0.48</v>
      </c>
      <c r="CC28" s="62">
        <v>4.03</v>
      </c>
      <c r="CD28" s="62">
        <v>0.95</v>
      </c>
      <c r="CE28" s="62">
        <v>4.32</v>
      </c>
      <c r="CF28" s="62">
        <v>0.77</v>
      </c>
      <c r="CH28" s="62">
        <v>1.48</v>
      </c>
      <c r="CI28" s="62">
        <v>3.28</v>
      </c>
      <c r="CJ28" s="62">
        <v>0.56000000000000005</v>
      </c>
      <c r="CL28" s="62">
        <v>2.4700000000000002</v>
      </c>
      <c r="CM28" s="62">
        <v>2.92</v>
      </c>
      <c r="CN28" s="62">
        <v>1.94</v>
      </c>
      <c r="CO28" s="62">
        <v>5.58</v>
      </c>
      <c r="CP28" s="62">
        <v>0.74</v>
      </c>
      <c r="CQ28" s="62">
        <v>4.6399999999999997</v>
      </c>
      <c r="CR28" s="62">
        <v>3.43</v>
      </c>
      <c r="CS28" s="62">
        <v>2.87</v>
      </c>
      <c r="CU28" s="62">
        <v>2.7</v>
      </c>
      <c r="CV28" s="62">
        <v>1.72</v>
      </c>
      <c r="CW28" s="62">
        <v>0.89</v>
      </c>
      <c r="CX28" s="62">
        <v>2.2200000000000002</v>
      </c>
      <c r="CY28" s="62">
        <v>2.91</v>
      </c>
      <c r="CZ28" s="62">
        <v>0.83</v>
      </c>
      <c r="DA28" s="62">
        <v>2.2599999999999998</v>
      </c>
      <c r="DB28" s="62">
        <v>10.47</v>
      </c>
      <c r="DC28" s="62">
        <v>0.85</v>
      </c>
      <c r="DD28" s="62">
        <v>1.31</v>
      </c>
      <c r="DF28" s="62">
        <v>0.81</v>
      </c>
      <c r="DG28" s="62">
        <v>0.86</v>
      </c>
      <c r="DH28" s="62">
        <v>-6.67</v>
      </c>
      <c r="DJ28" s="62">
        <v>1.53</v>
      </c>
      <c r="DK28" s="62">
        <v>1.06</v>
      </c>
      <c r="DM28" s="62">
        <v>1.25</v>
      </c>
      <c r="DN28" s="62">
        <v>2.33</v>
      </c>
      <c r="DO28" s="62">
        <v>5.62</v>
      </c>
      <c r="DP28" s="62">
        <v>2.57</v>
      </c>
    </row>
    <row r="29" spans="1:120" x14ac:dyDescent="0.3">
      <c r="A29" s="64" t="s">
        <v>9049</v>
      </c>
      <c r="B29" s="62">
        <v>1.49</v>
      </c>
      <c r="C29" s="62">
        <v>-1.08</v>
      </c>
      <c r="E29" s="62">
        <v>1.21</v>
      </c>
      <c r="F29" s="62">
        <v>-1.18</v>
      </c>
      <c r="G29" s="62">
        <v>3.8</v>
      </c>
      <c r="H29" s="62">
        <v>0.94</v>
      </c>
      <c r="J29" s="62">
        <v>0.83</v>
      </c>
      <c r="K29" s="62">
        <v>1.59</v>
      </c>
      <c r="L29" s="62">
        <v>1.01</v>
      </c>
      <c r="M29" s="62">
        <v>2.37</v>
      </c>
      <c r="N29" s="62">
        <v>0.89</v>
      </c>
      <c r="O29" s="62">
        <v>13.16</v>
      </c>
      <c r="P29" s="62">
        <v>3.67</v>
      </c>
      <c r="Q29" s="62">
        <v>3.43</v>
      </c>
      <c r="R29" s="62">
        <v>9.9</v>
      </c>
      <c r="S29" s="62">
        <v>1.1399999999999999</v>
      </c>
      <c r="T29" s="62">
        <v>1.1599999999999999</v>
      </c>
      <c r="U29" s="62">
        <v>0.94</v>
      </c>
      <c r="V29" s="62">
        <v>1.21</v>
      </c>
      <c r="W29" s="62">
        <v>1.07</v>
      </c>
      <c r="X29" s="62">
        <v>1.1000000000000001</v>
      </c>
      <c r="Y29" s="62">
        <v>5.64</v>
      </c>
      <c r="Z29" s="62">
        <v>0.52</v>
      </c>
      <c r="AA29" s="62">
        <v>1.5</v>
      </c>
      <c r="AB29" s="62">
        <v>1.56</v>
      </c>
      <c r="AE29" s="62">
        <v>1.1000000000000001</v>
      </c>
      <c r="AF29" s="62">
        <v>4.96</v>
      </c>
      <c r="AG29" s="62">
        <v>1.9</v>
      </c>
      <c r="AH29" s="62">
        <v>1.1299999999999999</v>
      </c>
      <c r="AI29" s="62">
        <v>1.49</v>
      </c>
      <c r="AJ29" s="62">
        <v>3.75</v>
      </c>
      <c r="AK29" s="62">
        <v>2.29</v>
      </c>
      <c r="AL29" s="62">
        <v>0.81</v>
      </c>
      <c r="AN29" s="62">
        <v>1.1599999999999999</v>
      </c>
      <c r="AP29" s="62">
        <v>19.5</v>
      </c>
      <c r="AQ29" s="62">
        <v>0.86</v>
      </c>
      <c r="AR29" s="62">
        <v>1.71</v>
      </c>
      <c r="AS29" s="62">
        <v>2.99</v>
      </c>
      <c r="AT29" s="62">
        <v>0.89</v>
      </c>
      <c r="AV29" s="62">
        <v>0.84</v>
      </c>
      <c r="AX29" s="62">
        <v>1.65</v>
      </c>
      <c r="AY29" s="62">
        <v>0.91</v>
      </c>
      <c r="AZ29" s="62">
        <v>1.33</v>
      </c>
      <c r="BA29" s="62">
        <v>2.58</v>
      </c>
      <c r="BC29" s="62">
        <v>0.88</v>
      </c>
      <c r="BD29" s="62">
        <v>1</v>
      </c>
      <c r="BE29" s="62">
        <v>2.58</v>
      </c>
      <c r="BF29" s="62">
        <v>0.95</v>
      </c>
      <c r="BG29" s="62">
        <v>0.92</v>
      </c>
      <c r="BH29" s="62">
        <v>1.08</v>
      </c>
      <c r="BJ29" s="62">
        <v>0.33</v>
      </c>
      <c r="BK29" s="62">
        <v>2.46</v>
      </c>
      <c r="BL29" s="62">
        <v>0.79</v>
      </c>
      <c r="BN29" s="62">
        <v>0.95</v>
      </c>
      <c r="BO29" s="62">
        <v>0.23</v>
      </c>
      <c r="BQ29" s="62">
        <v>6.31</v>
      </c>
      <c r="BS29" s="62">
        <v>37.81</v>
      </c>
      <c r="BT29" s="62">
        <v>-490.76</v>
      </c>
      <c r="BU29" s="62">
        <v>1.1299999999999999</v>
      </c>
      <c r="BV29" s="62">
        <v>7.78</v>
      </c>
      <c r="BW29" s="62">
        <v>2.3199999999999998</v>
      </c>
      <c r="BX29" s="62">
        <v>0.95</v>
      </c>
      <c r="BZ29" s="62">
        <v>0.93</v>
      </c>
      <c r="CB29" s="62">
        <v>0.48</v>
      </c>
      <c r="CC29" s="62">
        <v>3.97</v>
      </c>
      <c r="CD29" s="62">
        <v>0.83</v>
      </c>
      <c r="CE29" s="62">
        <v>3.91</v>
      </c>
      <c r="CF29" s="62">
        <v>0.76</v>
      </c>
      <c r="CH29" s="62">
        <v>1.41</v>
      </c>
      <c r="CI29" s="62">
        <v>4.5</v>
      </c>
      <c r="CJ29" s="62">
        <v>0.63</v>
      </c>
      <c r="CL29" s="62">
        <v>2.35</v>
      </c>
      <c r="CM29" s="62">
        <v>2.92</v>
      </c>
      <c r="CN29" s="62">
        <v>1.96</v>
      </c>
      <c r="CO29" s="62">
        <v>4.8099999999999996</v>
      </c>
      <c r="CP29" s="62">
        <v>0.7</v>
      </c>
      <c r="CQ29" s="62">
        <v>10.039999999999999</v>
      </c>
      <c r="CR29" s="62">
        <v>3.68</v>
      </c>
      <c r="CS29" s="62">
        <v>2.92</v>
      </c>
      <c r="CU29" s="62">
        <v>2.61</v>
      </c>
      <c r="CV29" s="62">
        <v>1.67</v>
      </c>
      <c r="CW29" s="62">
        <v>0.84</v>
      </c>
      <c r="CX29" s="62">
        <v>2.33</v>
      </c>
      <c r="CY29" s="62">
        <v>2.96</v>
      </c>
      <c r="CZ29" s="62">
        <v>0.77</v>
      </c>
      <c r="DA29" s="62">
        <v>2.1800000000000002</v>
      </c>
      <c r="DB29" s="62">
        <v>10.02</v>
      </c>
      <c r="DC29" s="62">
        <v>0.84</v>
      </c>
      <c r="DD29" s="62">
        <v>4.6399999999999997</v>
      </c>
      <c r="DF29" s="62">
        <v>0.8</v>
      </c>
      <c r="DG29" s="62">
        <v>0.84</v>
      </c>
      <c r="DH29" s="62">
        <v>-20</v>
      </c>
      <c r="DJ29" s="62">
        <v>1.2</v>
      </c>
      <c r="DK29" s="62">
        <v>1.07</v>
      </c>
      <c r="DM29" s="62">
        <v>1.22</v>
      </c>
      <c r="DN29" s="62">
        <v>2.13</v>
      </c>
      <c r="DO29" s="62">
        <v>5.29</v>
      </c>
      <c r="DP29" s="62">
        <v>3.09</v>
      </c>
    </row>
    <row r="30" spans="1:120" x14ac:dyDescent="0.3">
      <c r="A30" s="64" t="s">
        <v>9050</v>
      </c>
      <c r="B30" s="62">
        <v>1.47</v>
      </c>
      <c r="C30" s="62">
        <v>-1.08</v>
      </c>
      <c r="E30" s="62">
        <v>1.24</v>
      </c>
      <c r="F30" s="62">
        <v>-1.29</v>
      </c>
      <c r="G30" s="62">
        <v>3.04</v>
      </c>
      <c r="H30" s="62">
        <v>0.96</v>
      </c>
      <c r="J30" s="62">
        <v>0.86</v>
      </c>
      <c r="K30" s="62">
        <v>1.64</v>
      </c>
      <c r="L30" s="62">
        <v>1.01</v>
      </c>
      <c r="M30" s="62">
        <v>2.33</v>
      </c>
      <c r="N30" s="62">
        <v>0.95</v>
      </c>
      <c r="O30" s="62">
        <v>13.16</v>
      </c>
      <c r="P30" s="62">
        <v>3.67</v>
      </c>
      <c r="Q30" s="62">
        <v>3.31</v>
      </c>
      <c r="R30" s="62">
        <v>9.94</v>
      </c>
      <c r="S30" s="62">
        <v>1.18</v>
      </c>
      <c r="T30" s="62">
        <v>1.1599999999999999</v>
      </c>
      <c r="U30" s="62">
        <v>0.94</v>
      </c>
      <c r="V30" s="62">
        <v>1.26</v>
      </c>
      <c r="W30" s="62">
        <v>1.05</v>
      </c>
      <c r="X30" s="62">
        <v>1.17</v>
      </c>
      <c r="Y30" s="62">
        <v>6.85</v>
      </c>
      <c r="Z30" s="62">
        <v>0.52</v>
      </c>
      <c r="AA30" s="62">
        <v>1.51</v>
      </c>
      <c r="AB30" s="62">
        <v>1.42</v>
      </c>
      <c r="AE30" s="62">
        <v>1.1000000000000001</v>
      </c>
      <c r="AF30" s="62">
        <v>4.79</v>
      </c>
      <c r="AG30" s="62">
        <v>1.95</v>
      </c>
      <c r="AH30" s="62">
        <v>1.03</v>
      </c>
      <c r="AI30" s="62">
        <v>1.5</v>
      </c>
      <c r="AJ30" s="62">
        <v>3.83</v>
      </c>
      <c r="AK30" s="62">
        <v>2.44</v>
      </c>
      <c r="AL30" s="62">
        <v>0.61</v>
      </c>
      <c r="AM30" s="62">
        <v>1</v>
      </c>
      <c r="AN30" s="62">
        <v>0.75</v>
      </c>
      <c r="AP30" s="62">
        <v>17.96</v>
      </c>
      <c r="AQ30" s="62">
        <v>0.89</v>
      </c>
      <c r="AR30" s="62">
        <v>1.64</v>
      </c>
      <c r="AS30" s="62">
        <v>3.24</v>
      </c>
      <c r="AT30" s="62">
        <v>0.91</v>
      </c>
      <c r="AV30" s="62">
        <v>0.85</v>
      </c>
      <c r="AX30" s="62">
        <v>1.65</v>
      </c>
      <c r="AY30" s="62">
        <v>0.95</v>
      </c>
      <c r="AZ30" s="62">
        <v>1.33</v>
      </c>
      <c r="BA30" s="62">
        <v>2.58</v>
      </c>
      <c r="BC30" s="62">
        <v>0.89</v>
      </c>
      <c r="BD30" s="62">
        <v>0.98</v>
      </c>
      <c r="BE30" s="62">
        <v>2.87</v>
      </c>
      <c r="BF30" s="62">
        <v>1.02</v>
      </c>
      <c r="BG30" s="62">
        <v>0.95</v>
      </c>
      <c r="BH30" s="62">
        <v>1.1000000000000001</v>
      </c>
      <c r="BJ30" s="62">
        <v>0.35</v>
      </c>
      <c r="BK30" s="62">
        <v>2.56</v>
      </c>
      <c r="BL30" s="62">
        <v>0.79</v>
      </c>
      <c r="BN30" s="62">
        <v>0.95</v>
      </c>
      <c r="BO30" s="62">
        <v>0.33</v>
      </c>
      <c r="BQ30" s="62">
        <v>6.22</v>
      </c>
      <c r="BS30" s="62">
        <v>32.159999999999997</v>
      </c>
      <c r="BT30" s="62">
        <v>-517.28</v>
      </c>
      <c r="BU30" s="62">
        <v>1.1299999999999999</v>
      </c>
      <c r="BV30" s="62">
        <v>5.99</v>
      </c>
      <c r="BW30" s="62">
        <v>2.35</v>
      </c>
      <c r="BX30" s="62">
        <v>0.99</v>
      </c>
      <c r="BZ30" s="62">
        <v>0.94</v>
      </c>
      <c r="CB30" s="62">
        <v>0.49</v>
      </c>
      <c r="CC30" s="62">
        <v>4.33</v>
      </c>
      <c r="CD30" s="62">
        <v>0.81</v>
      </c>
      <c r="CE30" s="62">
        <v>3.96</v>
      </c>
      <c r="CF30" s="62">
        <v>0.73</v>
      </c>
      <c r="CH30" s="62">
        <v>1.48</v>
      </c>
      <c r="CI30" s="62">
        <v>4.5</v>
      </c>
      <c r="CJ30" s="62">
        <v>0.65</v>
      </c>
      <c r="CL30" s="62">
        <v>2.36</v>
      </c>
      <c r="CM30" s="62">
        <v>3.03</v>
      </c>
      <c r="CN30" s="62">
        <v>2.08</v>
      </c>
      <c r="CO30" s="62">
        <v>4.96</v>
      </c>
      <c r="CP30" s="62">
        <v>0.6</v>
      </c>
      <c r="CQ30" s="62">
        <v>9.41</v>
      </c>
      <c r="CR30" s="62">
        <v>3.35</v>
      </c>
      <c r="CS30" s="62">
        <v>2.92</v>
      </c>
      <c r="CU30" s="62">
        <v>2.94</v>
      </c>
      <c r="CV30" s="62">
        <v>1.68</v>
      </c>
      <c r="CW30" s="62">
        <v>0.86</v>
      </c>
      <c r="CX30" s="62">
        <v>2.2799999999999998</v>
      </c>
      <c r="CY30" s="62">
        <v>2.98</v>
      </c>
      <c r="CZ30" s="62">
        <v>0.83</v>
      </c>
      <c r="DA30" s="62">
        <v>1.99</v>
      </c>
      <c r="DB30" s="62">
        <v>9</v>
      </c>
      <c r="DC30" s="62">
        <v>0.88</v>
      </c>
      <c r="DD30" s="62">
        <v>4.6399999999999997</v>
      </c>
      <c r="DF30" s="62">
        <v>0.8</v>
      </c>
      <c r="DG30" s="62">
        <v>0.89</v>
      </c>
      <c r="DH30" s="62">
        <v>-30</v>
      </c>
      <c r="DJ30" s="62">
        <v>1.28</v>
      </c>
      <c r="DK30" s="62">
        <v>1.1200000000000001</v>
      </c>
      <c r="DM30" s="62">
        <v>1.3</v>
      </c>
      <c r="DN30" s="62">
        <v>2.2400000000000002</v>
      </c>
      <c r="DO30" s="62">
        <v>5.29</v>
      </c>
      <c r="DP30" s="62">
        <v>3.1</v>
      </c>
    </row>
    <row r="31" spans="1:120" x14ac:dyDescent="0.3">
      <c r="A31" s="64" t="s">
        <v>9051</v>
      </c>
      <c r="B31" s="62">
        <v>1.54</v>
      </c>
      <c r="C31" s="62">
        <v>-1.08</v>
      </c>
      <c r="E31" s="62">
        <v>1.3</v>
      </c>
      <c r="F31" s="62">
        <v>-1.29</v>
      </c>
      <c r="G31" s="62">
        <v>2.66</v>
      </c>
      <c r="H31" s="62">
        <v>1.02</v>
      </c>
      <c r="J31" s="62">
        <v>0.83</v>
      </c>
      <c r="K31" s="62">
        <v>1.57</v>
      </c>
      <c r="L31" s="62">
        <v>1.01</v>
      </c>
      <c r="M31" s="62">
        <v>2.39</v>
      </c>
      <c r="N31" s="62">
        <v>0.95</v>
      </c>
      <c r="O31" s="62">
        <v>13.16</v>
      </c>
      <c r="P31" s="62">
        <v>4.59</v>
      </c>
      <c r="Q31" s="62">
        <v>3.48</v>
      </c>
      <c r="R31" s="62">
        <v>10.54</v>
      </c>
      <c r="S31" s="62">
        <v>1.1100000000000001</v>
      </c>
      <c r="T31" s="62">
        <v>1.1399999999999999</v>
      </c>
      <c r="U31" s="62">
        <v>0.92</v>
      </c>
      <c r="V31" s="62">
        <v>1.23</v>
      </c>
      <c r="W31" s="62">
        <v>1.1499999999999999</v>
      </c>
      <c r="X31" s="62">
        <v>1.1200000000000001</v>
      </c>
      <c r="Y31" s="62">
        <v>5.64</v>
      </c>
      <c r="Z31" s="62">
        <v>0.52</v>
      </c>
      <c r="AA31" s="62">
        <v>1.62</v>
      </c>
      <c r="AB31" s="62">
        <v>1.46</v>
      </c>
      <c r="AE31" s="62">
        <v>1.1000000000000001</v>
      </c>
      <c r="AF31" s="62">
        <v>5.44</v>
      </c>
      <c r="AG31" s="62">
        <v>1.79</v>
      </c>
      <c r="AH31" s="62">
        <v>1.01</v>
      </c>
      <c r="AI31" s="62">
        <v>1.51</v>
      </c>
      <c r="AJ31" s="62">
        <v>3.94</v>
      </c>
      <c r="AK31" s="62">
        <v>2.19</v>
      </c>
      <c r="AL31" s="62">
        <v>0.65</v>
      </c>
      <c r="AM31" s="62">
        <v>0.96</v>
      </c>
      <c r="AN31" s="62">
        <v>0.9</v>
      </c>
      <c r="AP31" s="62">
        <v>15.39</v>
      </c>
      <c r="AQ31" s="62">
        <v>0.96</v>
      </c>
      <c r="AR31" s="62">
        <v>2.09</v>
      </c>
      <c r="AS31" s="62">
        <v>2.96</v>
      </c>
      <c r="AT31" s="62">
        <v>0.91</v>
      </c>
      <c r="AV31" s="62">
        <v>0.91</v>
      </c>
      <c r="AX31" s="62">
        <v>1.65</v>
      </c>
      <c r="AY31" s="62">
        <v>0.99</v>
      </c>
      <c r="AZ31" s="62">
        <v>1.32</v>
      </c>
      <c r="BA31" s="62">
        <v>2.69</v>
      </c>
      <c r="BC31" s="62">
        <v>0.93</v>
      </c>
      <c r="BD31" s="62">
        <v>0.99</v>
      </c>
      <c r="BE31" s="62">
        <v>2.58</v>
      </c>
      <c r="BF31" s="62">
        <v>1</v>
      </c>
      <c r="BG31" s="62">
        <v>0.96</v>
      </c>
      <c r="BH31" s="62">
        <v>1.17</v>
      </c>
      <c r="BJ31" s="62">
        <v>0.37</v>
      </c>
      <c r="BK31" s="62">
        <v>2.1800000000000002</v>
      </c>
      <c r="BL31" s="62">
        <v>0.63</v>
      </c>
      <c r="BN31" s="62">
        <v>0.96</v>
      </c>
      <c r="BO31" s="62">
        <v>0.27</v>
      </c>
      <c r="BQ31" s="62">
        <v>6.66</v>
      </c>
      <c r="BS31" s="62">
        <v>25.31</v>
      </c>
      <c r="BT31" s="62">
        <v>-344.86</v>
      </c>
      <c r="BU31" s="62">
        <v>1.2</v>
      </c>
      <c r="BV31" s="62">
        <v>5.69</v>
      </c>
      <c r="BW31" s="62">
        <v>2.36</v>
      </c>
      <c r="BX31" s="62">
        <v>1.05</v>
      </c>
      <c r="BZ31" s="62">
        <v>0.97</v>
      </c>
      <c r="CB31" s="62">
        <v>0.55000000000000004</v>
      </c>
      <c r="CC31" s="62">
        <v>4.49</v>
      </c>
      <c r="CD31" s="62">
        <v>0.83</v>
      </c>
      <c r="CE31" s="62">
        <v>3.76</v>
      </c>
      <c r="CF31" s="62">
        <v>0.69</v>
      </c>
      <c r="CH31" s="62">
        <v>1.64</v>
      </c>
      <c r="CI31" s="62">
        <v>4.26</v>
      </c>
      <c r="CJ31" s="62">
        <v>0.65</v>
      </c>
      <c r="CL31" s="62">
        <v>2.35</v>
      </c>
      <c r="CM31" s="62">
        <v>2.97</v>
      </c>
      <c r="CN31" s="62">
        <v>2.0699999999999998</v>
      </c>
      <c r="CO31" s="62">
        <v>5.26</v>
      </c>
      <c r="CP31" s="62">
        <v>0.55000000000000004</v>
      </c>
      <c r="CQ31" s="62">
        <v>10.46</v>
      </c>
      <c r="CR31" s="62">
        <v>5.07</v>
      </c>
      <c r="CS31" s="62">
        <v>2.92</v>
      </c>
      <c r="CU31" s="62">
        <v>2.89</v>
      </c>
      <c r="CV31" s="62">
        <v>1.68</v>
      </c>
      <c r="CW31" s="62">
        <v>0.9</v>
      </c>
      <c r="CX31" s="62">
        <v>2.2999999999999998</v>
      </c>
      <c r="CY31" s="62">
        <v>2.48</v>
      </c>
      <c r="CZ31" s="62">
        <v>0.83</v>
      </c>
      <c r="DA31" s="62">
        <v>1.86</v>
      </c>
      <c r="DB31" s="62">
        <v>8.7799999999999994</v>
      </c>
      <c r="DC31" s="62">
        <v>0.85</v>
      </c>
      <c r="DD31" s="62">
        <v>5.8</v>
      </c>
      <c r="DF31" s="62">
        <v>0.8</v>
      </c>
      <c r="DG31" s="62">
        <v>0.98</v>
      </c>
      <c r="DH31" s="62">
        <v>-25</v>
      </c>
      <c r="DJ31" s="62">
        <v>1.23</v>
      </c>
      <c r="DK31" s="62">
        <v>1.1100000000000001</v>
      </c>
      <c r="DM31" s="62">
        <v>1.33</v>
      </c>
      <c r="DN31" s="62">
        <v>2.29</v>
      </c>
      <c r="DO31" s="62">
        <v>3.96</v>
      </c>
      <c r="DP31" s="62">
        <v>3.08</v>
      </c>
    </row>
    <row r="32" spans="1:120" x14ac:dyDescent="0.3">
      <c r="A32" s="64" t="s">
        <v>9052</v>
      </c>
      <c r="B32" s="62">
        <v>1.51</v>
      </c>
      <c r="C32" s="62">
        <v>-1.61</v>
      </c>
      <c r="E32" s="62">
        <v>1.2</v>
      </c>
      <c r="F32" s="62">
        <v>-3.36</v>
      </c>
      <c r="G32" s="62">
        <v>3.04</v>
      </c>
      <c r="H32" s="62">
        <v>1.03</v>
      </c>
      <c r="J32" s="62">
        <v>0.81</v>
      </c>
      <c r="K32" s="62">
        <v>1.53</v>
      </c>
      <c r="L32" s="62">
        <v>1.07</v>
      </c>
      <c r="M32" s="62">
        <v>2.2799999999999998</v>
      </c>
      <c r="N32" s="62">
        <v>0.92</v>
      </c>
      <c r="O32" s="62">
        <v>13.16</v>
      </c>
      <c r="P32" s="62">
        <v>3.9</v>
      </c>
      <c r="Q32" s="62">
        <v>3.63</v>
      </c>
      <c r="R32" s="62">
        <v>11.19</v>
      </c>
      <c r="S32" s="62">
        <v>1.39</v>
      </c>
      <c r="T32" s="62">
        <v>1.1299999999999999</v>
      </c>
      <c r="U32" s="62">
        <v>0.83</v>
      </c>
      <c r="V32" s="62">
        <v>1.1299999999999999</v>
      </c>
      <c r="W32" s="62">
        <v>1.24</v>
      </c>
      <c r="X32" s="62">
        <v>1.24</v>
      </c>
      <c r="Y32" s="62">
        <v>6.01</v>
      </c>
      <c r="Z32" s="62">
        <v>0.7</v>
      </c>
      <c r="AA32" s="62">
        <v>1.55</v>
      </c>
      <c r="AB32" s="62">
        <v>1.45</v>
      </c>
      <c r="AE32" s="62">
        <v>1.47</v>
      </c>
      <c r="AF32" s="62">
        <v>5.59</v>
      </c>
      <c r="AG32" s="62">
        <v>1.63</v>
      </c>
      <c r="AH32" s="62">
        <v>0.97</v>
      </c>
      <c r="AI32" s="62">
        <v>1.41</v>
      </c>
      <c r="AJ32" s="62">
        <v>3.76</v>
      </c>
      <c r="AK32" s="62">
        <v>2.04</v>
      </c>
      <c r="AL32" s="62">
        <v>0.65</v>
      </c>
      <c r="AM32" s="62">
        <v>0.98</v>
      </c>
      <c r="AN32" s="62">
        <v>0.63</v>
      </c>
      <c r="AO32" s="62">
        <v>2.9</v>
      </c>
      <c r="AP32" s="62">
        <v>10.16</v>
      </c>
      <c r="AQ32" s="62">
        <v>0.94</v>
      </c>
      <c r="AR32" s="62">
        <v>2.06</v>
      </c>
      <c r="AS32" s="62">
        <v>2.88</v>
      </c>
      <c r="AT32" s="62">
        <v>0.93</v>
      </c>
      <c r="AV32" s="62">
        <v>0.91</v>
      </c>
      <c r="AX32" s="62">
        <v>0.74</v>
      </c>
      <c r="AY32" s="62">
        <v>0.97</v>
      </c>
      <c r="AZ32" s="62">
        <v>1.27</v>
      </c>
      <c r="BA32" s="62">
        <v>2.78</v>
      </c>
      <c r="BC32" s="62">
        <v>0.86</v>
      </c>
      <c r="BD32" s="62">
        <v>1.05</v>
      </c>
      <c r="BE32" s="62">
        <v>3.76</v>
      </c>
      <c r="BF32" s="62">
        <v>0.94</v>
      </c>
      <c r="BG32" s="62">
        <v>0.94</v>
      </c>
      <c r="BH32" s="62">
        <v>1.06</v>
      </c>
      <c r="BJ32" s="62">
        <v>0.34</v>
      </c>
      <c r="BK32" s="62">
        <v>2.04</v>
      </c>
      <c r="BL32" s="62">
        <v>0.7</v>
      </c>
      <c r="BN32" s="62">
        <v>1.2</v>
      </c>
      <c r="BO32" s="62">
        <v>0.22</v>
      </c>
      <c r="BQ32" s="62">
        <v>6.51</v>
      </c>
      <c r="BS32" s="62">
        <v>23.22</v>
      </c>
      <c r="BT32" s="62">
        <v>-331.59</v>
      </c>
      <c r="BU32" s="62">
        <v>1.18</v>
      </c>
      <c r="BV32" s="62">
        <v>4.49</v>
      </c>
      <c r="BW32" s="62">
        <v>2.39</v>
      </c>
      <c r="BX32" s="62">
        <v>0.97</v>
      </c>
      <c r="BZ32" s="62">
        <v>0.98</v>
      </c>
      <c r="CB32" s="62">
        <v>0.56999999999999995</v>
      </c>
      <c r="CC32" s="62">
        <v>4.5199999999999996</v>
      </c>
      <c r="CD32" s="62">
        <v>0.74</v>
      </c>
      <c r="CE32" s="62">
        <v>3.84</v>
      </c>
      <c r="CF32" s="62">
        <v>0.69</v>
      </c>
      <c r="CH32" s="62">
        <v>1.5</v>
      </c>
      <c r="CI32" s="62">
        <v>4.5</v>
      </c>
      <c r="CJ32" s="62">
        <v>0.75</v>
      </c>
      <c r="CK32" s="62">
        <v>8.16</v>
      </c>
      <c r="CL32" s="62">
        <v>2.13</v>
      </c>
      <c r="CM32" s="62">
        <v>2.85</v>
      </c>
      <c r="CN32" s="62">
        <v>2.0099999999999998</v>
      </c>
      <c r="CO32" s="62">
        <v>4.21</v>
      </c>
      <c r="CP32" s="62">
        <v>0.57999999999999996</v>
      </c>
      <c r="CQ32" s="62">
        <v>8.58</v>
      </c>
      <c r="CR32" s="62">
        <v>2.78</v>
      </c>
      <c r="CS32" s="62">
        <v>2.72</v>
      </c>
      <c r="CU32" s="62">
        <v>2.77</v>
      </c>
      <c r="CV32" s="62">
        <v>1.61</v>
      </c>
      <c r="CW32" s="62">
        <v>0.9</v>
      </c>
      <c r="CX32" s="62">
        <v>2.27</v>
      </c>
      <c r="CY32" s="62">
        <v>2.69</v>
      </c>
      <c r="CZ32" s="62">
        <v>0.83</v>
      </c>
      <c r="DA32" s="62">
        <v>1.97</v>
      </c>
      <c r="DB32" s="62">
        <v>7.56</v>
      </c>
      <c r="DC32" s="62">
        <v>0.82</v>
      </c>
      <c r="DD32" s="62">
        <v>5.8</v>
      </c>
      <c r="DF32" s="62">
        <v>0.73</v>
      </c>
      <c r="DG32" s="62">
        <v>0.99</v>
      </c>
      <c r="DH32" s="62">
        <v>-30</v>
      </c>
      <c r="DJ32" s="62">
        <v>1.0900000000000001</v>
      </c>
      <c r="DK32" s="62">
        <v>1.1200000000000001</v>
      </c>
      <c r="DM32" s="62">
        <v>1.07</v>
      </c>
      <c r="DN32" s="62">
        <v>2.0699999999999998</v>
      </c>
      <c r="DO32" s="62">
        <v>3.63</v>
      </c>
      <c r="DP32" s="62">
        <v>3.12</v>
      </c>
    </row>
    <row r="33" spans="1:120" x14ac:dyDescent="0.3">
      <c r="A33" s="64" t="s">
        <v>9053</v>
      </c>
      <c r="B33" s="62">
        <v>1.51</v>
      </c>
      <c r="C33" s="62">
        <v>-1.61</v>
      </c>
      <c r="E33" s="62">
        <v>1.0900000000000001</v>
      </c>
      <c r="F33" s="62">
        <v>-2.97</v>
      </c>
      <c r="G33" s="62">
        <v>3.04</v>
      </c>
      <c r="H33" s="62">
        <v>1.04</v>
      </c>
      <c r="J33" s="62">
        <v>0.81</v>
      </c>
      <c r="K33" s="62">
        <v>1.48</v>
      </c>
      <c r="L33" s="62">
        <v>1.07</v>
      </c>
      <c r="M33" s="62">
        <v>2.19</v>
      </c>
      <c r="N33" s="62">
        <v>0.9</v>
      </c>
      <c r="O33" s="62">
        <v>13.16</v>
      </c>
      <c r="P33" s="62">
        <v>3.9</v>
      </c>
      <c r="Q33" s="62">
        <v>3.76</v>
      </c>
      <c r="R33" s="62">
        <v>11.62</v>
      </c>
      <c r="S33" s="62">
        <v>1.19</v>
      </c>
      <c r="T33" s="62">
        <v>1.1100000000000001</v>
      </c>
      <c r="U33" s="62">
        <v>0.85</v>
      </c>
      <c r="V33" s="62">
        <v>1.1599999999999999</v>
      </c>
      <c r="W33" s="62">
        <v>1.19</v>
      </c>
      <c r="X33" s="62">
        <v>1.27</v>
      </c>
      <c r="Y33" s="62">
        <v>5.24</v>
      </c>
      <c r="Z33" s="62">
        <v>0.7</v>
      </c>
      <c r="AA33" s="62">
        <v>1.53</v>
      </c>
      <c r="AB33" s="62">
        <v>1.46</v>
      </c>
      <c r="AE33" s="62">
        <v>3.06</v>
      </c>
      <c r="AF33" s="62">
        <v>5.53</v>
      </c>
      <c r="AG33" s="62">
        <v>1.66</v>
      </c>
      <c r="AH33" s="62">
        <v>1.05</v>
      </c>
      <c r="AI33" s="62">
        <v>1.53</v>
      </c>
      <c r="AJ33" s="62">
        <v>3.64</v>
      </c>
      <c r="AK33" s="62">
        <v>2.04</v>
      </c>
      <c r="AL33" s="62">
        <v>0.65</v>
      </c>
      <c r="AM33" s="62">
        <v>1</v>
      </c>
      <c r="AN33" s="62">
        <v>0.6</v>
      </c>
      <c r="AO33" s="62">
        <v>2.48</v>
      </c>
      <c r="AP33" s="62">
        <v>8.11</v>
      </c>
      <c r="AQ33" s="62">
        <v>0.95</v>
      </c>
      <c r="AR33" s="62">
        <v>2.34</v>
      </c>
      <c r="AS33" s="62">
        <v>2.97</v>
      </c>
      <c r="AT33" s="62">
        <v>0.92</v>
      </c>
      <c r="AU33" s="62">
        <v>2.2400000000000002</v>
      </c>
      <c r="AV33" s="62">
        <v>0.93</v>
      </c>
      <c r="AX33" s="62">
        <v>0.7</v>
      </c>
      <c r="AY33" s="62">
        <v>0.97</v>
      </c>
      <c r="AZ33" s="62">
        <v>1.1399999999999999</v>
      </c>
      <c r="BA33" s="62">
        <v>2.92</v>
      </c>
      <c r="BC33" s="62">
        <v>0.83</v>
      </c>
      <c r="BD33" s="62">
        <v>1.04</v>
      </c>
      <c r="BE33" s="62">
        <v>3.45</v>
      </c>
      <c r="BF33" s="62">
        <v>0.99</v>
      </c>
      <c r="BG33" s="62">
        <v>0.93</v>
      </c>
      <c r="BH33" s="62">
        <v>1</v>
      </c>
      <c r="BI33" s="62">
        <v>2.27</v>
      </c>
      <c r="BJ33" s="62">
        <v>0.56000000000000005</v>
      </c>
      <c r="BK33" s="62">
        <v>2.65</v>
      </c>
      <c r="BL33" s="62">
        <v>0.7</v>
      </c>
      <c r="BN33" s="62">
        <v>1.19</v>
      </c>
      <c r="BO33" s="62">
        <v>0.25</v>
      </c>
      <c r="BQ33" s="62">
        <v>6.41</v>
      </c>
      <c r="BS33" s="62">
        <v>22.33</v>
      </c>
      <c r="BT33" s="62">
        <v>-198.96</v>
      </c>
      <c r="BU33" s="62">
        <v>1.1299999999999999</v>
      </c>
      <c r="BV33" s="62">
        <v>3.59</v>
      </c>
      <c r="BW33" s="62">
        <v>2.37</v>
      </c>
      <c r="BX33" s="62">
        <v>0.99</v>
      </c>
      <c r="BZ33" s="62">
        <v>0.98</v>
      </c>
      <c r="CB33" s="62">
        <v>0.56999999999999995</v>
      </c>
      <c r="CC33" s="62">
        <v>4.47</v>
      </c>
      <c r="CD33" s="62">
        <v>0.67</v>
      </c>
      <c r="CE33" s="62">
        <v>3.63</v>
      </c>
      <c r="CF33" s="62">
        <v>0.69</v>
      </c>
      <c r="CG33" s="62">
        <v>1.51</v>
      </c>
      <c r="CH33" s="62">
        <v>1.45</v>
      </c>
      <c r="CI33" s="62">
        <v>4.0199999999999996</v>
      </c>
      <c r="CJ33" s="62">
        <v>0.75</v>
      </c>
      <c r="CK33" s="62">
        <v>7.45</v>
      </c>
      <c r="CL33" s="62">
        <v>2.02</v>
      </c>
      <c r="CM33" s="62">
        <v>2.67</v>
      </c>
      <c r="CN33" s="62">
        <v>1.93</v>
      </c>
      <c r="CO33" s="62">
        <v>3.61</v>
      </c>
      <c r="CP33" s="62">
        <v>0.55000000000000004</v>
      </c>
      <c r="CQ33" s="62">
        <v>8.3699999999999992</v>
      </c>
      <c r="CR33" s="62">
        <v>2.67</v>
      </c>
      <c r="CS33" s="62">
        <v>2.71</v>
      </c>
      <c r="CU33" s="62">
        <v>2.92</v>
      </c>
      <c r="CV33" s="62">
        <v>1.52</v>
      </c>
      <c r="CW33" s="62">
        <v>0.92</v>
      </c>
      <c r="CX33" s="62">
        <v>2.0499999999999998</v>
      </c>
      <c r="CY33" s="62">
        <v>2.94</v>
      </c>
      <c r="CZ33" s="62">
        <v>0.85</v>
      </c>
      <c r="DA33" s="62">
        <v>2.0299999999999998</v>
      </c>
      <c r="DB33" s="62">
        <v>6.81</v>
      </c>
      <c r="DC33" s="62">
        <v>0.81</v>
      </c>
      <c r="DD33" s="62">
        <v>4.87</v>
      </c>
      <c r="DF33" s="62">
        <v>0.81</v>
      </c>
      <c r="DG33" s="62">
        <v>0.99</v>
      </c>
      <c r="DH33" s="62">
        <v>-25</v>
      </c>
      <c r="DJ33" s="62">
        <v>1.25</v>
      </c>
      <c r="DK33" s="62">
        <v>1.1200000000000001</v>
      </c>
      <c r="DM33" s="62">
        <v>1.07</v>
      </c>
      <c r="DN33" s="62">
        <v>1.97</v>
      </c>
      <c r="DO33" s="62">
        <v>3.3</v>
      </c>
      <c r="DP33" s="62">
        <v>3.01</v>
      </c>
    </row>
    <row r="34" spans="1:120" x14ac:dyDescent="0.3">
      <c r="A34" s="64" t="s">
        <v>9054</v>
      </c>
      <c r="B34" s="62">
        <v>1.62</v>
      </c>
      <c r="C34" s="62">
        <v>-1.61</v>
      </c>
      <c r="E34" s="62">
        <v>1.24</v>
      </c>
      <c r="F34" s="62">
        <v>-5.21</v>
      </c>
      <c r="G34" s="62">
        <v>2.2799999999999998</v>
      </c>
      <c r="H34" s="62">
        <v>1.08</v>
      </c>
      <c r="J34" s="62">
        <v>0.79</v>
      </c>
      <c r="K34" s="62">
        <v>1.45</v>
      </c>
      <c r="L34" s="62">
        <v>1.07</v>
      </c>
      <c r="M34" s="62">
        <v>2.17</v>
      </c>
      <c r="N34" s="62">
        <v>0.92</v>
      </c>
      <c r="O34" s="62">
        <v>13.16</v>
      </c>
      <c r="P34" s="62">
        <v>5.28</v>
      </c>
      <c r="Q34" s="62">
        <v>3.93</v>
      </c>
      <c r="R34" s="62">
        <v>10.76</v>
      </c>
      <c r="S34" s="62">
        <v>0.97</v>
      </c>
      <c r="T34" s="62">
        <v>1.1299999999999999</v>
      </c>
      <c r="U34" s="62">
        <v>0.85</v>
      </c>
      <c r="V34" s="62">
        <v>1.25</v>
      </c>
      <c r="W34" s="62">
        <v>1.19</v>
      </c>
      <c r="X34" s="62">
        <v>1.25</v>
      </c>
      <c r="Y34" s="62">
        <v>6.73</v>
      </c>
      <c r="Z34" s="62">
        <v>0.7</v>
      </c>
      <c r="AA34" s="62">
        <v>1.66</v>
      </c>
      <c r="AB34" s="62">
        <v>1.35</v>
      </c>
      <c r="AC34" s="62">
        <v>4.17</v>
      </c>
      <c r="AE34" s="62">
        <v>2.25</v>
      </c>
      <c r="AF34" s="62">
        <v>5.91</v>
      </c>
      <c r="AG34" s="62">
        <v>1.7</v>
      </c>
      <c r="AH34" s="62">
        <v>1.04</v>
      </c>
      <c r="AI34" s="62">
        <v>1.52</v>
      </c>
      <c r="AJ34" s="62">
        <v>3.8</v>
      </c>
      <c r="AK34" s="62">
        <v>1.7</v>
      </c>
      <c r="AL34" s="62">
        <v>0.81</v>
      </c>
      <c r="AM34" s="62">
        <v>0.97</v>
      </c>
      <c r="AN34" s="62">
        <v>0.69</v>
      </c>
      <c r="AO34" s="62">
        <v>2.59</v>
      </c>
      <c r="AP34" s="62">
        <v>5.85</v>
      </c>
      <c r="AQ34" s="62">
        <v>1</v>
      </c>
      <c r="AR34" s="62">
        <v>2.48</v>
      </c>
      <c r="AS34" s="62">
        <v>2.67</v>
      </c>
      <c r="AT34" s="62">
        <v>0.93</v>
      </c>
      <c r="AU34" s="62">
        <v>2.06</v>
      </c>
      <c r="AV34" s="62">
        <v>0.9</v>
      </c>
      <c r="AX34" s="62">
        <v>0.72</v>
      </c>
      <c r="AY34" s="62">
        <v>1</v>
      </c>
      <c r="AZ34" s="62">
        <v>1</v>
      </c>
      <c r="BA34" s="62">
        <v>2.96</v>
      </c>
      <c r="BC34" s="62">
        <v>0.84</v>
      </c>
      <c r="BD34" s="62">
        <v>0.97</v>
      </c>
      <c r="BE34" s="62">
        <v>3.55</v>
      </c>
      <c r="BF34" s="62">
        <v>0.96</v>
      </c>
      <c r="BG34" s="62">
        <v>0.93</v>
      </c>
      <c r="BH34" s="62">
        <v>1.08</v>
      </c>
      <c r="BI34" s="62">
        <v>2.27</v>
      </c>
      <c r="BJ34" s="62">
        <v>0.56000000000000005</v>
      </c>
      <c r="BK34" s="62">
        <v>2.27</v>
      </c>
      <c r="BL34" s="62">
        <v>0.7</v>
      </c>
      <c r="BN34" s="62">
        <v>1.17</v>
      </c>
      <c r="BO34" s="62">
        <v>0.22</v>
      </c>
      <c r="BQ34" s="62">
        <v>6.12</v>
      </c>
      <c r="BS34" s="62">
        <v>23.82</v>
      </c>
      <c r="BT34" s="62">
        <v>-159.16</v>
      </c>
      <c r="BU34" s="62">
        <v>1.1599999999999999</v>
      </c>
      <c r="BV34" s="62">
        <v>5.09</v>
      </c>
      <c r="BW34" s="62">
        <v>2.42</v>
      </c>
      <c r="BX34" s="62">
        <v>1.01</v>
      </c>
      <c r="BZ34" s="62">
        <v>1.01</v>
      </c>
      <c r="CA34" s="62">
        <v>14.59</v>
      </c>
      <c r="CB34" s="62">
        <v>0.67</v>
      </c>
      <c r="CC34" s="62">
        <v>4.62</v>
      </c>
      <c r="CD34" s="62">
        <v>0.69</v>
      </c>
      <c r="CE34" s="62">
        <v>3.61</v>
      </c>
      <c r="CF34" s="62">
        <v>0.71</v>
      </c>
      <c r="CG34" s="62">
        <v>1.45</v>
      </c>
      <c r="CH34" s="62">
        <v>1.36</v>
      </c>
      <c r="CI34" s="62">
        <v>5.68</v>
      </c>
      <c r="CJ34" s="62">
        <v>0.81</v>
      </c>
      <c r="CK34" s="62">
        <v>7.13</v>
      </c>
      <c r="CL34" s="62">
        <v>1.88</v>
      </c>
      <c r="CM34" s="62">
        <v>2.69</v>
      </c>
      <c r="CN34" s="62">
        <v>1.93</v>
      </c>
      <c r="CO34" s="62">
        <v>4.3600000000000003</v>
      </c>
      <c r="CP34" s="62">
        <v>0.56999999999999995</v>
      </c>
      <c r="CQ34" s="62">
        <v>9.41</v>
      </c>
      <c r="CR34" s="62">
        <v>2.67</v>
      </c>
      <c r="CS34" s="62">
        <v>2.76</v>
      </c>
      <c r="CT34" s="62">
        <v>-13.56</v>
      </c>
      <c r="CU34" s="62">
        <v>3.11</v>
      </c>
      <c r="CV34" s="62">
        <v>1.57</v>
      </c>
      <c r="CW34" s="62">
        <v>0.95</v>
      </c>
      <c r="CX34" s="62">
        <v>1.96</v>
      </c>
      <c r="CY34" s="62">
        <v>2.9</v>
      </c>
      <c r="CZ34" s="62">
        <v>0.79</v>
      </c>
      <c r="DA34" s="62">
        <v>1.94</v>
      </c>
      <c r="DB34" s="62">
        <v>6.7</v>
      </c>
      <c r="DC34" s="62">
        <v>0.79</v>
      </c>
      <c r="DD34" s="62">
        <v>4.93</v>
      </c>
      <c r="DF34" s="62">
        <v>0.94</v>
      </c>
      <c r="DG34" s="62">
        <v>1.07</v>
      </c>
      <c r="DH34" s="62">
        <v>-20</v>
      </c>
      <c r="DJ34" s="62">
        <v>1.28</v>
      </c>
      <c r="DK34" s="62">
        <v>1.1599999999999999</v>
      </c>
      <c r="DL34" s="62">
        <v>3.54</v>
      </c>
      <c r="DM34" s="62">
        <v>1.1499999999999999</v>
      </c>
      <c r="DN34" s="62">
        <v>1.97</v>
      </c>
      <c r="DO34" s="62">
        <v>2.97</v>
      </c>
      <c r="DP34" s="62">
        <v>3.16</v>
      </c>
    </row>
    <row r="35" spans="1:120" x14ac:dyDescent="0.3">
      <c r="A35" s="64" t="s">
        <v>9055</v>
      </c>
      <c r="B35" s="62">
        <v>1.64</v>
      </c>
      <c r="C35" s="62">
        <v>-2.15</v>
      </c>
      <c r="E35" s="62">
        <v>1.1200000000000001</v>
      </c>
      <c r="F35" s="62">
        <v>-5.27</v>
      </c>
      <c r="G35" s="62">
        <v>2.66</v>
      </c>
      <c r="H35" s="62">
        <v>1.05</v>
      </c>
      <c r="J35" s="62">
        <v>0.77</v>
      </c>
      <c r="K35" s="62">
        <v>1.49</v>
      </c>
      <c r="L35" s="62">
        <v>1.1000000000000001</v>
      </c>
      <c r="M35" s="62">
        <v>2.41</v>
      </c>
      <c r="N35" s="62">
        <v>0.9</v>
      </c>
      <c r="O35" s="62">
        <v>13.16</v>
      </c>
      <c r="P35" s="62">
        <v>5.5</v>
      </c>
      <c r="Q35" s="62">
        <v>3.94</v>
      </c>
      <c r="R35" s="62">
        <v>11.19</v>
      </c>
      <c r="S35" s="62">
        <v>1.1200000000000001</v>
      </c>
      <c r="T35" s="62">
        <v>1.19</v>
      </c>
      <c r="U35" s="62">
        <v>0.89</v>
      </c>
      <c r="V35" s="62">
        <v>1.26</v>
      </c>
      <c r="W35" s="62">
        <v>1.3</v>
      </c>
      <c r="X35" s="62">
        <v>1.36</v>
      </c>
      <c r="Y35" s="62">
        <v>6.65</v>
      </c>
      <c r="Z35" s="62">
        <v>0.35</v>
      </c>
      <c r="AA35" s="62">
        <v>1.85</v>
      </c>
      <c r="AB35" s="62">
        <v>1.3</v>
      </c>
      <c r="AC35" s="62">
        <v>4.17</v>
      </c>
      <c r="AE35" s="62">
        <v>3.55</v>
      </c>
      <c r="AF35" s="62">
        <v>6.17</v>
      </c>
      <c r="AG35" s="62">
        <v>1.63</v>
      </c>
      <c r="AH35" s="62">
        <v>1.07</v>
      </c>
      <c r="AI35" s="62">
        <v>1.56</v>
      </c>
      <c r="AJ35" s="62">
        <v>3.79</v>
      </c>
      <c r="AK35" s="62">
        <v>1.7</v>
      </c>
      <c r="AL35" s="62">
        <v>0.81</v>
      </c>
      <c r="AM35" s="62">
        <v>1.07</v>
      </c>
      <c r="AN35" s="62">
        <v>0.96</v>
      </c>
      <c r="AO35" s="62">
        <v>2.25</v>
      </c>
      <c r="AP35" s="62">
        <v>5.23</v>
      </c>
      <c r="AQ35" s="62">
        <v>0.95</v>
      </c>
      <c r="AR35" s="62">
        <v>2.57</v>
      </c>
      <c r="AS35" s="62">
        <v>3</v>
      </c>
      <c r="AT35" s="62">
        <v>0.97</v>
      </c>
      <c r="AU35" s="62">
        <v>2.1800000000000002</v>
      </c>
      <c r="AV35" s="62">
        <v>1.08</v>
      </c>
      <c r="AX35" s="62">
        <v>0.81</v>
      </c>
      <c r="AY35" s="62">
        <v>0.96</v>
      </c>
      <c r="AZ35" s="62">
        <v>1</v>
      </c>
      <c r="BA35" s="62">
        <v>2.98</v>
      </c>
      <c r="BC35" s="62">
        <v>0.84</v>
      </c>
      <c r="BD35" s="62">
        <v>0.97</v>
      </c>
      <c r="BE35" s="62">
        <v>3.55</v>
      </c>
      <c r="BF35" s="62">
        <v>1.06</v>
      </c>
      <c r="BG35" s="62">
        <v>1.05</v>
      </c>
      <c r="BH35" s="62">
        <v>1.08</v>
      </c>
      <c r="BI35" s="62">
        <v>2.41</v>
      </c>
      <c r="BJ35" s="62">
        <v>0.61</v>
      </c>
      <c r="BK35" s="62">
        <v>2.27</v>
      </c>
      <c r="BL35" s="62">
        <v>0.98</v>
      </c>
      <c r="BN35" s="62">
        <v>1.1399999999999999</v>
      </c>
      <c r="BO35" s="62">
        <v>0.25</v>
      </c>
      <c r="BQ35" s="62">
        <v>6.17</v>
      </c>
      <c r="BS35" s="62">
        <v>27.39</v>
      </c>
      <c r="BT35" s="62">
        <v>-318.33</v>
      </c>
      <c r="BU35" s="62">
        <v>1.1599999999999999</v>
      </c>
      <c r="BV35" s="62">
        <v>4.49</v>
      </c>
      <c r="BW35" s="62">
        <v>2.44</v>
      </c>
      <c r="BX35" s="62">
        <v>0.98</v>
      </c>
      <c r="BZ35" s="62">
        <v>1.01</v>
      </c>
      <c r="CA35" s="62">
        <v>15.31</v>
      </c>
      <c r="CB35" s="62">
        <v>0.82</v>
      </c>
      <c r="CC35" s="62">
        <v>4.66</v>
      </c>
      <c r="CD35" s="62">
        <v>0.63</v>
      </c>
      <c r="CE35" s="62">
        <v>3.55</v>
      </c>
      <c r="CF35" s="62">
        <v>0.86</v>
      </c>
      <c r="CG35" s="62">
        <v>1.48</v>
      </c>
      <c r="CH35" s="62">
        <v>1.38</v>
      </c>
      <c r="CI35" s="62">
        <v>4.97</v>
      </c>
      <c r="CJ35" s="62">
        <v>0.76</v>
      </c>
      <c r="CK35" s="62">
        <v>7.93</v>
      </c>
      <c r="CL35" s="62">
        <v>1.85</v>
      </c>
      <c r="CM35" s="62">
        <v>2.58</v>
      </c>
      <c r="CN35" s="62">
        <v>1.82</v>
      </c>
      <c r="CO35" s="62">
        <v>3.76</v>
      </c>
      <c r="CP35" s="62">
        <v>0.56999999999999995</v>
      </c>
      <c r="CQ35" s="62">
        <v>10.36</v>
      </c>
      <c r="CR35" s="62">
        <v>2.67</v>
      </c>
      <c r="CS35" s="62">
        <v>3.15</v>
      </c>
      <c r="CT35" s="62">
        <v>-18.98</v>
      </c>
      <c r="CU35" s="62">
        <v>3.12</v>
      </c>
      <c r="CV35" s="62">
        <v>1.5</v>
      </c>
      <c r="CW35" s="62">
        <v>0.95</v>
      </c>
      <c r="CX35" s="62">
        <v>1.85</v>
      </c>
      <c r="CY35" s="62">
        <v>2.97</v>
      </c>
      <c r="CZ35" s="62">
        <v>0.81</v>
      </c>
      <c r="DA35" s="62">
        <v>1.94</v>
      </c>
      <c r="DB35" s="62">
        <v>6.37</v>
      </c>
      <c r="DC35" s="62">
        <v>0.81</v>
      </c>
      <c r="DD35" s="62">
        <v>4.93</v>
      </c>
      <c r="DF35" s="62">
        <v>0.95</v>
      </c>
      <c r="DG35" s="62">
        <v>1.22</v>
      </c>
      <c r="DH35" s="62">
        <v>-20</v>
      </c>
      <c r="DJ35" s="62">
        <v>1.33</v>
      </c>
      <c r="DK35" s="62">
        <v>1.17</v>
      </c>
      <c r="DL35" s="62">
        <v>4.05</v>
      </c>
      <c r="DM35" s="62">
        <v>1.1299999999999999</v>
      </c>
      <c r="DN35" s="62">
        <v>1.98</v>
      </c>
      <c r="DO35" s="62">
        <v>3.8</v>
      </c>
      <c r="DP35" s="62">
        <v>3.14</v>
      </c>
    </row>
    <row r="36" spans="1:120" x14ac:dyDescent="0.3">
      <c r="A36" s="64" t="s">
        <v>9056</v>
      </c>
      <c r="B36" s="62">
        <v>1.62</v>
      </c>
      <c r="C36" s="62">
        <v>-2.15</v>
      </c>
      <c r="E36" s="62">
        <v>1.1499999999999999</v>
      </c>
      <c r="F36" s="62">
        <v>-5.67</v>
      </c>
      <c r="G36" s="62">
        <v>2.66</v>
      </c>
      <c r="H36" s="62">
        <v>1.1100000000000001</v>
      </c>
      <c r="J36" s="62">
        <v>0.82</v>
      </c>
      <c r="K36" s="62">
        <v>1.52</v>
      </c>
      <c r="L36" s="62">
        <v>1.17</v>
      </c>
      <c r="M36" s="62">
        <v>2.31</v>
      </c>
      <c r="N36" s="62">
        <v>0.92</v>
      </c>
      <c r="O36" s="62">
        <v>13.16</v>
      </c>
      <c r="P36" s="62">
        <v>5.96</v>
      </c>
      <c r="Q36" s="62">
        <v>3.97</v>
      </c>
      <c r="R36" s="62">
        <v>16.309999999999999</v>
      </c>
      <c r="S36" s="62">
        <v>0.94</v>
      </c>
      <c r="T36" s="62">
        <v>1.1399999999999999</v>
      </c>
      <c r="U36" s="62">
        <v>1.02</v>
      </c>
      <c r="V36" s="62">
        <v>1.31</v>
      </c>
      <c r="W36" s="62">
        <v>1.35</v>
      </c>
      <c r="X36" s="62">
        <v>1.45</v>
      </c>
      <c r="Y36" s="62">
        <v>6.05</v>
      </c>
      <c r="Z36" s="62">
        <v>0.35</v>
      </c>
      <c r="AA36" s="62">
        <v>1.7</v>
      </c>
      <c r="AB36" s="62">
        <v>1.39</v>
      </c>
      <c r="AC36" s="62">
        <v>4.5199999999999996</v>
      </c>
      <c r="AE36" s="62">
        <v>5.62</v>
      </c>
      <c r="AF36" s="62">
        <v>6.56</v>
      </c>
      <c r="AG36" s="62">
        <v>1.6</v>
      </c>
      <c r="AH36" s="62">
        <v>1.05</v>
      </c>
      <c r="AI36" s="62">
        <v>1.55</v>
      </c>
      <c r="AJ36" s="62">
        <v>4.16</v>
      </c>
      <c r="AK36" s="62">
        <v>2.04</v>
      </c>
      <c r="AL36" s="62">
        <v>0.81</v>
      </c>
      <c r="AM36" s="62">
        <v>1.1299999999999999</v>
      </c>
      <c r="AN36" s="62">
        <v>0.87</v>
      </c>
      <c r="AO36" s="62">
        <v>2.17</v>
      </c>
      <c r="AP36" s="62">
        <v>5.13</v>
      </c>
      <c r="AQ36" s="62">
        <v>0.99</v>
      </c>
      <c r="AR36" s="62">
        <v>2.7</v>
      </c>
      <c r="AS36" s="62">
        <v>3.12</v>
      </c>
      <c r="AT36" s="62">
        <v>1.01</v>
      </c>
      <c r="AU36" s="62">
        <v>1.95</v>
      </c>
      <c r="AV36" s="62">
        <v>1.0900000000000001</v>
      </c>
      <c r="AX36" s="62">
        <v>1.1200000000000001</v>
      </c>
      <c r="AY36" s="62">
        <v>0.99</v>
      </c>
      <c r="AZ36" s="62">
        <v>1</v>
      </c>
      <c r="BA36" s="62">
        <v>3.09</v>
      </c>
      <c r="BC36" s="62">
        <v>0.83</v>
      </c>
      <c r="BD36" s="62">
        <v>0.94</v>
      </c>
      <c r="BE36" s="62">
        <v>3.13</v>
      </c>
      <c r="BF36" s="62">
        <v>1.2</v>
      </c>
      <c r="BG36" s="62">
        <v>1.1499999999999999</v>
      </c>
      <c r="BH36" s="62">
        <v>1.01</v>
      </c>
      <c r="BI36" s="62">
        <v>2.58</v>
      </c>
      <c r="BJ36" s="62">
        <v>0.6</v>
      </c>
      <c r="BK36" s="62">
        <v>2.38</v>
      </c>
      <c r="BL36" s="62">
        <v>0.72</v>
      </c>
      <c r="BN36" s="62">
        <v>1.0900000000000001</v>
      </c>
      <c r="BO36" s="62">
        <v>0.21</v>
      </c>
      <c r="BQ36" s="62">
        <v>5.92</v>
      </c>
      <c r="BS36" s="62">
        <v>25.61</v>
      </c>
      <c r="BT36" s="62">
        <v>-291.8</v>
      </c>
      <c r="BU36" s="62">
        <v>1.31</v>
      </c>
      <c r="BV36" s="62">
        <v>4.1900000000000004</v>
      </c>
      <c r="BW36" s="62">
        <v>2.48</v>
      </c>
      <c r="BX36" s="62">
        <v>1</v>
      </c>
      <c r="BZ36" s="62">
        <v>1.06</v>
      </c>
      <c r="CA36" s="62">
        <v>17.14</v>
      </c>
      <c r="CB36" s="62">
        <v>0.82</v>
      </c>
      <c r="CC36" s="62">
        <v>5.09</v>
      </c>
      <c r="CD36" s="62">
        <v>0.6</v>
      </c>
      <c r="CE36" s="62">
        <v>3.53</v>
      </c>
      <c r="CF36" s="62">
        <v>0.92</v>
      </c>
      <c r="CG36" s="62">
        <v>1.34</v>
      </c>
      <c r="CH36" s="62">
        <v>1.38</v>
      </c>
      <c r="CI36" s="62">
        <v>5.44</v>
      </c>
      <c r="CJ36" s="62">
        <v>0.84</v>
      </c>
      <c r="CK36" s="62">
        <v>7.61</v>
      </c>
      <c r="CL36" s="62">
        <v>1.75</v>
      </c>
      <c r="CM36" s="62">
        <v>2.77</v>
      </c>
      <c r="CN36" s="62">
        <v>1.88</v>
      </c>
      <c r="CO36" s="62">
        <v>3.61</v>
      </c>
      <c r="CP36" s="62">
        <v>0.59</v>
      </c>
      <c r="CQ36" s="62">
        <v>9.1</v>
      </c>
      <c r="CR36" s="62">
        <v>2.78</v>
      </c>
      <c r="CS36" s="62">
        <v>3.07</v>
      </c>
      <c r="CT36" s="62">
        <v>-18.98</v>
      </c>
      <c r="CU36" s="62">
        <v>3.28</v>
      </c>
      <c r="CV36" s="62">
        <v>1.57</v>
      </c>
      <c r="CW36" s="62">
        <v>0.97</v>
      </c>
      <c r="CX36" s="62">
        <v>1.78</v>
      </c>
      <c r="CY36" s="62">
        <v>2.98</v>
      </c>
      <c r="CZ36" s="62">
        <v>0.79</v>
      </c>
      <c r="DA36" s="62">
        <v>1.95</v>
      </c>
      <c r="DB36" s="62">
        <v>6.48</v>
      </c>
      <c r="DC36" s="62">
        <v>0.82</v>
      </c>
      <c r="DD36" s="62">
        <v>4.93</v>
      </c>
      <c r="DF36" s="62">
        <v>0.96</v>
      </c>
      <c r="DG36" s="62">
        <v>1.21</v>
      </c>
      <c r="DH36" s="62">
        <v>-20</v>
      </c>
      <c r="DJ36" s="62">
        <v>1.38</v>
      </c>
      <c r="DK36" s="62">
        <v>1.19</v>
      </c>
      <c r="DL36" s="62">
        <v>4.33</v>
      </c>
      <c r="DM36" s="62">
        <v>1.2</v>
      </c>
      <c r="DN36" s="62">
        <v>1.99</v>
      </c>
      <c r="DO36" s="62">
        <v>2.64</v>
      </c>
      <c r="DP36" s="62">
        <v>3.28</v>
      </c>
    </row>
    <row r="37" spans="1:120" x14ac:dyDescent="0.3">
      <c r="A37" s="64" t="s">
        <v>9057</v>
      </c>
      <c r="B37" s="62">
        <v>1.68</v>
      </c>
      <c r="C37" s="62">
        <v>-2.15</v>
      </c>
      <c r="E37" s="62">
        <v>1.41</v>
      </c>
      <c r="F37" s="62">
        <v>-5.27</v>
      </c>
      <c r="G37" s="62">
        <v>2.66</v>
      </c>
      <c r="H37" s="62">
        <v>1.1399999999999999</v>
      </c>
      <c r="J37" s="62">
        <v>0.84</v>
      </c>
      <c r="K37" s="62">
        <v>1.52</v>
      </c>
      <c r="L37" s="62">
        <v>1.1599999999999999</v>
      </c>
      <c r="M37" s="62">
        <v>2.3199999999999998</v>
      </c>
      <c r="N37" s="62">
        <v>0.92</v>
      </c>
      <c r="O37" s="62">
        <v>13.16</v>
      </c>
      <c r="P37" s="62">
        <v>4.59</v>
      </c>
      <c r="Q37" s="62">
        <v>4.32</v>
      </c>
      <c r="R37" s="62">
        <v>14.24</v>
      </c>
      <c r="S37" s="62">
        <v>0.51</v>
      </c>
      <c r="T37" s="62">
        <v>1.1399999999999999</v>
      </c>
      <c r="U37" s="62">
        <v>1.04</v>
      </c>
      <c r="V37" s="62">
        <v>1.28</v>
      </c>
      <c r="W37" s="62">
        <v>1.23</v>
      </c>
      <c r="X37" s="62">
        <v>1.42</v>
      </c>
      <c r="Y37" s="62">
        <v>5.24</v>
      </c>
      <c r="Z37" s="62">
        <v>0.35</v>
      </c>
      <c r="AA37" s="62">
        <v>1.71</v>
      </c>
      <c r="AB37" s="62">
        <v>1.36</v>
      </c>
      <c r="AC37" s="62">
        <v>4.8099999999999996</v>
      </c>
      <c r="AE37" s="62">
        <v>8.1300000000000008</v>
      </c>
      <c r="AF37" s="62">
        <v>6.56</v>
      </c>
      <c r="AG37" s="62">
        <v>1.53</v>
      </c>
      <c r="AH37" s="62">
        <v>0.98</v>
      </c>
      <c r="AI37" s="62">
        <v>1.49</v>
      </c>
      <c r="AJ37" s="62">
        <v>4.07</v>
      </c>
      <c r="AK37" s="62">
        <v>2.21</v>
      </c>
      <c r="AL37" s="62">
        <v>0.81</v>
      </c>
      <c r="AM37" s="62">
        <v>1.1100000000000001</v>
      </c>
      <c r="AN37" s="62">
        <v>0.87</v>
      </c>
      <c r="AO37" s="62">
        <v>2.36</v>
      </c>
      <c r="AP37" s="62">
        <v>5.34</v>
      </c>
      <c r="AQ37" s="62">
        <v>1</v>
      </c>
      <c r="AR37" s="62">
        <v>2.92</v>
      </c>
      <c r="AS37" s="62">
        <v>2.95</v>
      </c>
      <c r="AT37" s="62">
        <v>1.1200000000000001</v>
      </c>
      <c r="AU37" s="62">
        <v>2.15</v>
      </c>
      <c r="AV37" s="62">
        <v>1.05</v>
      </c>
      <c r="AX37" s="62">
        <v>1.36</v>
      </c>
      <c r="AY37" s="62">
        <v>1</v>
      </c>
      <c r="AZ37" s="62">
        <v>1</v>
      </c>
      <c r="BA37" s="62">
        <v>3.05</v>
      </c>
      <c r="BC37" s="62">
        <v>0.85</v>
      </c>
      <c r="BD37" s="62">
        <v>0.96</v>
      </c>
      <c r="BE37" s="62">
        <v>3.55</v>
      </c>
      <c r="BF37" s="62">
        <v>1.24</v>
      </c>
      <c r="BG37" s="62">
        <v>1.2</v>
      </c>
      <c r="BH37" s="62">
        <v>1</v>
      </c>
      <c r="BI37" s="62">
        <v>2.44</v>
      </c>
      <c r="BJ37" s="62">
        <v>0.6</v>
      </c>
      <c r="BK37" s="62">
        <v>2.27</v>
      </c>
      <c r="BL37" s="62">
        <v>0.8</v>
      </c>
      <c r="BN37" s="62">
        <v>0.88</v>
      </c>
      <c r="BO37" s="62">
        <v>0.21</v>
      </c>
      <c r="BQ37" s="62">
        <v>5.97</v>
      </c>
      <c r="BS37" s="62">
        <v>27.09</v>
      </c>
      <c r="BT37" s="62">
        <v>-198.96</v>
      </c>
      <c r="BU37" s="62">
        <v>1.33</v>
      </c>
      <c r="BV37" s="62">
        <v>3.59</v>
      </c>
      <c r="BW37" s="62">
        <v>2.5299999999999998</v>
      </c>
      <c r="BX37" s="62">
        <v>1</v>
      </c>
      <c r="BZ37" s="62">
        <v>1.06</v>
      </c>
      <c r="CA37" s="62">
        <v>17.43</v>
      </c>
      <c r="CB37" s="62">
        <v>0.83</v>
      </c>
      <c r="CC37" s="62">
        <v>5.1100000000000003</v>
      </c>
      <c r="CD37" s="62">
        <v>0.6</v>
      </c>
      <c r="CE37" s="62">
        <v>3.6</v>
      </c>
      <c r="CF37" s="62">
        <v>0.91</v>
      </c>
      <c r="CG37" s="62">
        <v>1.4</v>
      </c>
      <c r="CH37" s="62">
        <v>1.39</v>
      </c>
      <c r="CI37" s="62">
        <v>5.21</v>
      </c>
      <c r="CJ37" s="62">
        <v>0.79</v>
      </c>
      <c r="CK37" s="62">
        <v>7.45</v>
      </c>
      <c r="CL37" s="62">
        <v>1.8</v>
      </c>
      <c r="CM37" s="62">
        <v>2.79</v>
      </c>
      <c r="CN37" s="62">
        <v>1.9</v>
      </c>
      <c r="CO37" s="62">
        <v>3.01</v>
      </c>
      <c r="CP37" s="62">
        <v>0.53</v>
      </c>
      <c r="CQ37" s="62">
        <v>8.4700000000000006</v>
      </c>
      <c r="CR37" s="62">
        <v>3.06</v>
      </c>
      <c r="CS37" s="62">
        <v>3.15</v>
      </c>
      <c r="CT37" s="62">
        <v>-18.98</v>
      </c>
      <c r="CU37" s="62">
        <v>3.21</v>
      </c>
      <c r="CV37" s="62">
        <v>1.54</v>
      </c>
      <c r="CW37" s="62">
        <v>1</v>
      </c>
      <c r="CX37" s="62">
        <v>1.78</v>
      </c>
      <c r="CY37" s="62">
        <v>2.96</v>
      </c>
      <c r="CZ37" s="62">
        <v>0.81</v>
      </c>
      <c r="DA37" s="62">
        <v>1.94</v>
      </c>
      <c r="DB37" s="62">
        <v>6.7</v>
      </c>
      <c r="DC37" s="62">
        <v>1.03</v>
      </c>
      <c r="DD37" s="62">
        <v>3.48</v>
      </c>
      <c r="DF37" s="62">
        <v>1.1100000000000001</v>
      </c>
      <c r="DG37" s="62">
        <v>1.2</v>
      </c>
      <c r="DH37" s="62">
        <v>-25</v>
      </c>
      <c r="DJ37" s="62">
        <v>1.51</v>
      </c>
      <c r="DK37" s="62">
        <v>1.23</v>
      </c>
      <c r="DL37" s="62">
        <v>4.9400000000000004</v>
      </c>
      <c r="DM37" s="62">
        <v>1.19</v>
      </c>
      <c r="DN37" s="62">
        <v>1.96</v>
      </c>
      <c r="DO37" s="62">
        <v>2.97</v>
      </c>
      <c r="DP37" s="62">
        <v>3.34</v>
      </c>
    </row>
    <row r="38" spans="1:120" x14ac:dyDescent="0.3">
      <c r="A38" s="64" t="s">
        <v>9058</v>
      </c>
      <c r="B38" s="62">
        <v>1.81</v>
      </c>
      <c r="C38" s="62">
        <v>-0.54</v>
      </c>
      <c r="E38" s="62">
        <v>1.41</v>
      </c>
      <c r="F38" s="62">
        <v>-4.68</v>
      </c>
      <c r="G38" s="62">
        <v>2.66</v>
      </c>
      <c r="H38" s="62">
        <v>1.1299999999999999</v>
      </c>
      <c r="I38" s="62">
        <v>1.01</v>
      </c>
      <c r="J38" s="62">
        <v>0.85</v>
      </c>
      <c r="K38" s="62">
        <v>1.65</v>
      </c>
      <c r="L38" s="62">
        <v>1.17</v>
      </c>
      <c r="M38" s="62">
        <v>2.2799999999999998</v>
      </c>
      <c r="N38" s="62">
        <v>0.92</v>
      </c>
      <c r="O38" s="62">
        <v>13.16</v>
      </c>
      <c r="P38" s="62">
        <v>4.3600000000000003</v>
      </c>
      <c r="Q38" s="62">
        <v>4.1399999999999997</v>
      </c>
      <c r="R38" s="62">
        <v>14.46</v>
      </c>
      <c r="S38" s="62">
        <v>0.63</v>
      </c>
      <c r="T38" s="62">
        <v>1.06</v>
      </c>
      <c r="U38" s="62">
        <v>1.29</v>
      </c>
      <c r="V38" s="62">
        <v>1.27</v>
      </c>
      <c r="W38" s="62">
        <v>1.22</v>
      </c>
      <c r="X38" s="62">
        <v>1.48</v>
      </c>
      <c r="Y38" s="62">
        <v>5.44</v>
      </c>
      <c r="Z38" s="62">
        <v>0.35</v>
      </c>
      <c r="AA38" s="62">
        <v>1.7</v>
      </c>
      <c r="AB38" s="62">
        <v>1.41</v>
      </c>
      <c r="AC38" s="62">
        <v>4.3899999999999997</v>
      </c>
      <c r="AE38" s="62">
        <v>8.15</v>
      </c>
      <c r="AF38" s="62">
        <v>7.39</v>
      </c>
      <c r="AG38" s="62">
        <v>1.55</v>
      </c>
      <c r="AH38" s="62">
        <v>0.94</v>
      </c>
      <c r="AI38" s="62">
        <v>1.49</v>
      </c>
      <c r="AJ38" s="62">
        <v>4.3</v>
      </c>
      <c r="AK38" s="62">
        <v>1.7</v>
      </c>
      <c r="AL38" s="62">
        <v>0.81</v>
      </c>
      <c r="AM38" s="62">
        <v>1.19</v>
      </c>
      <c r="AN38" s="62">
        <v>0.93</v>
      </c>
      <c r="AO38" s="62">
        <v>2.25</v>
      </c>
      <c r="AP38" s="62">
        <v>3.8</v>
      </c>
      <c r="AQ38" s="62">
        <v>1.02</v>
      </c>
      <c r="AR38" s="62">
        <v>2.95</v>
      </c>
      <c r="AS38" s="62">
        <v>2.93</v>
      </c>
      <c r="AT38" s="62">
        <v>1.1100000000000001</v>
      </c>
      <c r="AU38" s="62">
        <v>1.93</v>
      </c>
      <c r="AV38" s="62">
        <v>1.1200000000000001</v>
      </c>
      <c r="AX38" s="62">
        <v>1.28</v>
      </c>
      <c r="AY38" s="62">
        <v>1.02</v>
      </c>
      <c r="AZ38" s="62">
        <v>1</v>
      </c>
      <c r="BA38" s="62">
        <v>3.11</v>
      </c>
      <c r="BC38" s="62">
        <v>0.85</v>
      </c>
      <c r="BD38" s="62">
        <v>0.94</v>
      </c>
      <c r="BE38" s="62">
        <v>4.18</v>
      </c>
      <c r="BF38" s="62">
        <v>1.25</v>
      </c>
      <c r="BG38" s="62">
        <v>1.22</v>
      </c>
      <c r="BH38" s="62">
        <v>1.0900000000000001</v>
      </c>
      <c r="BI38" s="62">
        <v>2.46</v>
      </c>
      <c r="BJ38" s="62">
        <v>0.57999999999999996</v>
      </c>
      <c r="BK38" s="62">
        <v>2.19</v>
      </c>
      <c r="BL38" s="62">
        <v>0.72</v>
      </c>
      <c r="BN38" s="62">
        <v>0.93</v>
      </c>
      <c r="BO38" s="62">
        <v>0.21</v>
      </c>
      <c r="BQ38" s="62">
        <v>4.05</v>
      </c>
      <c r="BS38" s="62">
        <v>25.31</v>
      </c>
      <c r="BT38" s="62">
        <v>-132.63999999999999</v>
      </c>
      <c r="BU38" s="62">
        <v>1.31</v>
      </c>
      <c r="BV38" s="62">
        <v>4.1900000000000004</v>
      </c>
      <c r="BW38" s="62">
        <v>2.58</v>
      </c>
      <c r="BX38" s="62">
        <v>1.07</v>
      </c>
      <c r="BY38" s="62">
        <v>17.32</v>
      </c>
      <c r="BZ38" s="62">
        <v>1.03</v>
      </c>
      <c r="CA38" s="62">
        <v>20.420000000000002</v>
      </c>
      <c r="CB38" s="62">
        <v>0.81</v>
      </c>
      <c r="CC38" s="62">
        <v>5.04</v>
      </c>
      <c r="CD38" s="62">
        <v>0.63</v>
      </c>
      <c r="CE38" s="62">
        <v>3.85</v>
      </c>
      <c r="CF38" s="62">
        <v>0.88</v>
      </c>
      <c r="CG38" s="62">
        <v>1.24</v>
      </c>
      <c r="CH38" s="62">
        <v>1.38</v>
      </c>
      <c r="CI38" s="62">
        <v>5.21</v>
      </c>
      <c r="CJ38" s="62">
        <v>0.74</v>
      </c>
      <c r="CK38" s="62">
        <v>9.0399999999999991</v>
      </c>
      <c r="CL38" s="62">
        <v>1.71</v>
      </c>
      <c r="CM38" s="62">
        <v>2.76</v>
      </c>
      <c r="CN38" s="62">
        <v>1.76</v>
      </c>
      <c r="CO38" s="62">
        <v>3.01</v>
      </c>
      <c r="CP38" s="62">
        <v>0.57999999999999996</v>
      </c>
      <c r="CQ38" s="62">
        <v>7.43</v>
      </c>
      <c r="CR38" s="62">
        <v>3.89</v>
      </c>
      <c r="CS38" s="62">
        <v>3.11</v>
      </c>
      <c r="CT38" s="62">
        <v>-18.98</v>
      </c>
      <c r="CU38" s="62">
        <v>3.21</v>
      </c>
      <c r="CV38" s="62">
        <v>1.53</v>
      </c>
      <c r="CW38" s="62">
        <v>1.05</v>
      </c>
      <c r="CX38" s="62">
        <v>1.49</v>
      </c>
      <c r="CY38" s="62">
        <v>2.73</v>
      </c>
      <c r="CZ38" s="62">
        <v>0.72</v>
      </c>
      <c r="DA38" s="62">
        <v>2.0299999999999998</v>
      </c>
      <c r="DB38" s="62">
        <v>6.27</v>
      </c>
      <c r="DC38" s="62">
        <v>0.88</v>
      </c>
      <c r="DD38" s="62">
        <v>3.01</v>
      </c>
      <c r="DF38" s="62">
        <v>1.18</v>
      </c>
      <c r="DG38" s="62">
        <v>1.31</v>
      </c>
      <c r="DH38" s="62">
        <v>-25</v>
      </c>
      <c r="DJ38" s="62">
        <v>1.67</v>
      </c>
      <c r="DK38" s="62">
        <v>1.22</v>
      </c>
      <c r="DL38" s="62">
        <v>4.28</v>
      </c>
      <c r="DM38" s="62">
        <v>1.23</v>
      </c>
      <c r="DN38" s="62">
        <v>1.98</v>
      </c>
      <c r="DO38" s="62">
        <v>2.83</v>
      </c>
      <c r="DP38" s="62">
        <v>3.67</v>
      </c>
    </row>
    <row r="39" spans="1:120" x14ac:dyDescent="0.3">
      <c r="A39" s="64" t="s">
        <v>9059</v>
      </c>
      <c r="B39" s="62">
        <v>1.93</v>
      </c>
      <c r="C39" s="62">
        <v>-1.08</v>
      </c>
      <c r="E39" s="62">
        <v>1.5</v>
      </c>
      <c r="F39" s="62">
        <v>-4.6100000000000003</v>
      </c>
      <c r="G39" s="62">
        <v>2.66</v>
      </c>
      <c r="H39" s="62">
        <v>1.19</v>
      </c>
      <c r="I39" s="62">
        <v>1.05</v>
      </c>
      <c r="J39" s="62">
        <v>0.87</v>
      </c>
      <c r="K39" s="62">
        <v>1.75</v>
      </c>
      <c r="L39" s="62">
        <v>1.22</v>
      </c>
      <c r="M39" s="62">
        <v>2.19</v>
      </c>
      <c r="N39" s="62">
        <v>0.93</v>
      </c>
      <c r="O39" s="62">
        <v>13.16</v>
      </c>
      <c r="P39" s="62">
        <v>4.59</v>
      </c>
      <c r="Q39" s="62">
        <v>3.97</v>
      </c>
      <c r="R39" s="62">
        <v>15.49</v>
      </c>
      <c r="S39" s="62">
        <v>0.56999999999999995</v>
      </c>
      <c r="T39" s="62">
        <v>1.18</v>
      </c>
      <c r="U39" s="62">
        <v>1.29</v>
      </c>
      <c r="V39" s="62">
        <v>1.42</v>
      </c>
      <c r="W39" s="62">
        <v>1.23</v>
      </c>
      <c r="X39" s="62">
        <v>1.65</v>
      </c>
      <c r="Y39" s="62">
        <v>5.24</v>
      </c>
      <c r="Z39" s="62">
        <v>0.35</v>
      </c>
      <c r="AA39" s="62">
        <v>1.81</v>
      </c>
      <c r="AB39" s="62">
        <v>1.35</v>
      </c>
      <c r="AC39" s="62">
        <v>4.4000000000000004</v>
      </c>
      <c r="AD39" s="62">
        <v>1.25</v>
      </c>
      <c r="AE39" s="62">
        <v>7.15</v>
      </c>
      <c r="AF39" s="62">
        <v>7.27</v>
      </c>
      <c r="AG39" s="62">
        <v>1.57</v>
      </c>
      <c r="AH39" s="62">
        <v>0.97</v>
      </c>
      <c r="AI39" s="62">
        <v>1.44</v>
      </c>
      <c r="AJ39" s="62">
        <v>4.3600000000000003</v>
      </c>
      <c r="AK39" s="62">
        <v>1.9</v>
      </c>
      <c r="AL39" s="62">
        <v>0.81</v>
      </c>
      <c r="AM39" s="62">
        <v>1.23</v>
      </c>
      <c r="AN39" s="62">
        <v>0.9</v>
      </c>
      <c r="AO39" s="62">
        <v>2.14</v>
      </c>
      <c r="AP39" s="62">
        <v>5.95</v>
      </c>
      <c r="AQ39" s="62">
        <v>1.07</v>
      </c>
      <c r="AR39" s="62">
        <v>2.99</v>
      </c>
      <c r="AS39" s="62">
        <v>3.13</v>
      </c>
      <c r="AT39" s="62">
        <v>1.29</v>
      </c>
      <c r="AU39" s="62">
        <v>1.95</v>
      </c>
      <c r="AV39" s="62">
        <v>1.19</v>
      </c>
      <c r="AX39" s="62">
        <v>1.28</v>
      </c>
      <c r="AY39" s="62">
        <v>1.0900000000000001</v>
      </c>
      <c r="AZ39" s="62">
        <v>0.99</v>
      </c>
      <c r="BA39" s="62">
        <v>3.13</v>
      </c>
      <c r="BC39" s="62">
        <v>0.86</v>
      </c>
      <c r="BD39" s="62">
        <v>0.96</v>
      </c>
      <c r="BE39" s="62">
        <v>3.76</v>
      </c>
      <c r="BF39" s="62">
        <v>1.45</v>
      </c>
      <c r="BG39" s="62">
        <v>1.32</v>
      </c>
      <c r="BH39" s="62">
        <v>1.1200000000000001</v>
      </c>
      <c r="BI39" s="62">
        <v>2.52</v>
      </c>
      <c r="BJ39" s="62">
        <v>0.6</v>
      </c>
      <c r="BK39" s="62">
        <v>2.14</v>
      </c>
      <c r="BL39" s="62">
        <v>0.65</v>
      </c>
      <c r="BN39" s="62">
        <v>0.95</v>
      </c>
      <c r="BO39" s="62">
        <v>0.23</v>
      </c>
      <c r="BQ39" s="62">
        <v>4.1900000000000004</v>
      </c>
      <c r="BS39" s="62">
        <v>23.52</v>
      </c>
      <c r="BT39" s="62">
        <v>-132.63999999999999</v>
      </c>
      <c r="BU39" s="62">
        <v>1.4</v>
      </c>
      <c r="BV39" s="62">
        <v>5.99</v>
      </c>
      <c r="BW39" s="62">
        <v>2.74</v>
      </c>
      <c r="BX39" s="62">
        <v>1.1100000000000001</v>
      </c>
      <c r="BY39" s="62">
        <v>17.920000000000002</v>
      </c>
      <c r="BZ39" s="62">
        <v>1.07</v>
      </c>
      <c r="CA39" s="62">
        <v>22.1</v>
      </c>
      <c r="CB39" s="62">
        <v>0.86</v>
      </c>
      <c r="CC39" s="62">
        <v>5.24</v>
      </c>
      <c r="CD39" s="62">
        <v>0.61</v>
      </c>
      <c r="CE39" s="62">
        <v>3.76</v>
      </c>
      <c r="CF39" s="62">
        <v>0.9</v>
      </c>
      <c r="CG39" s="62">
        <v>1.32</v>
      </c>
      <c r="CH39" s="62">
        <v>1.37</v>
      </c>
      <c r="CI39" s="62">
        <v>5.44</v>
      </c>
      <c r="CJ39" s="62">
        <v>0.69</v>
      </c>
      <c r="CK39" s="62">
        <v>8.32</v>
      </c>
      <c r="CL39" s="62">
        <v>1.59</v>
      </c>
      <c r="CM39" s="62">
        <v>2.75</v>
      </c>
      <c r="CN39" s="62">
        <v>1.73</v>
      </c>
      <c r="CO39" s="62">
        <v>2.78</v>
      </c>
      <c r="CP39" s="62">
        <v>0.57999999999999996</v>
      </c>
      <c r="CQ39" s="62">
        <v>6.59</v>
      </c>
      <c r="CR39" s="62">
        <v>3.89</v>
      </c>
      <c r="CS39" s="62">
        <v>3.11</v>
      </c>
      <c r="CT39" s="62">
        <v>-16.27</v>
      </c>
      <c r="CU39" s="62">
        <v>3.44</v>
      </c>
      <c r="CV39" s="62">
        <v>1.51</v>
      </c>
      <c r="CW39" s="62">
        <v>1.07</v>
      </c>
      <c r="CX39" s="62">
        <v>1.67</v>
      </c>
      <c r="CY39" s="62">
        <v>2.84</v>
      </c>
      <c r="CZ39" s="62">
        <v>0.75</v>
      </c>
      <c r="DA39" s="62">
        <v>1.1200000000000001</v>
      </c>
      <c r="DB39" s="62">
        <v>5.73</v>
      </c>
      <c r="DC39" s="62">
        <v>1.02</v>
      </c>
      <c r="DD39" s="62">
        <v>2.3199999999999998</v>
      </c>
      <c r="DF39" s="62">
        <v>1.17</v>
      </c>
      <c r="DG39" s="62">
        <v>1.36</v>
      </c>
      <c r="DH39" s="62">
        <v>-20</v>
      </c>
      <c r="DJ39" s="62">
        <v>1.67</v>
      </c>
      <c r="DK39" s="62">
        <v>1.27</v>
      </c>
      <c r="DL39" s="62">
        <v>4.5599999999999996</v>
      </c>
      <c r="DM39" s="62">
        <v>1.28</v>
      </c>
      <c r="DN39" s="62">
        <v>1.82</v>
      </c>
      <c r="DO39" s="62">
        <v>2.4300000000000002</v>
      </c>
      <c r="DP39" s="62">
        <v>3.97</v>
      </c>
    </row>
    <row r="40" spans="1:120" x14ac:dyDescent="0.3">
      <c r="A40" s="64" t="s">
        <v>9060</v>
      </c>
      <c r="B40" s="62">
        <v>1.91</v>
      </c>
      <c r="C40" s="62">
        <v>-5.38</v>
      </c>
      <c r="E40" s="62">
        <v>1.66</v>
      </c>
      <c r="F40" s="62">
        <v>-4.28</v>
      </c>
      <c r="G40" s="62">
        <v>1.1399999999999999</v>
      </c>
      <c r="H40" s="62">
        <v>1.19</v>
      </c>
      <c r="I40" s="62">
        <v>1.04</v>
      </c>
      <c r="J40" s="62">
        <v>0.88</v>
      </c>
      <c r="K40" s="62">
        <v>1.75</v>
      </c>
      <c r="L40" s="62">
        <v>1.25</v>
      </c>
      <c r="M40" s="62">
        <v>2.2000000000000002</v>
      </c>
      <c r="N40" s="62">
        <v>1</v>
      </c>
      <c r="O40" s="62">
        <v>13.16</v>
      </c>
      <c r="P40" s="62">
        <v>4.13</v>
      </c>
      <c r="Q40" s="62">
        <v>3.88</v>
      </c>
      <c r="R40" s="62">
        <v>15.06</v>
      </c>
      <c r="S40" s="62">
        <v>0.47</v>
      </c>
      <c r="T40" s="62">
        <v>1.1399999999999999</v>
      </c>
      <c r="U40" s="62">
        <v>1.4</v>
      </c>
      <c r="V40" s="62">
        <v>1.4</v>
      </c>
      <c r="W40" s="62">
        <v>1.36</v>
      </c>
      <c r="X40" s="62">
        <v>1.41</v>
      </c>
      <c r="Y40" s="62">
        <v>6.05</v>
      </c>
      <c r="Z40" s="62">
        <v>0.06</v>
      </c>
      <c r="AA40" s="62">
        <v>1.74</v>
      </c>
      <c r="AB40" s="62">
        <v>1.48</v>
      </c>
      <c r="AC40" s="62">
        <v>4.37</v>
      </c>
      <c r="AD40" s="62">
        <v>1.33</v>
      </c>
      <c r="AE40" s="62">
        <v>7.66</v>
      </c>
      <c r="AF40" s="62">
        <v>8.0399999999999991</v>
      </c>
      <c r="AG40" s="62">
        <v>1.61</v>
      </c>
      <c r="AH40" s="62">
        <v>0.94</v>
      </c>
      <c r="AI40" s="62">
        <v>1.47</v>
      </c>
      <c r="AJ40" s="62">
        <v>4.71</v>
      </c>
      <c r="AK40" s="62">
        <v>2.04</v>
      </c>
      <c r="AL40" s="62">
        <v>0.81</v>
      </c>
      <c r="AM40" s="62">
        <v>1.23</v>
      </c>
      <c r="AN40" s="62">
        <v>0.87</v>
      </c>
      <c r="AO40" s="62">
        <v>2.41</v>
      </c>
      <c r="AP40" s="62">
        <v>6.05</v>
      </c>
      <c r="AQ40" s="62">
        <v>1.07</v>
      </c>
      <c r="AR40" s="62">
        <v>3.06</v>
      </c>
      <c r="AS40" s="62">
        <v>2.98</v>
      </c>
      <c r="AT40" s="62">
        <v>1.3</v>
      </c>
      <c r="AU40" s="62">
        <v>1.95</v>
      </c>
      <c r="AV40" s="62">
        <v>1.18</v>
      </c>
      <c r="AX40" s="62">
        <v>1.05</v>
      </c>
      <c r="AY40" s="62">
        <v>1.0900000000000001</v>
      </c>
      <c r="AZ40" s="62">
        <v>1</v>
      </c>
      <c r="BA40" s="62">
        <v>3.15</v>
      </c>
      <c r="BC40" s="62">
        <v>0.87</v>
      </c>
      <c r="BD40" s="62">
        <v>0.99</v>
      </c>
      <c r="BE40" s="62">
        <v>3.55</v>
      </c>
      <c r="BF40" s="62">
        <v>1.45</v>
      </c>
      <c r="BG40" s="62">
        <v>1.45</v>
      </c>
      <c r="BH40" s="62">
        <v>1.1200000000000001</v>
      </c>
      <c r="BI40" s="62">
        <v>2.3199999999999998</v>
      </c>
      <c r="BJ40" s="62">
        <v>0.61</v>
      </c>
      <c r="BK40" s="62">
        <v>1.95</v>
      </c>
      <c r="BL40" s="62">
        <v>0.65</v>
      </c>
      <c r="BN40" s="62">
        <v>0.75</v>
      </c>
      <c r="BO40" s="62">
        <v>0.25</v>
      </c>
      <c r="BQ40" s="62">
        <v>3.95</v>
      </c>
      <c r="BS40" s="62">
        <v>21.44</v>
      </c>
      <c r="BT40" s="62">
        <v>-92.85</v>
      </c>
      <c r="BU40" s="62">
        <v>1.48</v>
      </c>
      <c r="BV40" s="62">
        <v>5.69</v>
      </c>
      <c r="BW40" s="62">
        <v>2.58</v>
      </c>
      <c r="BX40" s="62">
        <v>1.0900000000000001</v>
      </c>
      <c r="BY40" s="62">
        <v>17.32</v>
      </c>
      <c r="BZ40" s="62">
        <v>1.07</v>
      </c>
      <c r="CA40" s="62">
        <v>24.07</v>
      </c>
      <c r="CB40" s="62">
        <v>0.84</v>
      </c>
      <c r="CC40" s="62">
        <v>5.25</v>
      </c>
      <c r="CD40" s="62">
        <v>0.57999999999999996</v>
      </c>
      <c r="CE40" s="62">
        <v>3.64</v>
      </c>
      <c r="CF40" s="62">
        <v>0.9</v>
      </c>
      <c r="CG40" s="62">
        <v>1.35</v>
      </c>
      <c r="CH40" s="62">
        <v>1.29</v>
      </c>
      <c r="CI40" s="62">
        <v>5.44</v>
      </c>
      <c r="CJ40" s="62">
        <v>0.75</v>
      </c>
      <c r="CK40" s="62">
        <v>8.56</v>
      </c>
      <c r="CL40" s="62">
        <v>1.64</v>
      </c>
      <c r="CM40" s="62">
        <v>2.85</v>
      </c>
      <c r="CN40" s="62">
        <v>1.64</v>
      </c>
      <c r="CO40" s="62">
        <v>2.78</v>
      </c>
      <c r="CP40" s="62">
        <v>0.57999999999999996</v>
      </c>
      <c r="CQ40" s="62">
        <v>5.13</v>
      </c>
      <c r="CR40" s="62">
        <v>4</v>
      </c>
      <c r="CS40" s="62">
        <v>3.15</v>
      </c>
      <c r="CT40" s="62">
        <v>-16.27</v>
      </c>
      <c r="CU40" s="62">
        <v>3.39</v>
      </c>
      <c r="CV40" s="62">
        <v>1.61</v>
      </c>
      <c r="CW40" s="62">
        <v>1.08</v>
      </c>
      <c r="CX40" s="62">
        <v>1.86</v>
      </c>
      <c r="CY40" s="62">
        <v>2.69</v>
      </c>
      <c r="CZ40" s="62">
        <v>0.73</v>
      </c>
      <c r="DA40" s="62">
        <v>0.97</v>
      </c>
      <c r="DB40" s="62">
        <v>6.16</v>
      </c>
      <c r="DC40" s="62">
        <v>1.02</v>
      </c>
      <c r="DD40" s="62">
        <v>2.3199999999999998</v>
      </c>
      <c r="DF40" s="62">
        <v>1.2</v>
      </c>
      <c r="DG40" s="62">
        <v>1.44</v>
      </c>
      <c r="DH40" s="62">
        <v>-20</v>
      </c>
      <c r="DJ40" s="62">
        <v>1.8</v>
      </c>
      <c r="DK40" s="62">
        <v>1.3</v>
      </c>
      <c r="DL40" s="62">
        <v>5.0599999999999996</v>
      </c>
      <c r="DM40" s="62">
        <v>1.3</v>
      </c>
      <c r="DN40" s="62">
        <v>1.73</v>
      </c>
      <c r="DO40" s="62">
        <v>2.02</v>
      </c>
      <c r="DP40" s="62">
        <v>3.75</v>
      </c>
    </row>
    <row r="41" spans="1:120" x14ac:dyDescent="0.3">
      <c r="A41" s="64" t="s">
        <v>9061</v>
      </c>
      <c r="B41" s="62">
        <v>1.83</v>
      </c>
      <c r="C41" s="62">
        <v>6.02</v>
      </c>
      <c r="E41" s="62">
        <v>1.55</v>
      </c>
      <c r="F41" s="62">
        <v>-3.3</v>
      </c>
      <c r="G41" s="62">
        <v>2.39</v>
      </c>
      <c r="H41" s="62">
        <v>1.1399999999999999</v>
      </c>
      <c r="I41" s="62">
        <v>0.97</v>
      </c>
      <c r="J41" s="62">
        <v>0.89</v>
      </c>
      <c r="K41" s="62">
        <v>1.78</v>
      </c>
      <c r="L41" s="62">
        <v>1.08</v>
      </c>
      <c r="M41" s="62">
        <v>2.14</v>
      </c>
      <c r="N41" s="62">
        <v>0.96</v>
      </c>
      <c r="O41" s="62">
        <v>200</v>
      </c>
      <c r="P41" s="62">
        <v>5.25</v>
      </c>
      <c r="Q41" s="62">
        <v>3.76</v>
      </c>
      <c r="R41" s="62">
        <v>15.45</v>
      </c>
      <c r="S41" s="62">
        <v>0.48</v>
      </c>
      <c r="T41" s="62">
        <v>1.18</v>
      </c>
      <c r="U41" s="62">
        <v>1.38</v>
      </c>
      <c r="V41" s="62">
        <v>1.37</v>
      </c>
      <c r="W41" s="62">
        <v>1.19</v>
      </c>
      <c r="X41" s="62">
        <v>1.36</v>
      </c>
      <c r="Y41" s="62">
        <v>7.07</v>
      </c>
      <c r="Z41" s="62">
        <v>0.12</v>
      </c>
      <c r="AA41" s="62">
        <v>1.72</v>
      </c>
      <c r="AB41" s="62">
        <v>1.51</v>
      </c>
      <c r="AC41" s="62">
        <v>4.92</v>
      </c>
      <c r="AD41" s="62">
        <v>1.1599999999999999</v>
      </c>
      <c r="AE41" s="62">
        <v>5.92</v>
      </c>
      <c r="AF41" s="62">
        <v>6.8</v>
      </c>
      <c r="AG41" s="62">
        <v>1.56</v>
      </c>
      <c r="AH41" s="62">
        <v>0.87</v>
      </c>
      <c r="AI41" s="62">
        <v>1.37</v>
      </c>
      <c r="AJ41" s="62">
        <v>4.54</v>
      </c>
      <c r="AK41" s="62">
        <v>1.75</v>
      </c>
      <c r="AL41" s="62">
        <v>2.4500000000000002</v>
      </c>
      <c r="AM41" s="62">
        <v>1.22</v>
      </c>
      <c r="AN41" s="62">
        <v>0.67</v>
      </c>
      <c r="AO41" s="62">
        <v>2.5099999999999998</v>
      </c>
      <c r="AP41" s="62">
        <v>5.34</v>
      </c>
      <c r="AQ41" s="62">
        <v>0.98</v>
      </c>
      <c r="AR41" s="62">
        <v>3.36</v>
      </c>
      <c r="AS41" s="62">
        <v>3.25</v>
      </c>
      <c r="AT41" s="62">
        <v>1.24</v>
      </c>
      <c r="AU41" s="62">
        <v>2.85</v>
      </c>
      <c r="AV41" s="62">
        <v>0.92</v>
      </c>
      <c r="AX41" s="62">
        <v>1.05</v>
      </c>
      <c r="AY41" s="62">
        <v>0.95</v>
      </c>
      <c r="AZ41" s="62">
        <v>1</v>
      </c>
      <c r="BA41" s="62">
        <v>2.63</v>
      </c>
      <c r="BC41" s="62">
        <v>0.86</v>
      </c>
      <c r="BD41" s="62">
        <v>1.02</v>
      </c>
      <c r="BE41" s="62">
        <v>3.65</v>
      </c>
      <c r="BF41" s="62">
        <v>1.29</v>
      </c>
      <c r="BG41" s="62">
        <v>1.36</v>
      </c>
      <c r="BH41" s="62">
        <v>1.0900000000000001</v>
      </c>
      <c r="BI41" s="62">
        <v>2.3199999999999998</v>
      </c>
      <c r="BJ41" s="62">
        <v>0.65</v>
      </c>
      <c r="BK41" s="62">
        <v>2.5</v>
      </c>
      <c r="BL41" s="62">
        <v>1.04</v>
      </c>
      <c r="BN41" s="62">
        <v>0.68</v>
      </c>
      <c r="BO41" s="62">
        <v>0.23</v>
      </c>
      <c r="BQ41" s="62">
        <v>3.85</v>
      </c>
      <c r="BS41" s="62">
        <v>9.66</v>
      </c>
      <c r="BT41" s="62">
        <v>-3.19</v>
      </c>
      <c r="BU41" s="62">
        <v>1.4</v>
      </c>
      <c r="BV41" s="62">
        <v>6.18</v>
      </c>
      <c r="BW41" s="62">
        <v>2.6</v>
      </c>
      <c r="BX41" s="62">
        <v>1.06</v>
      </c>
      <c r="BY41" s="62">
        <v>23.3</v>
      </c>
      <c r="BZ41" s="62">
        <v>1.07</v>
      </c>
      <c r="CA41" s="62">
        <v>11.48</v>
      </c>
      <c r="CB41" s="62">
        <v>0.82</v>
      </c>
      <c r="CC41" s="62">
        <v>5.24</v>
      </c>
      <c r="CD41" s="62">
        <v>0.56000000000000005</v>
      </c>
      <c r="CE41" s="62">
        <v>2.96</v>
      </c>
      <c r="CF41" s="62">
        <v>0.89</v>
      </c>
      <c r="CG41" s="62">
        <v>1.36</v>
      </c>
      <c r="CH41" s="62">
        <v>1.32</v>
      </c>
      <c r="CI41" s="62">
        <v>5.25</v>
      </c>
      <c r="CJ41" s="62">
        <v>0.75</v>
      </c>
      <c r="CK41" s="62">
        <v>7.41</v>
      </c>
      <c r="CL41" s="62">
        <v>1.7</v>
      </c>
      <c r="CM41" s="62">
        <v>2.92</v>
      </c>
      <c r="CN41" s="62">
        <v>1.72</v>
      </c>
      <c r="CO41" s="62">
        <v>2.84</v>
      </c>
      <c r="CP41" s="62">
        <v>0.56999999999999995</v>
      </c>
      <c r="CQ41" s="62">
        <v>4.0599999999999996</v>
      </c>
      <c r="CR41" s="62">
        <v>4.5599999999999996</v>
      </c>
      <c r="CS41" s="62">
        <v>3.17</v>
      </c>
      <c r="CT41" s="62">
        <v>-4.12</v>
      </c>
      <c r="CU41" s="62">
        <v>3.16</v>
      </c>
      <c r="CV41" s="62">
        <v>1.48</v>
      </c>
      <c r="CW41" s="62">
        <v>0.97</v>
      </c>
      <c r="CX41" s="62">
        <v>1.79</v>
      </c>
      <c r="CY41" s="62">
        <v>2.5499999999999998</v>
      </c>
      <c r="CZ41" s="62">
        <v>0.73</v>
      </c>
      <c r="DA41" s="62">
        <v>0.87</v>
      </c>
      <c r="DB41" s="62">
        <v>6.27</v>
      </c>
      <c r="DC41" s="62">
        <v>1.04</v>
      </c>
      <c r="DD41" s="62">
        <v>4.3</v>
      </c>
      <c r="DF41" s="62">
        <v>1.18</v>
      </c>
      <c r="DG41" s="62">
        <v>1.41</v>
      </c>
      <c r="DH41" s="62">
        <v>-57.14</v>
      </c>
      <c r="DJ41" s="62">
        <v>1.59</v>
      </c>
      <c r="DK41" s="62">
        <v>1.37</v>
      </c>
      <c r="DL41" s="62">
        <v>4.95</v>
      </c>
      <c r="DM41" s="62">
        <v>1.33</v>
      </c>
      <c r="DN41" s="62">
        <v>1.72</v>
      </c>
      <c r="DO41" s="62">
        <v>2.23</v>
      </c>
      <c r="DP41" s="62">
        <v>3.62</v>
      </c>
    </row>
    <row r="42" spans="1:120" x14ac:dyDescent="0.3">
      <c r="A42" s="64" t="s">
        <v>9062</v>
      </c>
      <c r="B42" s="62">
        <v>1.72</v>
      </c>
      <c r="C42" s="62">
        <v>6.02</v>
      </c>
      <c r="E42" s="62">
        <v>1.54</v>
      </c>
      <c r="F42" s="62">
        <v>-3.63</v>
      </c>
      <c r="G42" s="62">
        <v>2.39</v>
      </c>
      <c r="H42" s="62">
        <v>1.1399999999999999</v>
      </c>
      <c r="I42" s="62">
        <v>0.94</v>
      </c>
      <c r="J42" s="62">
        <v>0.88</v>
      </c>
      <c r="K42" s="62">
        <v>1.8</v>
      </c>
      <c r="L42" s="62">
        <v>1.08</v>
      </c>
      <c r="M42" s="62">
        <v>2.04</v>
      </c>
      <c r="N42" s="62">
        <v>0.96</v>
      </c>
      <c r="O42" s="62">
        <v>200</v>
      </c>
      <c r="P42" s="62">
        <v>5.52</v>
      </c>
      <c r="Q42" s="62">
        <v>3.77</v>
      </c>
      <c r="R42" s="62">
        <v>14.51</v>
      </c>
      <c r="S42" s="62">
        <v>0.39</v>
      </c>
      <c r="T42" s="62">
        <v>1.23</v>
      </c>
      <c r="U42" s="62">
        <v>1.47</v>
      </c>
      <c r="V42" s="62">
        <v>1.31</v>
      </c>
      <c r="W42" s="62">
        <v>1.22</v>
      </c>
      <c r="X42" s="62">
        <v>1.31</v>
      </c>
      <c r="Y42" s="62">
        <v>7.07</v>
      </c>
      <c r="Z42" s="62">
        <v>0.12</v>
      </c>
      <c r="AA42" s="62">
        <v>1.76</v>
      </c>
      <c r="AB42" s="62">
        <v>1.37</v>
      </c>
      <c r="AC42" s="62">
        <v>4.83</v>
      </c>
      <c r="AD42" s="62">
        <v>1.1499999999999999</v>
      </c>
      <c r="AE42" s="62">
        <v>6.64</v>
      </c>
      <c r="AF42" s="62">
        <v>6.92</v>
      </c>
      <c r="AG42" s="62">
        <v>1.55</v>
      </c>
      <c r="AH42" s="62">
        <v>0.91</v>
      </c>
      <c r="AI42" s="62">
        <v>1.31</v>
      </c>
      <c r="AJ42" s="62">
        <v>4.6100000000000003</v>
      </c>
      <c r="AK42" s="62">
        <v>1.75</v>
      </c>
      <c r="AL42" s="62">
        <v>2.4500000000000002</v>
      </c>
      <c r="AM42" s="62">
        <v>1.05</v>
      </c>
      <c r="AN42" s="62">
        <v>0.62</v>
      </c>
      <c r="AO42" s="62">
        <v>2.5499999999999998</v>
      </c>
      <c r="AP42" s="62">
        <v>5.64</v>
      </c>
      <c r="AQ42" s="62">
        <v>0.98</v>
      </c>
      <c r="AR42" s="62">
        <v>3.45</v>
      </c>
      <c r="AS42" s="62">
        <v>3.24</v>
      </c>
      <c r="AT42" s="62">
        <v>1.28</v>
      </c>
      <c r="AU42" s="62">
        <v>3.27</v>
      </c>
      <c r="AV42" s="62">
        <v>0.9</v>
      </c>
      <c r="AX42" s="62">
        <v>1.2</v>
      </c>
      <c r="AY42" s="62">
        <v>0.96</v>
      </c>
      <c r="AZ42" s="62">
        <v>0.95</v>
      </c>
      <c r="BA42" s="62">
        <v>2.64</v>
      </c>
      <c r="BC42" s="62">
        <v>0.86</v>
      </c>
      <c r="BD42" s="62">
        <v>1.06</v>
      </c>
      <c r="BE42" s="62">
        <v>2.5099999999999998</v>
      </c>
      <c r="BF42" s="62">
        <v>1.27</v>
      </c>
      <c r="BG42" s="62">
        <v>1.36</v>
      </c>
      <c r="BH42" s="62">
        <v>1.1299999999999999</v>
      </c>
      <c r="BI42" s="62">
        <v>2.25</v>
      </c>
      <c r="BJ42" s="62">
        <v>0.73</v>
      </c>
      <c r="BK42" s="62">
        <v>2.66</v>
      </c>
      <c r="BL42" s="62">
        <v>1.04</v>
      </c>
      <c r="BN42" s="62">
        <v>0.71</v>
      </c>
      <c r="BO42" s="62">
        <v>0.25</v>
      </c>
      <c r="BQ42" s="62">
        <v>4.0199999999999996</v>
      </c>
      <c r="BS42" s="62">
        <v>9.41</v>
      </c>
      <c r="BT42" s="62">
        <v>-3.19</v>
      </c>
      <c r="BU42" s="62">
        <v>1.4</v>
      </c>
      <c r="BV42" s="62">
        <v>5.25</v>
      </c>
      <c r="BW42" s="62">
        <v>2.58</v>
      </c>
      <c r="BX42" s="62">
        <v>1.04</v>
      </c>
      <c r="BY42" s="62">
        <v>18.52</v>
      </c>
      <c r="BZ42" s="62">
        <v>1.08</v>
      </c>
      <c r="CA42" s="62">
        <v>12.76</v>
      </c>
      <c r="CB42" s="62">
        <v>0.78</v>
      </c>
      <c r="CC42" s="62">
        <v>5.41</v>
      </c>
      <c r="CD42" s="62">
        <v>0.56000000000000005</v>
      </c>
      <c r="CE42" s="62">
        <v>3.04</v>
      </c>
      <c r="CF42" s="62">
        <v>0.89</v>
      </c>
      <c r="CG42" s="62">
        <v>1.41</v>
      </c>
      <c r="CH42" s="62">
        <v>1.2</v>
      </c>
      <c r="CI42" s="62">
        <v>4.75</v>
      </c>
      <c r="CJ42" s="62">
        <v>0.71</v>
      </c>
      <c r="CK42" s="62">
        <v>6.67</v>
      </c>
      <c r="CL42" s="62">
        <v>1.68</v>
      </c>
      <c r="CM42" s="62">
        <v>2.97</v>
      </c>
      <c r="CN42" s="62">
        <v>1.83</v>
      </c>
      <c r="CO42" s="62">
        <v>2.99</v>
      </c>
      <c r="CP42" s="62">
        <v>0.55000000000000004</v>
      </c>
      <c r="CQ42" s="62">
        <v>4.0599999999999996</v>
      </c>
      <c r="CR42" s="62">
        <v>5</v>
      </c>
      <c r="CS42" s="62">
        <v>3.24</v>
      </c>
      <c r="CT42" s="62">
        <v>-5.89</v>
      </c>
      <c r="CU42" s="62">
        <v>3.07</v>
      </c>
      <c r="CV42" s="62">
        <v>1.52</v>
      </c>
      <c r="CW42" s="62">
        <v>1.03</v>
      </c>
      <c r="CX42" s="62">
        <v>1.87</v>
      </c>
      <c r="CY42" s="62">
        <v>2.5</v>
      </c>
      <c r="CZ42" s="62">
        <v>0.72</v>
      </c>
      <c r="DA42" s="62">
        <v>0.66</v>
      </c>
      <c r="DB42" s="62">
        <v>5.62</v>
      </c>
      <c r="DC42" s="62">
        <v>1.01</v>
      </c>
      <c r="DD42" s="62">
        <v>4.3</v>
      </c>
      <c r="DF42" s="62">
        <v>1.18</v>
      </c>
      <c r="DG42" s="62">
        <v>1.31</v>
      </c>
      <c r="DH42" s="62">
        <v>-57.14</v>
      </c>
      <c r="DJ42" s="62">
        <v>1.54</v>
      </c>
      <c r="DK42" s="62">
        <v>1.4</v>
      </c>
      <c r="DL42" s="62">
        <v>5.51</v>
      </c>
      <c r="DM42" s="62">
        <v>1.31</v>
      </c>
      <c r="DN42" s="62">
        <v>1.77</v>
      </c>
      <c r="DO42" s="62">
        <v>1.67</v>
      </c>
      <c r="DP42" s="62">
        <v>3.5</v>
      </c>
    </row>
    <row r="43" spans="1:120" x14ac:dyDescent="0.3">
      <c r="A43" s="64" t="s">
        <v>9063</v>
      </c>
      <c r="B43" s="62">
        <v>1.38</v>
      </c>
      <c r="C43" s="62">
        <v>3.61</v>
      </c>
      <c r="E43" s="62">
        <v>1.71</v>
      </c>
      <c r="F43" s="62">
        <v>-3.23</v>
      </c>
      <c r="G43" s="62">
        <v>3.19</v>
      </c>
      <c r="H43" s="62">
        <v>1.1200000000000001</v>
      </c>
      <c r="I43" s="62">
        <v>0.96</v>
      </c>
      <c r="J43" s="62">
        <v>0.87</v>
      </c>
      <c r="K43" s="62">
        <v>1.9</v>
      </c>
      <c r="L43" s="62">
        <v>1.05</v>
      </c>
      <c r="M43" s="62">
        <v>2.16</v>
      </c>
      <c r="N43" s="62">
        <v>1.02</v>
      </c>
      <c r="O43" s="62">
        <v>200</v>
      </c>
      <c r="P43" s="62">
        <v>5.25</v>
      </c>
      <c r="Q43" s="62">
        <v>3.78</v>
      </c>
      <c r="R43" s="62">
        <v>13.48</v>
      </c>
      <c r="S43" s="62">
        <v>0.37</v>
      </c>
      <c r="T43" s="62">
        <v>1.23</v>
      </c>
      <c r="U43" s="62">
        <v>1.53</v>
      </c>
      <c r="V43" s="62">
        <v>1.33</v>
      </c>
      <c r="W43" s="62">
        <v>1.27</v>
      </c>
      <c r="X43" s="62">
        <v>1.42</v>
      </c>
      <c r="Y43" s="62">
        <v>5.3</v>
      </c>
      <c r="Z43" s="62">
        <v>0.12</v>
      </c>
      <c r="AA43" s="62">
        <v>1.78</v>
      </c>
      <c r="AB43" s="62">
        <v>1.44</v>
      </c>
      <c r="AC43" s="62">
        <v>4.8899999999999997</v>
      </c>
      <c r="AD43" s="62">
        <v>1.17</v>
      </c>
      <c r="AE43" s="62">
        <v>6.64</v>
      </c>
      <c r="AF43" s="62">
        <v>6.86</v>
      </c>
      <c r="AG43" s="62">
        <v>1.63</v>
      </c>
      <c r="AH43" s="62">
        <v>0.91</v>
      </c>
      <c r="AI43" s="62">
        <v>1.19</v>
      </c>
      <c r="AJ43" s="62">
        <v>4.55</v>
      </c>
      <c r="AK43" s="62">
        <v>1.44</v>
      </c>
      <c r="AL43" s="62">
        <v>2.4500000000000002</v>
      </c>
      <c r="AM43" s="62">
        <v>1.03</v>
      </c>
      <c r="AN43" s="62">
        <v>0.64</v>
      </c>
      <c r="AO43" s="62">
        <v>2.37</v>
      </c>
      <c r="AP43" s="62">
        <v>5.13</v>
      </c>
      <c r="AQ43" s="62">
        <v>0.98</v>
      </c>
      <c r="AR43" s="62">
        <v>3.6</v>
      </c>
      <c r="AS43" s="62">
        <v>3.4</v>
      </c>
      <c r="AT43" s="62">
        <v>1.25</v>
      </c>
      <c r="AU43" s="62">
        <v>2.97</v>
      </c>
      <c r="AV43" s="62">
        <v>0.96</v>
      </c>
      <c r="AX43" s="62">
        <v>1.1200000000000001</v>
      </c>
      <c r="AY43" s="62">
        <v>0.94</v>
      </c>
      <c r="AZ43" s="62">
        <v>0.86</v>
      </c>
      <c r="BA43" s="62">
        <v>2.72</v>
      </c>
      <c r="BC43" s="62">
        <v>0.92</v>
      </c>
      <c r="BD43" s="62">
        <v>1.01</v>
      </c>
      <c r="BE43" s="62">
        <v>2.09</v>
      </c>
      <c r="BF43" s="62">
        <v>1.2</v>
      </c>
      <c r="BG43" s="62">
        <v>1.25</v>
      </c>
      <c r="BH43" s="62">
        <v>1.1399999999999999</v>
      </c>
      <c r="BI43" s="62">
        <v>2.1800000000000002</v>
      </c>
      <c r="BJ43" s="62">
        <v>0.67</v>
      </c>
      <c r="BK43" s="62">
        <v>2.23</v>
      </c>
      <c r="BL43" s="62">
        <v>1.04</v>
      </c>
      <c r="BN43" s="62">
        <v>0.7</v>
      </c>
      <c r="BO43" s="62">
        <v>0.25</v>
      </c>
      <c r="BQ43" s="62">
        <v>3.95</v>
      </c>
      <c r="BS43" s="62">
        <v>8.2799999999999994</v>
      </c>
      <c r="BT43" s="62">
        <v>-3.92</v>
      </c>
      <c r="BU43" s="62">
        <v>1.41</v>
      </c>
      <c r="BV43" s="62">
        <v>5.19</v>
      </c>
      <c r="BW43" s="62">
        <v>2.61</v>
      </c>
      <c r="BX43" s="62">
        <v>1.01</v>
      </c>
      <c r="BY43" s="62">
        <v>23.89</v>
      </c>
      <c r="BZ43" s="62">
        <v>1.06</v>
      </c>
      <c r="CA43" s="62">
        <v>11.51</v>
      </c>
      <c r="CB43" s="62">
        <v>0.82</v>
      </c>
      <c r="CC43" s="62">
        <v>5.59</v>
      </c>
      <c r="CD43" s="62">
        <v>0.55000000000000004</v>
      </c>
      <c r="CE43" s="62">
        <v>3</v>
      </c>
      <c r="CF43" s="62">
        <v>0.93</v>
      </c>
      <c r="CG43" s="62">
        <v>1.5</v>
      </c>
      <c r="CH43" s="62">
        <v>1.19</v>
      </c>
      <c r="CI43" s="62">
        <v>4.75</v>
      </c>
      <c r="CJ43" s="62">
        <v>0.76</v>
      </c>
      <c r="CK43" s="62">
        <v>7.49</v>
      </c>
      <c r="CL43" s="62">
        <v>1.63</v>
      </c>
      <c r="CM43" s="62">
        <v>3.15</v>
      </c>
      <c r="CN43" s="62">
        <v>1.85</v>
      </c>
      <c r="CO43" s="62">
        <v>2.99</v>
      </c>
      <c r="CP43" s="62">
        <v>0.53</v>
      </c>
      <c r="CQ43" s="62">
        <v>5.22</v>
      </c>
      <c r="CR43" s="62">
        <v>5.28</v>
      </c>
      <c r="CS43" s="62">
        <v>3.65</v>
      </c>
      <c r="CT43" s="62">
        <v>-4.91</v>
      </c>
      <c r="CU43" s="62">
        <v>2.85</v>
      </c>
      <c r="CV43" s="62">
        <v>1.53</v>
      </c>
      <c r="CW43" s="62">
        <v>1.05</v>
      </c>
      <c r="CX43" s="62">
        <v>1.83</v>
      </c>
      <c r="CY43" s="62">
        <v>2.15</v>
      </c>
      <c r="CZ43" s="62">
        <v>0.68</v>
      </c>
      <c r="DA43" s="62">
        <v>0.88</v>
      </c>
      <c r="DB43" s="62">
        <v>5.24</v>
      </c>
      <c r="DC43" s="62">
        <v>0.99</v>
      </c>
      <c r="DD43" s="62">
        <v>4.3</v>
      </c>
      <c r="DF43" s="62">
        <v>1.1299999999999999</v>
      </c>
      <c r="DG43" s="62">
        <v>1.42</v>
      </c>
      <c r="DH43" s="62">
        <v>-28.57</v>
      </c>
      <c r="DJ43" s="62">
        <v>1.51</v>
      </c>
      <c r="DK43" s="62">
        <v>1.35</v>
      </c>
      <c r="DL43" s="62">
        <v>5.51</v>
      </c>
      <c r="DM43" s="62">
        <v>1.3</v>
      </c>
      <c r="DN43" s="62">
        <v>1.83</v>
      </c>
      <c r="DO43" s="62">
        <v>1.43</v>
      </c>
      <c r="DP43" s="62">
        <v>3.6</v>
      </c>
    </row>
    <row r="44" spans="1:120" x14ac:dyDescent="0.3">
      <c r="A44" s="64" t="s">
        <v>9064</v>
      </c>
      <c r="B44" s="62">
        <v>1.34</v>
      </c>
      <c r="C44" s="62">
        <v>2.41</v>
      </c>
      <c r="E44" s="62">
        <v>1.38</v>
      </c>
      <c r="F44" s="62">
        <v>-15.07</v>
      </c>
      <c r="G44" s="62">
        <v>2.39</v>
      </c>
      <c r="H44" s="62">
        <v>1.1100000000000001</v>
      </c>
      <c r="I44" s="62">
        <v>0.91</v>
      </c>
      <c r="J44" s="62">
        <v>0.86</v>
      </c>
      <c r="K44" s="62">
        <v>1.58</v>
      </c>
      <c r="L44" s="62">
        <v>1.05</v>
      </c>
      <c r="M44" s="62">
        <v>2.08</v>
      </c>
      <c r="N44" s="62">
        <v>1.01</v>
      </c>
      <c r="O44" s="62">
        <v>200</v>
      </c>
      <c r="P44" s="62">
        <v>5.25</v>
      </c>
      <c r="Q44" s="62">
        <v>3.71</v>
      </c>
      <c r="R44" s="62">
        <v>14.04</v>
      </c>
      <c r="S44" s="62">
        <v>0.36</v>
      </c>
      <c r="T44" s="62">
        <v>1.24</v>
      </c>
      <c r="U44" s="62">
        <v>1.38</v>
      </c>
      <c r="V44" s="62">
        <v>1.17</v>
      </c>
      <c r="W44" s="62">
        <v>1.31</v>
      </c>
      <c r="X44" s="62">
        <v>1.29</v>
      </c>
      <c r="Y44" s="62">
        <v>6.19</v>
      </c>
      <c r="Z44" s="62">
        <v>0.16</v>
      </c>
      <c r="AA44" s="62">
        <v>1.55</v>
      </c>
      <c r="AB44" s="62">
        <v>1.41</v>
      </c>
      <c r="AC44" s="62">
        <v>4.45</v>
      </c>
      <c r="AD44" s="62">
        <v>1.1000000000000001</v>
      </c>
      <c r="AE44" s="62">
        <v>6.29</v>
      </c>
      <c r="AF44" s="62">
        <v>7.26</v>
      </c>
      <c r="AG44" s="62">
        <v>1.51</v>
      </c>
      <c r="AH44" s="62">
        <v>0.81</v>
      </c>
      <c r="AI44" s="62">
        <v>1.2</v>
      </c>
      <c r="AJ44" s="62">
        <v>4.17</v>
      </c>
      <c r="AK44" s="62">
        <v>1.24</v>
      </c>
      <c r="AL44" s="62">
        <v>2.4500000000000002</v>
      </c>
      <c r="AM44" s="62">
        <v>0.89</v>
      </c>
      <c r="AN44" s="62">
        <v>0.76</v>
      </c>
      <c r="AO44" s="62">
        <v>2.2999999999999998</v>
      </c>
      <c r="AP44" s="62">
        <v>3.1</v>
      </c>
      <c r="AQ44" s="62">
        <v>0.98</v>
      </c>
      <c r="AR44" s="62">
        <v>3.33</v>
      </c>
      <c r="AS44" s="62">
        <v>3.22</v>
      </c>
      <c r="AT44" s="62">
        <v>1.1200000000000001</v>
      </c>
      <c r="AU44" s="62">
        <v>2.36</v>
      </c>
      <c r="AV44" s="62">
        <v>0.92</v>
      </c>
      <c r="AX44" s="62">
        <v>0.99</v>
      </c>
      <c r="AY44" s="62">
        <v>0.96</v>
      </c>
      <c r="AZ44" s="62">
        <v>0.77</v>
      </c>
      <c r="BA44" s="62">
        <v>2.69</v>
      </c>
      <c r="BC44" s="62">
        <v>1.05</v>
      </c>
      <c r="BD44" s="62">
        <v>0.94</v>
      </c>
      <c r="BE44" s="62">
        <v>3.74</v>
      </c>
      <c r="BF44" s="62">
        <v>1.21</v>
      </c>
      <c r="BG44" s="62">
        <v>1.1299999999999999</v>
      </c>
      <c r="BH44" s="62">
        <v>0.86</v>
      </c>
      <c r="BI44" s="62">
        <v>2.02</v>
      </c>
      <c r="BJ44" s="62">
        <v>0.63</v>
      </c>
      <c r="BK44" s="62">
        <v>2.31</v>
      </c>
      <c r="BL44" s="62">
        <v>0.72</v>
      </c>
      <c r="BN44" s="62">
        <v>0.91</v>
      </c>
      <c r="BO44" s="62">
        <v>0.28000000000000003</v>
      </c>
      <c r="BQ44" s="62">
        <v>3.74</v>
      </c>
      <c r="BS44" s="62">
        <v>7.58</v>
      </c>
      <c r="BT44" s="62">
        <v>-3.08</v>
      </c>
      <c r="BU44" s="62">
        <v>1.28</v>
      </c>
      <c r="BV44" s="62">
        <v>4.08</v>
      </c>
      <c r="BW44" s="62">
        <v>2.69</v>
      </c>
      <c r="BX44" s="62">
        <v>0.99</v>
      </c>
      <c r="BY44" s="62">
        <v>18.52</v>
      </c>
      <c r="BZ44" s="62">
        <v>1.05</v>
      </c>
      <c r="CA44" s="62">
        <v>11.74</v>
      </c>
      <c r="CB44" s="62">
        <v>0.8</v>
      </c>
      <c r="CC44" s="62">
        <v>5.55</v>
      </c>
      <c r="CD44" s="62">
        <v>0.6</v>
      </c>
      <c r="CE44" s="62">
        <v>2.99</v>
      </c>
      <c r="CF44" s="62">
        <v>0.95</v>
      </c>
      <c r="CG44" s="62">
        <v>1.48</v>
      </c>
      <c r="CH44" s="62">
        <v>1.19</v>
      </c>
      <c r="CI44" s="62">
        <v>3.75</v>
      </c>
      <c r="CJ44" s="62">
        <v>0.71</v>
      </c>
      <c r="CK44" s="62">
        <v>7.19</v>
      </c>
      <c r="CL44" s="62">
        <v>1.58</v>
      </c>
      <c r="CM44" s="62">
        <v>2.4700000000000002</v>
      </c>
      <c r="CN44" s="62">
        <v>1.81</v>
      </c>
      <c r="CO44" s="62">
        <v>2.39</v>
      </c>
      <c r="CP44" s="62">
        <v>0.53</v>
      </c>
      <c r="CQ44" s="62">
        <v>4.97</v>
      </c>
      <c r="CR44" s="62">
        <v>4.4800000000000004</v>
      </c>
      <c r="CS44" s="62">
        <v>3.38</v>
      </c>
      <c r="CT44" s="62">
        <v>-4.91</v>
      </c>
      <c r="CU44" s="62">
        <v>3.03</v>
      </c>
      <c r="CV44" s="62">
        <v>1.37</v>
      </c>
      <c r="CW44" s="62">
        <v>1.04</v>
      </c>
      <c r="CX44" s="62">
        <v>1.9</v>
      </c>
      <c r="CY44" s="62">
        <v>2.06</v>
      </c>
      <c r="CZ44" s="62">
        <v>0.7</v>
      </c>
      <c r="DA44" s="62">
        <v>1.05</v>
      </c>
      <c r="DB44" s="62">
        <v>4.01</v>
      </c>
      <c r="DC44" s="62">
        <v>1.1399999999999999</v>
      </c>
      <c r="DD44" s="62">
        <v>4.3</v>
      </c>
      <c r="DF44" s="62">
        <v>1.2</v>
      </c>
      <c r="DG44" s="62">
        <v>1.33</v>
      </c>
      <c r="DH44" s="62">
        <v>-14.29</v>
      </c>
      <c r="DJ44" s="62">
        <v>1.37</v>
      </c>
      <c r="DK44" s="62">
        <v>1.38</v>
      </c>
      <c r="DL44" s="62">
        <v>6.13</v>
      </c>
      <c r="DM44" s="62">
        <v>1.07</v>
      </c>
      <c r="DN44" s="62">
        <v>1.71</v>
      </c>
      <c r="DO44" s="62">
        <v>2.0499999999999998</v>
      </c>
      <c r="DP44" s="62">
        <v>4.16</v>
      </c>
    </row>
    <row r="45" spans="1:120" x14ac:dyDescent="0.3">
      <c r="A45" s="64" t="s">
        <v>9065</v>
      </c>
      <c r="B45" s="62">
        <v>1.43</v>
      </c>
      <c r="C45" s="62">
        <v>6.02</v>
      </c>
      <c r="E45" s="62">
        <v>1.43</v>
      </c>
      <c r="F45" s="62">
        <v>-18.55</v>
      </c>
      <c r="G45" s="62">
        <v>2.39</v>
      </c>
      <c r="H45" s="62">
        <v>1.1399999999999999</v>
      </c>
      <c r="I45" s="62">
        <v>0.92</v>
      </c>
      <c r="J45" s="62">
        <v>0.87</v>
      </c>
      <c r="K45" s="62">
        <v>1.69</v>
      </c>
      <c r="L45" s="62">
        <v>1.05</v>
      </c>
      <c r="M45" s="62">
        <v>2.08</v>
      </c>
      <c r="N45" s="62">
        <v>0.97</v>
      </c>
      <c r="O45" s="62">
        <v>200</v>
      </c>
      <c r="P45" s="62">
        <v>6.35</v>
      </c>
      <c r="Q45" s="62">
        <v>3.84</v>
      </c>
      <c r="R45" s="62">
        <v>14.98</v>
      </c>
      <c r="S45" s="62">
        <v>0.51</v>
      </c>
      <c r="T45" s="62">
        <v>1.26</v>
      </c>
      <c r="U45" s="62">
        <v>1.33</v>
      </c>
      <c r="V45" s="62">
        <v>1.22</v>
      </c>
      <c r="W45" s="62">
        <v>1.56</v>
      </c>
      <c r="X45" s="62">
        <v>1.27</v>
      </c>
      <c r="Y45" s="62">
        <v>5.3</v>
      </c>
      <c r="Z45" s="62">
        <v>0.16</v>
      </c>
      <c r="AA45" s="62">
        <v>1.71</v>
      </c>
      <c r="AB45" s="62">
        <v>1.5</v>
      </c>
      <c r="AC45" s="62">
        <v>4.26</v>
      </c>
      <c r="AD45" s="62">
        <v>1.03</v>
      </c>
      <c r="AE45" s="62">
        <v>6.29</v>
      </c>
      <c r="AF45" s="62">
        <v>7.77</v>
      </c>
      <c r="AG45" s="62">
        <v>1.49</v>
      </c>
      <c r="AH45" s="62">
        <v>0.84</v>
      </c>
      <c r="AI45" s="62">
        <v>1.1200000000000001</v>
      </c>
      <c r="AJ45" s="62">
        <v>4.21</v>
      </c>
      <c r="AK45" s="62">
        <v>1.1200000000000001</v>
      </c>
      <c r="AL45" s="62">
        <v>0.86</v>
      </c>
      <c r="AM45" s="62">
        <v>0.89</v>
      </c>
      <c r="AN45" s="62">
        <v>0.76</v>
      </c>
      <c r="AO45" s="62">
        <v>2.14</v>
      </c>
      <c r="AP45" s="62">
        <v>3.45</v>
      </c>
      <c r="AQ45" s="62">
        <v>1.04</v>
      </c>
      <c r="AR45" s="62">
        <v>3.73</v>
      </c>
      <c r="AS45" s="62">
        <v>3.54</v>
      </c>
      <c r="AT45" s="62">
        <v>1.1399999999999999</v>
      </c>
      <c r="AU45" s="62">
        <v>2.5099999999999998</v>
      </c>
      <c r="AV45" s="62">
        <v>0.94</v>
      </c>
      <c r="AX45" s="62">
        <v>0.99</v>
      </c>
      <c r="AY45" s="62">
        <v>1.03</v>
      </c>
      <c r="AZ45" s="62">
        <v>0.7</v>
      </c>
      <c r="BA45" s="62">
        <v>2.61</v>
      </c>
      <c r="BC45" s="62">
        <v>1.07</v>
      </c>
      <c r="BD45" s="62">
        <v>0.99</v>
      </c>
      <c r="BE45" s="62">
        <v>3.74</v>
      </c>
      <c r="BF45" s="62">
        <v>1.22</v>
      </c>
      <c r="BG45" s="62">
        <v>1.18</v>
      </c>
      <c r="BH45" s="62">
        <v>0.91</v>
      </c>
      <c r="BI45" s="62">
        <v>1.99</v>
      </c>
      <c r="BJ45" s="62">
        <v>0.63</v>
      </c>
      <c r="BK45" s="62">
        <v>2.27</v>
      </c>
      <c r="BL45" s="62">
        <v>0.83</v>
      </c>
      <c r="BN45" s="62">
        <v>0.83</v>
      </c>
      <c r="BO45" s="62">
        <v>0.24</v>
      </c>
      <c r="BQ45" s="62">
        <v>3.64</v>
      </c>
      <c r="BS45" s="62">
        <v>7.96</v>
      </c>
      <c r="BT45" s="62">
        <v>-3.08</v>
      </c>
      <c r="BU45" s="62">
        <v>1.29</v>
      </c>
      <c r="BV45" s="62">
        <v>4.33</v>
      </c>
      <c r="BW45" s="62">
        <v>2.72</v>
      </c>
      <c r="BX45" s="62">
        <v>0.98</v>
      </c>
      <c r="BY45" s="62">
        <v>17.920000000000002</v>
      </c>
      <c r="BZ45" s="62">
        <v>1.06</v>
      </c>
      <c r="CA45" s="62">
        <v>13.6</v>
      </c>
      <c r="CB45" s="62">
        <v>0.84</v>
      </c>
      <c r="CC45" s="62">
        <v>5.38</v>
      </c>
      <c r="CD45" s="62">
        <v>0.67</v>
      </c>
      <c r="CE45" s="62">
        <v>3.17</v>
      </c>
      <c r="CF45" s="62">
        <v>0.93</v>
      </c>
      <c r="CG45" s="62">
        <v>1.74</v>
      </c>
      <c r="CH45" s="62">
        <v>1.27</v>
      </c>
      <c r="CI45" s="62">
        <v>3</v>
      </c>
      <c r="CJ45" s="62">
        <v>0.71</v>
      </c>
      <c r="CK45" s="62">
        <v>6.44</v>
      </c>
      <c r="CL45" s="62">
        <v>1.52</v>
      </c>
      <c r="CM45" s="62">
        <v>2.5499999999999998</v>
      </c>
      <c r="CN45" s="62">
        <v>1.78</v>
      </c>
      <c r="CO45" s="62">
        <v>2.56</v>
      </c>
      <c r="CP45" s="62">
        <v>0.51</v>
      </c>
      <c r="CQ45" s="62">
        <v>4.97</v>
      </c>
      <c r="CR45" s="62">
        <v>5.28</v>
      </c>
      <c r="CS45" s="62">
        <v>3.38</v>
      </c>
      <c r="CT45" s="62">
        <v>-3.93</v>
      </c>
      <c r="CU45" s="62">
        <v>3.25</v>
      </c>
      <c r="CV45" s="62">
        <v>1.42</v>
      </c>
      <c r="CW45" s="62">
        <v>1.0900000000000001</v>
      </c>
      <c r="CX45" s="62">
        <v>2.2799999999999998</v>
      </c>
      <c r="CY45" s="62">
        <v>1.34</v>
      </c>
      <c r="CZ45" s="62">
        <v>0.75</v>
      </c>
      <c r="DA45" s="62">
        <v>1.18</v>
      </c>
      <c r="DB45" s="62">
        <v>4.28</v>
      </c>
      <c r="DC45" s="62">
        <v>1.22</v>
      </c>
      <c r="DD45" s="62">
        <v>4.3</v>
      </c>
      <c r="DF45" s="62">
        <v>1.3</v>
      </c>
      <c r="DG45" s="62">
        <v>1.31</v>
      </c>
      <c r="DH45" s="62">
        <v>-28.57</v>
      </c>
      <c r="DJ45" s="62">
        <v>1.42</v>
      </c>
      <c r="DK45" s="62">
        <v>1.39</v>
      </c>
      <c r="DL45" s="62">
        <v>6.79</v>
      </c>
      <c r="DM45" s="62">
        <v>1.0900000000000001</v>
      </c>
      <c r="DN45" s="62">
        <v>1.73</v>
      </c>
      <c r="DO45" s="62">
        <v>2.62</v>
      </c>
      <c r="DP45" s="62">
        <v>4.08</v>
      </c>
    </row>
    <row r="46" spans="1:120" x14ac:dyDescent="0.3">
      <c r="A46" s="64" t="s">
        <v>9066</v>
      </c>
      <c r="B46" s="62">
        <v>1.44</v>
      </c>
      <c r="C46" s="62">
        <v>10.84</v>
      </c>
      <c r="E46" s="62">
        <v>1.32</v>
      </c>
      <c r="F46" s="62">
        <v>-16.52</v>
      </c>
      <c r="G46" s="62">
        <v>2.39</v>
      </c>
      <c r="H46" s="62">
        <v>1.1100000000000001</v>
      </c>
      <c r="I46" s="62">
        <v>0.89</v>
      </c>
      <c r="J46" s="62">
        <v>0.87</v>
      </c>
      <c r="K46" s="62">
        <v>1.52</v>
      </c>
      <c r="L46" s="62">
        <v>1.03</v>
      </c>
      <c r="M46" s="62">
        <v>1.93</v>
      </c>
      <c r="N46" s="62">
        <v>0.94</v>
      </c>
      <c r="O46" s="62">
        <v>200</v>
      </c>
      <c r="P46" s="62">
        <v>4.97</v>
      </c>
      <c r="Q46" s="62">
        <v>3.77</v>
      </c>
      <c r="R46" s="62">
        <v>14.46</v>
      </c>
      <c r="S46" s="62">
        <v>0.44</v>
      </c>
      <c r="T46" s="62">
        <v>1.26</v>
      </c>
      <c r="U46" s="62">
        <v>1.1599999999999999</v>
      </c>
      <c r="V46" s="62">
        <v>1.1299999999999999</v>
      </c>
      <c r="W46" s="62">
        <v>1.71</v>
      </c>
      <c r="X46" s="62">
        <v>1.29</v>
      </c>
      <c r="Y46" s="62">
        <v>5.52</v>
      </c>
      <c r="Z46" s="62">
        <v>0.16</v>
      </c>
      <c r="AA46" s="62">
        <v>1.7</v>
      </c>
      <c r="AB46" s="62">
        <v>1.53</v>
      </c>
      <c r="AC46" s="62">
        <v>4.29</v>
      </c>
      <c r="AD46" s="62">
        <v>1.04</v>
      </c>
      <c r="AE46" s="62">
        <v>5.92</v>
      </c>
      <c r="AF46" s="62">
        <v>7.51</v>
      </c>
      <c r="AG46" s="62">
        <v>1.36</v>
      </c>
      <c r="AH46" s="62">
        <v>0.9</v>
      </c>
      <c r="AI46" s="62">
        <v>1.1399999999999999</v>
      </c>
      <c r="AJ46" s="62">
        <v>3.88</v>
      </c>
      <c r="AK46" s="62">
        <v>1.02</v>
      </c>
      <c r="AL46" s="62">
        <v>0.86</v>
      </c>
      <c r="AM46" s="62">
        <v>0.9</v>
      </c>
      <c r="AN46" s="62">
        <v>1.03</v>
      </c>
      <c r="AO46" s="62">
        <v>1.88</v>
      </c>
      <c r="AP46" s="62">
        <v>3.31</v>
      </c>
      <c r="AQ46" s="62">
        <v>0.99</v>
      </c>
      <c r="AR46" s="62">
        <v>3.48</v>
      </c>
      <c r="AS46" s="62">
        <v>3.49</v>
      </c>
      <c r="AT46" s="62">
        <v>1.0900000000000001</v>
      </c>
      <c r="AU46" s="62">
        <v>1.9</v>
      </c>
      <c r="AV46" s="62">
        <v>0.91</v>
      </c>
      <c r="AX46" s="62">
        <v>0.99</v>
      </c>
      <c r="AY46" s="62">
        <v>0.97</v>
      </c>
      <c r="AZ46" s="62">
        <v>0.66</v>
      </c>
      <c r="BA46" s="62">
        <v>2.4300000000000002</v>
      </c>
      <c r="BC46" s="62">
        <v>1.02</v>
      </c>
      <c r="BD46" s="62">
        <v>0.96</v>
      </c>
      <c r="BE46" s="62">
        <v>2.99</v>
      </c>
      <c r="BF46" s="62">
        <v>1.1599999999999999</v>
      </c>
      <c r="BG46" s="62">
        <v>1.1399999999999999</v>
      </c>
      <c r="BH46" s="62">
        <v>0.81</v>
      </c>
      <c r="BI46" s="62">
        <v>1.66</v>
      </c>
      <c r="BJ46" s="62">
        <v>0.64</v>
      </c>
      <c r="BK46" s="62">
        <v>2.19</v>
      </c>
      <c r="BL46" s="62">
        <v>0.83</v>
      </c>
      <c r="BN46" s="62">
        <v>0.77</v>
      </c>
      <c r="BO46" s="62">
        <v>0.25</v>
      </c>
      <c r="BQ46" s="62">
        <v>3.4</v>
      </c>
      <c r="BS46" s="62">
        <v>6.57</v>
      </c>
      <c r="BT46" s="62">
        <v>-3.64</v>
      </c>
      <c r="BU46" s="62">
        <v>1.1499999999999999</v>
      </c>
      <c r="BV46" s="62">
        <v>4.33</v>
      </c>
      <c r="BW46" s="62">
        <v>2.67</v>
      </c>
      <c r="BX46" s="62">
        <v>0.99</v>
      </c>
      <c r="BY46" s="62">
        <v>18.52</v>
      </c>
      <c r="BZ46" s="62">
        <v>1.01</v>
      </c>
      <c r="CA46" s="62">
        <v>16.829999999999998</v>
      </c>
      <c r="CB46" s="62">
        <v>0.76</v>
      </c>
      <c r="CC46" s="62">
        <v>5.07</v>
      </c>
      <c r="CD46" s="62">
        <v>0.69</v>
      </c>
      <c r="CE46" s="62">
        <v>2.87</v>
      </c>
      <c r="CF46" s="62">
        <v>0.92</v>
      </c>
      <c r="CG46" s="62">
        <v>1.74</v>
      </c>
      <c r="CH46" s="62">
        <v>1.1000000000000001</v>
      </c>
      <c r="CI46" s="62">
        <v>2.4300000000000002</v>
      </c>
      <c r="CJ46" s="62">
        <v>0.77</v>
      </c>
      <c r="CK46" s="62">
        <v>5.99</v>
      </c>
      <c r="CL46" s="62">
        <v>1.56</v>
      </c>
      <c r="CM46" s="62">
        <v>2.2599999999999998</v>
      </c>
      <c r="CN46" s="62">
        <v>1.49</v>
      </c>
      <c r="CO46" s="62">
        <v>2.39</v>
      </c>
      <c r="CP46" s="62">
        <v>0.56000000000000005</v>
      </c>
      <c r="CQ46" s="62">
        <v>4.1399999999999997</v>
      </c>
      <c r="CR46" s="62">
        <v>5.19</v>
      </c>
      <c r="CS46" s="62">
        <v>3.32</v>
      </c>
      <c r="CT46" s="62">
        <v>-2.94</v>
      </c>
      <c r="CU46" s="62">
        <v>3.6</v>
      </c>
      <c r="CV46" s="62">
        <v>1.32</v>
      </c>
      <c r="CW46" s="62">
        <v>1.07</v>
      </c>
      <c r="CX46" s="62">
        <v>2.02</v>
      </c>
      <c r="CY46" s="62">
        <v>1.26</v>
      </c>
      <c r="CZ46" s="62">
        <v>0.73</v>
      </c>
      <c r="DA46" s="62">
        <v>0.98</v>
      </c>
      <c r="DB46" s="62">
        <v>3.75</v>
      </c>
      <c r="DC46" s="62">
        <v>1.28</v>
      </c>
      <c r="DD46" s="62">
        <v>4.3</v>
      </c>
      <c r="DF46" s="62">
        <v>1.31</v>
      </c>
      <c r="DG46" s="62">
        <v>1.26</v>
      </c>
      <c r="DH46" s="62">
        <v>-28.57</v>
      </c>
      <c r="DJ46" s="62">
        <v>1.32</v>
      </c>
      <c r="DK46" s="62">
        <v>1.35</v>
      </c>
      <c r="DL46" s="62">
        <v>5.92</v>
      </c>
      <c r="DM46" s="62">
        <v>1.1200000000000001</v>
      </c>
      <c r="DN46" s="62">
        <v>1.74</v>
      </c>
      <c r="DO46" s="62">
        <v>2.62</v>
      </c>
      <c r="DP46" s="62">
        <v>4.0999999999999996</v>
      </c>
    </row>
    <row r="47" spans="1:120" x14ac:dyDescent="0.3">
      <c r="A47" s="64" t="s">
        <v>9067</v>
      </c>
      <c r="B47" s="62">
        <v>1.5</v>
      </c>
      <c r="C47" s="62">
        <v>10.84</v>
      </c>
      <c r="E47" s="62">
        <v>1.29</v>
      </c>
      <c r="F47" s="62">
        <v>-13.91</v>
      </c>
      <c r="G47" s="62">
        <v>2.39</v>
      </c>
      <c r="H47" s="62">
        <v>1.06</v>
      </c>
      <c r="I47" s="62">
        <v>0.86</v>
      </c>
      <c r="J47" s="62">
        <v>0.81</v>
      </c>
      <c r="K47" s="62">
        <v>1.5</v>
      </c>
      <c r="L47" s="62">
        <v>1.05</v>
      </c>
      <c r="M47" s="62">
        <v>1.97</v>
      </c>
      <c r="N47" s="62">
        <v>0.92</v>
      </c>
      <c r="O47" s="62">
        <v>200</v>
      </c>
      <c r="P47" s="62">
        <v>6.35</v>
      </c>
      <c r="Q47" s="62">
        <v>3.76</v>
      </c>
      <c r="R47" s="62">
        <v>13.57</v>
      </c>
      <c r="S47" s="62">
        <v>0.4</v>
      </c>
      <c r="T47" s="62">
        <v>1.25</v>
      </c>
      <c r="U47" s="62">
        <v>1.21</v>
      </c>
      <c r="V47" s="62">
        <v>1.1399999999999999</v>
      </c>
      <c r="W47" s="62">
        <v>2.0499999999999998</v>
      </c>
      <c r="X47" s="62">
        <v>1.25</v>
      </c>
      <c r="Y47" s="62">
        <v>5.52</v>
      </c>
      <c r="Z47" s="62">
        <v>0.16</v>
      </c>
      <c r="AA47" s="62">
        <v>1.61</v>
      </c>
      <c r="AB47" s="62">
        <v>1.73</v>
      </c>
      <c r="AC47" s="62">
        <v>2.76</v>
      </c>
      <c r="AD47" s="62">
        <v>0.96</v>
      </c>
      <c r="AE47" s="62">
        <v>4.63</v>
      </c>
      <c r="AF47" s="62">
        <v>7.4</v>
      </c>
      <c r="AG47" s="62">
        <v>1.3</v>
      </c>
      <c r="AH47" s="62">
        <v>0.9</v>
      </c>
      <c r="AI47" s="62">
        <v>1.24</v>
      </c>
      <c r="AJ47" s="62">
        <v>3.98</v>
      </c>
      <c r="AK47" s="62">
        <v>1.44</v>
      </c>
      <c r="AL47" s="62">
        <v>0.86</v>
      </c>
      <c r="AM47" s="62">
        <v>0.92</v>
      </c>
      <c r="AN47" s="62">
        <v>1.07</v>
      </c>
      <c r="AO47" s="62">
        <v>1.95</v>
      </c>
      <c r="AP47" s="62">
        <v>2.89</v>
      </c>
      <c r="AQ47" s="62">
        <v>0.96</v>
      </c>
      <c r="AR47" s="62">
        <v>3.33</v>
      </c>
      <c r="AS47" s="62">
        <v>3.65</v>
      </c>
      <c r="AT47" s="62">
        <v>1.08</v>
      </c>
      <c r="AU47" s="62">
        <v>2.74</v>
      </c>
      <c r="AV47" s="62">
        <v>0.87</v>
      </c>
      <c r="AX47" s="62">
        <v>0.99</v>
      </c>
      <c r="AY47" s="62">
        <v>0.94</v>
      </c>
      <c r="AZ47" s="62">
        <v>0.64</v>
      </c>
      <c r="BA47" s="62">
        <v>2.59</v>
      </c>
      <c r="BC47" s="62">
        <v>1</v>
      </c>
      <c r="BD47" s="62">
        <v>0.92</v>
      </c>
      <c r="BE47" s="62">
        <v>2.62</v>
      </c>
      <c r="BF47" s="62">
        <v>1.06</v>
      </c>
      <c r="BG47" s="62">
        <v>1.07</v>
      </c>
      <c r="BH47" s="62">
        <v>0.79</v>
      </c>
      <c r="BI47" s="62">
        <v>1.66</v>
      </c>
      <c r="BJ47" s="62">
        <v>0.64</v>
      </c>
      <c r="BK47" s="62">
        <v>2.97</v>
      </c>
      <c r="BL47" s="62">
        <v>0.83</v>
      </c>
      <c r="BN47" s="62">
        <v>0.7</v>
      </c>
      <c r="BO47" s="62">
        <v>0.27</v>
      </c>
      <c r="BQ47" s="62">
        <v>3.4</v>
      </c>
      <c r="BS47" s="62">
        <v>6.32</v>
      </c>
      <c r="BT47" s="62">
        <v>-2.63</v>
      </c>
      <c r="BU47" s="62">
        <v>1.1100000000000001</v>
      </c>
      <c r="BV47" s="62">
        <v>4.2</v>
      </c>
      <c r="BW47" s="62">
        <v>2.6</v>
      </c>
      <c r="BX47" s="62">
        <v>0.98</v>
      </c>
      <c r="BY47" s="62">
        <v>18.52</v>
      </c>
      <c r="BZ47" s="62">
        <v>1.01</v>
      </c>
      <c r="CA47" s="62">
        <v>19.61</v>
      </c>
      <c r="CB47" s="62">
        <v>0.53</v>
      </c>
      <c r="CC47" s="62">
        <v>5.1100000000000003</v>
      </c>
      <c r="CD47" s="62">
        <v>0.57999999999999996</v>
      </c>
      <c r="CE47" s="62">
        <v>2.74</v>
      </c>
      <c r="CF47" s="62">
        <v>0.82</v>
      </c>
      <c r="CG47" s="62">
        <v>1.75</v>
      </c>
      <c r="CH47" s="62">
        <v>1.07</v>
      </c>
      <c r="CI47" s="62">
        <v>2.7</v>
      </c>
      <c r="CJ47" s="62">
        <v>0.77</v>
      </c>
      <c r="CK47" s="62">
        <v>5.99</v>
      </c>
      <c r="CL47" s="62">
        <v>1.61</v>
      </c>
      <c r="CM47" s="62">
        <v>2.16</v>
      </c>
      <c r="CN47" s="62">
        <v>1.38</v>
      </c>
      <c r="CO47" s="62">
        <v>2.84</v>
      </c>
      <c r="CP47" s="62">
        <v>0.51</v>
      </c>
      <c r="CQ47" s="62">
        <v>3.97</v>
      </c>
      <c r="CR47" s="62">
        <v>5.66</v>
      </c>
      <c r="CS47" s="62">
        <v>3.5</v>
      </c>
      <c r="CT47" s="62">
        <v>-2.94</v>
      </c>
      <c r="CU47" s="62">
        <v>3.25</v>
      </c>
      <c r="CV47" s="62">
        <v>1.32</v>
      </c>
      <c r="CW47" s="62">
        <v>1</v>
      </c>
      <c r="CX47" s="62">
        <v>1.9</v>
      </c>
      <c r="CY47" s="62">
        <v>1.42</v>
      </c>
      <c r="CZ47" s="62">
        <v>0.74</v>
      </c>
      <c r="DA47" s="62">
        <v>1.01</v>
      </c>
      <c r="DB47" s="62">
        <v>3.75</v>
      </c>
      <c r="DC47" s="62">
        <v>1.34</v>
      </c>
      <c r="DD47" s="62">
        <v>4.3</v>
      </c>
      <c r="DF47" s="62">
        <v>1.45</v>
      </c>
      <c r="DG47" s="62">
        <v>1.52</v>
      </c>
      <c r="DH47" s="62">
        <v>-14.29</v>
      </c>
      <c r="DJ47" s="62">
        <v>1.29</v>
      </c>
      <c r="DK47" s="62">
        <v>1.31</v>
      </c>
      <c r="DL47" s="62">
        <v>5.51</v>
      </c>
      <c r="DM47" s="62">
        <v>1.1200000000000001</v>
      </c>
      <c r="DN47" s="62">
        <v>1.7</v>
      </c>
      <c r="DO47" s="62">
        <v>2.86</v>
      </c>
      <c r="DP47" s="62">
        <v>4.1100000000000003</v>
      </c>
    </row>
    <row r="48" spans="1:120" x14ac:dyDescent="0.3">
      <c r="A48" s="64" t="s">
        <v>9068</v>
      </c>
      <c r="B48" s="62">
        <v>1.54</v>
      </c>
      <c r="C48" s="62">
        <v>6.02</v>
      </c>
      <c r="E48" s="62">
        <v>1.51</v>
      </c>
      <c r="F48" s="62">
        <v>-15.94</v>
      </c>
      <c r="G48" s="62">
        <v>2.39</v>
      </c>
      <c r="H48" s="62">
        <v>1.1299999999999999</v>
      </c>
      <c r="I48" s="62">
        <v>0.87</v>
      </c>
      <c r="J48" s="62">
        <v>0.84</v>
      </c>
      <c r="K48" s="62">
        <v>1.66</v>
      </c>
      <c r="L48" s="62">
        <v>1.01</v>
      </c>
      <c r="M48" s="62">
        <v>2.13</v>
      </c>
      <c r="N48" s="62">
        <v>0.94</v>
      </c>
      <c r="O48" s="62">
        <v>200</v>
      </c>
      <c r="P48" s="62">
        <v>7.18</v>
      </c>
      <c r="Q48" s="62">
        <v>3.81</v>
      </c>
      <c r="R48" s="62">
        <v>14.75</v>
      </c>
      <c r="S48" s="62">
        <v>0.4</v>
      </c>
      <c r="T48" s="62">
        <v>1.24</v>
      </c>
      <c r="U48" s="62">
        <v>1.31</v>
      </c>
      <c r="V48" s="62">
        <v>1.1000000000000001</v>
      </c>
      <c r="W48" s="62">
        <v>1.91</v>
      </c>
      <c r="X48" s="62">
        <v>1.31</v>
      </c>
      <c r="Y48" s="62">
        <v>5.3</v>
      </c>
      <c r="Z48" s="62">
        <v>0.16</v>
      </c>
      <c r="AA48" s="62">
        <v>1.77</v>
      </c>
      <c r="AB48" s="62">
        <v>1.89</v>
      </c>
      <c r="AC48" s="62">
        <v>3.03</v>
      </c>
      <c r="AD48" s="62">
        <v>0.96</v>
      </c>
      <c r="AE48" s="62">
        <v>6.01</v>
      </c>
      <c r="AF48" s="62">
        <v>8.27</v>
      </c>
      <c r="AG48" s="62">
        <v>1.37</v>
      </c>
      <c r="AH48" s="62">
        <v>0.87</v>
      </c>
      <c r="AI48" s="62">
        <v>1.26</v>
      </c>
      <c r="AJ48" s="62">
        <v>4.2300000000000004</v>
      </c>
      <c r="AK48" s="62">
        <v>1.52</v>
      </c>
      <c r="AL48" s="62">
        <v>0.86</v>
      </c>
      <c r="AM48" s="62">
        <v>0.94</v>
      </c>
      <c r="AN48" s="62">
        <v>1.26</v>
      </c>
      <c r="AO48" s="62">
        <v>2.0499999999999998</v>
      </c>
      <c r="AP48" s="62">
        <v>2.96</v>
      </c>
      <c r="AQ48" s="62">
        <v>0.99</v>
      </c>
      <c r="AR48" s="62">
        <v>4.01</v>
      </c>
      <c r="AS48" s="62">
        <v>3.96</v>
      </c>
      <c r="AT48" s="62">
        <v>1.2</v>
      </c>
      <c r="AU48" s="62">
        <v>3.04</v>
      </c>
      <c r="AV48" s="62">
        <v>0.9</v>
      </c>
      <c r="AX48" s="62">
        <v>0.99</v>
      </c>
      <c r="AY48" s="62">
        <v>1.01</v>
      </c>
      <c r="AZ48" s="62">
        <v>0.69</v>
      </c>
      <c r="BA48" s="62">
        <v>2.65</v>
      </c>
      <c r="BC48" s="62">
        <v>1.03</v>
      </c>
      <c r="BD48" s="62">
        <v>0.92</v>
      </c>
      <c r="BE48" s="62">
        <v>2.25</v>
      </c>
      <c r="BF48" s="62">
        <v>1.18</v>
      </c>
      <c r="BG48" s="62">
        <v>1.1100000000000001</v>
      </c>
      <c r="BH48" s="62">
        <v>0.84</v>
      </c>
      <c r="BI48" s="62">
        <v>1.84</v>
      </c>
      <c r="BJ48" s="62">
        <v>0.62</v>
      </c>
      <c r="BK48" s="62">
        <v>3.13</v>
      </c>
      <c r="BL48" s="62">
        <v>0.72</v>
      </c>
      <c r="BN48" s="62">
        <v>0.71</v>
      </c>
      <c r="BO48" s="62">
        <v>0.37</v>
      </c>
      <c r="BQ48" s="62">
        <v>3.33</v>
      </c>
      <c r="BS48" s="62">
        <v>5.62</v>
      </c>
      <c r="BT48" s="62">
        <v>-2.2999999999999998</v>
      </c>
      <c r="BU48" s="62">
        <v>1.19</v>
      </c>
      <c r="BV48" s="62">
        <v>4.1399999999999997</v>
      </c>
      <c r="BW48" s="62">
        <v>2.78</v>
      </c>
      <c r="BX48" s="62">
        <v>1.04</v>
      </c>
      <c r="BY48" s="62">
        <v>16.73</v>
      </c>
      <c r="BZ48" s="62">
        <v>1.04</v>
      </c>
      <c r="CA48" s="62">
        <v>22.33</v>
      </c>
      <c r="CB48" s="62">
        <v>0.63</v>
      </c>
      <c r="CC48" s="62">
        <v>5.66</v>
      </c>
      <c r="CD48" s="62">
        <v>0.69</v>
      </c>
      <c r="CE48" s="62">
        <v>2.93</v>
      </c>
      <c r="CF48" s="62">
        <v>0.83</v>
      </c>
      <c r="CG48" s="62">
        <v>1.83</v>
      </c>
      <c r="CH48" s="62">
        <v>1.1299999999999999</v>
      </c>
      <c r="CI48" s="62">
        <v>2.4300000000000002</v>
      </c>
      <c r="CJ48" s="62">
        <v>0.77</v>
      </c>
      <c r="CK48" s="62">
        <v>6.07</v>
      </c>
      <c r="CL48" s="62">
        <v>1.91</v>
      </c>
      <c r="CM48" s="62">
        <v>2.2999999999999998</v>
      </c>
      <c r="CN48" s="62">
        <v>1.32</v>
      </c>
      <c r="CO48" s="62">
        <v>2.48</v>
      </c>
      <c r="CP48" s="62">
        <v>0.51</v>
      </c>
      <c r="CQ48" s="62">
        <v>4.1399999999999997</v>
      </c>
      <c r="CR48" s="62">
        <v>6.13</v>
      </c>
      <c r="CS48" s="62">
        <v>3.21</v>
      </c>
      <c r="CT48" s="62">
        <v>-2.94</v>
      </c>
      <c r="CU48" s="62">
        <v>3.68</v>
      </c>
      <c r="CV48" s="62">
        <v>1.38</v>
      </c>
      <c r="CW48" s="62">
        <v>1.05</v>
      </c>
      <c r="CX48" s="62">
        <v>2.11</v>
      </c>
      <c r="CY48" s="62">
        <v>1.36</v>
      </c>
      <c r="CZ48" s="62">
        <v>0.75</v>
      </c>
      <c r="DA48" s="62">
        <v>0.98</v>
      </c>
      <c r="DB48" s="62">
        <v>4.12</v>
      </c>
      <c r="DC48" s="62">
        <v>1.38</v>
      </c>
      <c r="DD48" s="62">
        <v>4.3</v>
      </c>
      <c r="DF48" s="62">
        <v>1.5</v>
      </c>
      <c r="DG48" s="62">
        <v>1.56</v>
      </c>
      <c r="DH48" s="62">
        <v>-28.57</v>
      </c>
      <c r="DJ48" s="62">
        <v>1.32</v>
      </c>
      <c r="DK48" s="62">
        <v>1.4</v>
      </c>
      <c r="DL48" s="62">
        <v>6.02</v>
      </c>
      <c r="DM48" s="62">
        <v>1.2</v>
      </c>
      <c r="DN48" s="62">
        <v>1.81</v>
      </c>
      <c r="DO48" s="62">
        <v>2.86</v>
      </c>
      <c r="DP48" s="62">
        <v>4.71</v>
      </c>
    </row>
    <row r="49" spans="1:120" x14ac:dyDescent="0.3">
      <c r="A49" s="64" t="s">
        <v>9069</v>
      </c>
      <c r="B49" s="62">
        <v>1.45</v>
      </c>
      <c r="C49" s="62">
        <v>8.43</v>
      </c>
      <c r="E49" s="62">
        <v>1.49</v>
      </c>
      <c r="F49" s="62">
        <v>-15.65</v>
      </c>
      <c r="G49" s="62">
        <v>2.39</v>
      </c>
      <c r="H49" s="62">
        <v>1.1499999999999999</v>
      </c>
      <c r="I49" s="62">
        <v>0.97</v>
      </c>
      <c r="J49" s="62">
        <v>0.86</v>
      </c>
      <c r="K49" s="62">
        <v>1.63</v>
      </c>
      <c r="L49" s="62">
        <v>1.04</v>
      </c>
      <c r="M49" s="62">
        <v>2.12</v>
      </c>
      <c r="N49" s="62">
        <v>0.95</v>
      </c>
      <c r="O49" s="62">
        <v>200</v>
      </c>
      <c r="P49" s="62">
        <v>7.73</v>
      </c>
      <c r="Q49" s="62">
        <v>3.76</v>
      </c>
      <c r="R49" s="62">
        <v>13.2</v>
      </c>
      <c r="S49" s="62">
        <v>0.6</v>
      </c>
      <c r="T49" s="62">
        <v>1.18</v>
      </c>
      <c r="U49" s="62">
        <v>1.42</v>
      </c>
      <c r="V49" s="62">
        <v>1.1100000000000001</v>
      </c>
      <c r="W49" s="62">
        <v>2.4500000000000002</v>
      </c>
      <c r="X49" s="62">
        <v>1.26</v>
      </c>
      <c r="Y49" s="62">
        <v>4.8600000000000003</v>
      </c>
      <c r="Z49" s="62">
        <v>0.16</v>
      </c>
      <c r="AA49" s="62">
        <v>1.72</v>
      </c>
      <c r="AB49" s="62">
        <v>2.04</v>
      </c>
      <c r="AC49" s="62">
        <v>2.73</v>
      </c>
      <c r="AD49" s="62">
        <v>1.07</v>
      </c>
      <c r="AE49" s="62">
        <v>5.55</v>
      </c>
      <c r="AF49" s="62">
        <v>8.9</v>
      </c>
      <c r="AG49" s="62">
        <v>1.36</v>
      </c>
      <c r="AH49" s="62">
        <v>0.86</v>
      </c>
      <c r="AI49" s="62">
        <v>1.29</v>
      </c>
      <c r="AJ49" s="62">
        <v>4.51</v>
      </c>
      <c r="AK49" s="62">
        <v>1.75</v>
      </c>
      <c r="AL49" s="62">
        <v>0.86</v>
      </c>
      <c r="AM49" s="62">
        <v>0.98</v>
      </c>
      <c r="AN49" s="62">
        <v>1.29</v>
      </c>
      <c r="AO49" s="62">
        <v>2.36</v>
      </c>
      <c r="AP49" s="62">
        <v>2.76</v>
      </c>
      <c r="AQ49" s="62">
        <v>1.03</v>
      </c>
      <c r="AR49" s="62">
        <v>4.07</v>
      </c>
      <c r="AS49" s="62">
        <v>3.44</v>
      </c>
      <c r="AT49" s="62">
        <v>1.26</v>
      </c>
      <c r="AU49" s="62">
        <v>2.66</v>
      </c>
      <c r="AV49" s="62">
        <v>0.89</v>
      </c>
      <c r="AX49" s="62">
        <v>1.2</v>
      </c>
      <c r="AY49" s="62">
        <v>1.02</v>
      </c>
      <c r="AZ49" s="62">
        <v>0.7</v>
      </c>
      <c r="BA49" s="62">
        <v>2.65</v>
      </c>
      <c r="BC49" s="62">
        <v>1.06</v>
      </c>
      <c r="BD49" s="62">
        <v>0.92</v>
      </c>
      <c r="BE49" s="62">
        <v>2.25</v>
      </c>
      <c r="BF49" s="62">
        <v>1.22</v>
      </c>
      <c r="BG49" s="62">
        <v>1.19</v>
      </c>
      <c r="BH49" s="62">
        <v>0.8</v>
      </c>
      <c r="BI49" s="62">
        <v>2.0499999999999998</v>
      </c>
      <c r="BJ49" s="62">
        <v>0.64</v>
      </c>
      <c r="BK49" s="62">
        <v>3.52</v>
      </c>
      <c r="BL49" s="62">
        <v>0.72</v>
      </c>
      <c r="BN49" s="62">
        <v>0.76</v>
      </c>
      <c r="BO49" s="62">
        <v>0.4</v>
      </c>
      <c r="BQ49" s="62">
        <v>3.5</v>
      </c>
      <c r="BS49" s="62">
        <v>5.5</v>
      </c>
      <c r="BT49" s="62">
        <v>-2.52</v>
      </c>
      <c r="BU49" s="62">
        <v>1.1499999999999999</v>
      </c>
      <c r="BV49" s="62">
        <v>3.89</v>
      </c>
      <c r="BW49" s="62">
        <v>2.85</v>
      </c>
      <c r="BX49" s="62">
        <v>1.06</v>
      </c>
      <c r="BY49" s="62">
        <v>15.5</v>
      </c>
      <c r="BZ49" s="62">
        <v>1.05</v>
      </c>
      <c r="CA49" s="62">
        <v>22.07</v>
      </c>
      <c r="CB49" s="62">
        <v>0.55000000000000004</v>
      </c>
      <c r="CC49" s="62">
        <v>5.46</v>
      </c>
      <c r="CD49" s="62">
        <v>0.63</v>
      </c>
      <c r="CE49" s="62">
        <v>2.96</v>
      </c>
      <c r="CF49" s="62">
        <v>0.96</v>
      </c>
      <c r="CG49" s="62">
        <v>1.94</v>
      </c>
      <c r="CH49" s="62">
        <v>1.1299999999999999</v>
      </c>
      <c r="CI49" s="62">
        <v>4.0599999999999996</v>
      </c>
      <c r="CJ49" s="62">
        <v>0.78</v>
      </c>
      <c r="CK49" s="62">
        <v>5.77</v>
      </c>
      <c r="CL49" s="62">
        <v>1.86</v>
      </c>
      <c r="CM49" s="62">
        <v>2.5299999999999998</v>
      </c>
      <c r="CN49" s="62">
        <v>1.35</v>
      </c>
      <c r="CO49" s="62">
        <v>2.2400000000000002</v>
      </c>
      <c r="CP49" s="62">
        <v>0.53</v>
      </c>
      <c r="CQ49" s="62">
        <v>3.89</v>
      </c>
      <c r="CR49" s="62">
        <v>7.31</v>
      </c>
      <c r="CS49" s="62">
        <v>3.28</v>
      </c>
      <c r="CT49" s="62">
        <v>-2.94</v>
      </c>
      <c r="CU49" s="62">
        <v>3.69</v>
      </c>
      <c r="CV49" s="62">
        <v>1.08</v>
      </c>
      <c r="CW49" s="62">
        <v>1.08</v>
      </c>
      <c r="CX49" s="62">
        <v>2.09</v>
      </c>
      <c r="CY49" s="62">
        <v>1.49</v>
      </c>
      <c r="CZ49" s="62">
        <v>0.75</v>
      </c>
      <c r="DA49" s="62">
        <v>0.98</v>
      </c>
      <c r="DB49" s="62">
        <v>6.26</v>
      </c>
      <c r="DC49" s="62">
        <v>1.5</v>
      </c>
      <c r="DD49" s="62">
        <v>4.3</v>
      </c>
      <c r="DF49" s="62">
        <v>1.47</v>
      </c>
      <c r="DG49" s="62">
        <v>1.48</v>
      </c>
      <c r="DH49" s="62">
        <v>-14.29</v>
      </c>
      <c r="DJ49" s="62">
        <v>1.49</v>
      </c>
      <c r="DK49" s="62">
        <v>1.3</v>
      </c>
      <c r="DL49" s="62">
        <v>6.62</v>
      </c>
      <c r="DM49" s="62">
        <v>1.24</v>
      </c>
      <c r="DN49" s="62">
        <v>1.75</v>
      </c>
      <c r="DO49" s="62">
        <v>3.58</v>
      </c>
      <c r="DP49" s="62">
        <v>4.7300000000000004</v>
      </c>
    </row>
    <row r="50" spans="1:120" x14ac:dyDescent="0.3">
      <c r="A50" s="64" t="s">
        <v>9070</v>
      </c>
      <c r="B50" s="62">
        <v>1.41</v>
      </c>
      <c r="C50" s="62">
        <v>7.23</v>
      </c>
      <c r="D50" s="62">
        <v>10.84</v>
      </c>
      <c r="E50" s="62">
        <v>1.57</v>
      </c>
      <c r="F50" s="62">
        <v>-14.78</v>
      </c>
      <c r="G50" s="62">
        <v>0.8</v>
      </c>
      <c r="H50" s="62">
        <v>1.1499999999999999</v>
      </c>
      <c r="I50" s="62">
        <v>0.96</v>
      </c>
      <c r="J50" s="62">
        <v>0.91</v>
      </c>
      <c r="K50" s="62">
        <v>1.76</v>
      </c>
      <c r="L50" s="62">
        <v>1.07</v>
      </c>
      <c r="M50" s="62">
        <v>2.08</v>
      </c>
      <c r="N50" s="62">
        <v>0.94</v>
      </c>
      <c r="O50" s="62">
        <v>200</v>
      </c>
      <c r="P50" s="62">
        <v>9.1199999999999992</v>
      </c>
      <c r="Q50" s="62">
        <v>3.8</v>
      </c>
      <c r="R50" s="62">
        <v>12.64</v>
      </c>
      <c r="S50" s="62">
        <v>0.6</v>
      </c>
      <c r="T50" s="62">
        <v>1.03</v>
      </c>
      <c r="U50" s="62">
        <v>1.8</v>
      </c>
      <c r="V50" s="62">
        <v>1.1000000000000001</v>
      </c>
      <c r="W50" s="62">
        <v>2.5</v>
      </c>
      <c r="X50" s="62">
        <v>1.2</v>
      </c>
      <c r="Y50" s="62">
        <v>5.3</v>
      </c>
      <c r="Z50" s="62">
        <v>0.81</v>
      </c>
      <c r="AA50" s="62">
        <v>1.9</v>
      </c>
      <c r="AB50" s="62">
        <v>1.91</v>
      </c>
      <c r="AC50" s="62">
        <v>2.75</v>
      </c>
      <c r="AD50" s="62">
        <v>1.1299999999999999</v>
      </c>
      <c r="AE50" s="62">
        <v>5.18</v>
      </c>
      <c r="AF50" s="62">
        <v>9.26</v>
      </c>
      <c r="AG50" s="62">
        <v>1.37</v>
      </c>
      <c r="AH50" s="62">
        <v>0.87</v>
      </c>
      <c r="AI50" s="62">
        <v>1.4</v>
      </c>
      <c r="AJ50" s="62">
        <v>4.47</v>
      </c>
      <c r="AK50" s="62">
        <v>1.75</v>
      </c>
      <c r="AL50" s="62">
        <v>0.86</v>
      </c>
      <c r="AM50" s="62">
        <v>0.97</v>
      </c>
      <c r="AN50" s="62">
        <v>1.67</v>
      </c>
      <c r="AO50" s="62">
        <v>2.56</v>
      </c>
      <c r="AP50" s="62">
        <v>2.76</v>
      </c>
      <c r="AQ50" s="62">
        <v>1.03</v>
      </c>
      <c r="AR50" s="62">
        <v>3.84</v>
      </c>
      <c r="AS50" s="62">
        <v>3.54</v>
      </c>
      <c r="AT50" s="62">
        <v>1.26</v>
      </c>
      <c r="AU50" s="62">
        <v>2.66</v>
      </c>
      <c r="AV50" s="62">
        <v>0.95</v>
      </c>
      <c r="AX50" s="62">
        <v>1.2</v>
      </c>
      <c r="AY50" s="62">
        <v>1</v>
      </c>
      <c r="AZ50" s="62">
        <v>0.7</v>
      </c>
      <c r="BA50" s="62">
        <v>2.62</v>
      </c>
      <c r="BC50" s="62">
        <v>1.01</v>
      </c>
      <c r="BD50" s="62">
        <v>0.94</v>
      </c>
      <c r="BE50" s="62">
        <v>1.91</v>
      </c>
      <c r="BF50" s="62">
        <v>1.17</v>
      </c>
      <c r="BG50" s="62">
        <v>1.21</v>
      </c>
      <c r="BH50" s="62">
        <v>0.87</v>
      </c>
      <c r="BI50" s="62">
        <v>2.14</v>
      </c>
      <c r="BJ50" s="62">
        <v>0.5</v>
      </c>
      <c r="BK50" s="62">
        <v>5.4</v>
      </c>
      <c r="BL50" s="62">
        <v>0.72</v>
      </c>
      <c r="BN50" s="62">
        <v>0.71</v>
      </c>
      <c r="BO50" s="62">
        <v>0.44</v>
      </c>
      <c r="BQ50" s="62">
        <v>4.12</v>
      </c>
      <c r="BS50" s="62">
        <v>6.57</v>
      </c>
      <c r="BT50" s="62">
        <v>-2.2400000000000002</v>
      </c>
      <c r="BU50" s="62">
        <v>1.1499999999999999</v>
      </c>
      <c r="BV50" s="62">
        <v>5.44</v>
      </c>
      <c r="BW50" s="62">
        <v>2.87</v>
      </c>
      <c r="BX50" s="62">
        <v>1.07</v>
      </c>
      <c r="BY50" s="62">
        <v>4.26</v>
      </c>
      <c r="BZ50" s="62">
        <v>0.96</v>
      </c>
      <c r="CA50" s="62">
        <v>20.04</v>
      </c>
      <c r="CB50" s="62">
        <v>0.7</v>
      </c>
      <c r="CC50" s="62">
        <v>5.75</v>
      </c>
      <c r="CD50" s="62">
        <v>0.59</v>
      </c>
      <c r="CE50" s="62">
        <v>3.19</v>
      </c>
      <c r="CF50" s="62">
        <v>0.94</v>
      </c>
      <c r="CG50" s="62">
        <v>1.61</v>
      </c>
      <c r="CH50" s="62">
        <v>1.18</v>
      </c>
      <c r="CI50" s="62">
        <v>3.79</v>
      </c>
      <c r="CJ50" s="62">
        <v>0.71</v>
      </c>
      <c r="CK50" s="62">
        <v>6.74</v>
      </c>
      <c r="CL50" s="62">
        <v>1.87</v>
      </c>
      <c r="CM50" s="62">
        <v>2.56</v>
      </c>
      <c r="CN50" s="62">
        <v>1.34</v>
      </c>
      <c r="CO50" s="62">
        <v>1.94</v>
      </c>
      <c r="CP50" s="62">
        <v>0.56000000000000005</v>
      </c>
      <c r="CQ50" s="62">
        <v>3.81</v>
      </c>
      <c r="CR50" s="62">
        <v>7.31</v>
      </c>
      <c r="CS50" s="62">
        <v>3.26</v>
      </c>
      <c r="CT50" s="62">
        <v>-3.24</v>
      </c>
      <c r="CU50" s="62">
        <v>3.59</v>
      </c>
      <c r="CV50" s="62">
        <v>1.1100000000000001</v>
      </c>
      <c r="CW50" s="62">
        <v>1.1000000000000001</v>
      </c>
      <c r="CX50" s="62">
        <v>1.66</v>
      </c>
      <c r="CY50" s="62">
        <v>1.8</v>
      </c>
      <c r="CZ50" s="62">
        <v>0.75</v>
      </c>
      <c r="DA50" s="62">
        <v>1.02</v>
      </c>
      <c r="DB50" s="62">
        <v>9.9499999999999993</v>
      </c>
      <c r="DC50" s="62">
        <v>1.56</v>
      </c>
      <c r="DD50" s="62">
        <v>4.3</v>
      </c>
      <c r="DF50" s="62">
        <v>1.47</v>
      </c>
      <c r="DG50" s="62">
        <v>1.44</v>
      </c>
      <c r="DH50" s="62">
        <v>-14.29</v>
      </c>
      <c r="DJ50" s="62">
        <v>1.47</v>
      </c>
      <c r="DK50" s="62">
        <v>1.33</v>
      </c>
      <c r="DL50" s="62">
        <v>3.7</v>
      </c>
      <c r="DM50" s="62">
        <v>1.22</v>
      </c>
      <c r="DN50" s="62">
        <v>1.79</v>
      </c>
      <c r="DO50" s="62">
        <v>7.91</v>
      </c>
      <c r="DP50" s="62">
        <v>4.78</v>
      </c>
    </row>
    <row r="51" spans="1:120" x14ac:dyDescent="0.3">
      <c r="A51" s="64" t="s">
        <v>9071</v>
      </c>
      <c r="B51" s="62">
        <v>1.31</v>
      </c>
      <c r="C51" s="62">
        <v>9.64</v>
      </c>
      <c r="D51" s="62">
        <v>9.6</v>
      </c>
      <c r="E51" s="62">
        <v>1.57</v>
      </c>
      <c r="F51" s="62">
        <v>-14.49</v>
      </c>
      <c r="G51" s="62">
        <v>1.59</v>
      </c>
      <c r="H51" s="62">
        <v>1.1399999999999999</v>
      </c>
      <c r="I51" s="62">
        <v>0.94</v>
      </c>
      <c r="J51" s="62">
        <v>0.86</v>
      </c>
      <c r="K51" s="62">
        <v>1.71</v>
      </c>
      <c r="L51" s="62">
        <v>1.05</v>
      </c>
      <c r="M51" s="62">
        <v>2.04</v>
      </c>
      <c r="N51" s="62">
        <v>0.94</v>
      </c>
      <c r="O51" s="62">
        <v>200</v>
      </c>
      <c r="P51" s="62">
        <v>8.01</v>
      </c>
      <c r="Q51" s="62">
        <v>3.09</v>
      </c>
      <c r="R51" s="62">
        <v>11.75</v>
      </c>
      <c r="S51" s="62">
        <v>0.54</v>
      </c>
      <c r="T51" s="62">
        <v>1.04</v>
      </c>
      <c r="U51" s="62">
        <v>1.73</v>
      </c>
      <c r="V51" s="62">
        <v>1.0900000000000001</v>
      </c>
      <c r="W51" s="62">
        <v>2.58</v>
      </c>
      <c r="X51" s="62">
        <v>1.17</v>
      </c>
      <c r="Y51" s="62">
        <v>5.3</v>
      </c>
      <c r="Z51" s="62">
        <v>0.81</v>
      </c>
      <c r="AA51" s="62">
        <v>1.89</v>
      </c>
      <c r="AB51" s="62">
        <v>1.89</v>
      </c>
      <c r="AC51" s="62">
        <v>2.33</v>
      </c>
      <c r="AD51" s="62">
        <v>1.1200000000000001</v>
      </c>
      <c r="AE51" s="62">
        <v>4.4400000000000004</v>
      </c>
      <c r="AF51" s="62">
        <v>9.0399999999999991</v>
      </c>
      <c r="AG51" s="62">
        <v>1.31</v>
      </c>
      <c r="AH51" s="62">
        <v>0.87</v>
      </c>
      <c r="AI51" s="62">
        <v>1.39</v>
      </c>
      <c r="AJ51" s="62">
        <v>4.5999999999999996</v>
      </c>
      <c r="AK51" s="62">
        <v>1.48</v>
      </c>
      <c r="AL51" s="62">
        <v>0.86</v>
      </c>
      <c r="AM51" s="62">
        <v>0.93</v>
      </c>
      <c r="AN51" s="62">
        <v>1.43</v>
      </c>
      <c r="AO51" s="62">
        <v>2.41</v>
      </c>
      <c r="AP51" s="62">
        <v>2.76</v>
      </c>
      <c r="AQ51" s="62">
        <v>1.04</v>
      </c>
      <c r="AR51" s="62">
        <v>3.78</v>
      </c>
      <c r="AS51" s="62">
        <v>3.53</v>
      </c>
      <c r="AT51" s="62">
        <v>1.18</v>
      </c>
      <c r="AU51" s="62">
        <v>2.74</v>
      </c>
      <c r="AV51" s="62">
        <v>0.9</v>
      </c>
      <c r="AX51" s="62">
        <v>0.99</v>
      </c>
      <c r="AY51" s="62">
        <v>1.02</v>
      </c>
      <c r="AZ51" s="62">
        <v>0.69</v>
      </c>
      <c r="BA51" s="62">
        <v>2.56</v>
      </c>
      <c r="BC51" s="62">
        <v>0.97</v>
      </c>
      <c r="BD51" s="62">
        <v>0.95</v>
      </c>
      <c r="BE51" s="62">
        <v>1.91</v>
      </c>
      <c r="BF51" s="62">
        <v>1.1200000000000001</v>
      </c>
      <c r="BG51" s="62">
        <v>1.19</v>
      </c>
      <c r="BH51" s="62">
        <v>0.83</v>
      </c>
      <c r="BI51" s="62">
        <v>2.02</v>
      </c>
      <c r="BJ51" s="62">
        <v>0.5</v>
      </c>
      <c r="BK51" s="62">
        <v>4.7</v>
      </c>
      <c r="BL51" s="62">
        <v>0.72</v>
      </c>
      <c r="BN51" s="62">
        <v>0.7</v>
      </c>
      <c r="BO51" s="62">
        <v>0.4</v>
      </c>
      <c r="BQ51" s="62">
        <v>4.04</v>
      </c>
      <c r="BS51" s="62">
        <v>5.43</v>
      </c>
      <c r="BT51" s="62">
        <v>-1.79</v>
      </c>
      <c r="BU51" s="62">
        <v>1.1399999999999999</v>
      </c>
      <c r="BV51" s="62">
        <v>5.81</v>
      </c>
      <c r="BW51" s="62">
        <v>2.85</v>
      </c>
      <c r="BX51" s="62">
        <v>1.06</v>
      </c>
      <c r="BY51" s="62">
        <v>3.41</v>
      </c>
      <c r="BZ51" s="62">
        <v>0.98</v>
      </c>
      <c r="CA51" s="62">
        <v>20.04</v>
      </c>
      <c r="CB51" s="62">
        <v>0.6</v>
      </c>
      <c r="CC51" s="62">
        <v>5.47</v>
      </c>
      <c r="CD51" s="62">
        <v>0.44</v>
      </c>
      <c r="CE51" s="62">
        <v>2.96</v>
      </c>
      <c r="CF51" s="62">
        <v>0.96</v>
      </c>
      <c r="CG51" s="62">
        <v>1.49</v>
      </c>
      <c r="CH51" s="62">
        <v>1.1399999999999999</v>
      </c>
      <c r="CI51" s="62">
        <v>4.0599999999999996</v>
      </c>
      <c r="CJ51" s="62">
        <v>0.75</v>
      </c>
      <c r="CK51" s="62">
        <v>6.22</v>
      </c>
      <c r="CL51" s="62">
        <v>1.79</v>
      </c>
      <c r="CM51" s="62">
        <v>2.72</v>
      </c>
      <c r="CN51" s="62">
        <v>1.33</v>
      </c>
      <c r="CO51" s="62">
        <v>1.65</v>
      </c>
      <c r="CP51" s="62">
        <v>0.54</v>
      </c>
      <c r="CQ51" s="62">
        <v>3.6</v>
      </c>
      <c r="CR51" s="62">
        <v>7.08</v>
      </c>
      <c r="CS51" s="62">
        <v>3.17</v>
      </c>
      <c r="CT51" s="62">
        <v>-2.36</v>
      </c>
      <c r="CU51" s="62">
        <v>3.66</v>
      </c>
      <c r="CV51" s="62">
        <v>1.07</v>
      </c>
      <c r="CW51" s="62">
        <v>1.0900000000000001</v>
      </c>
      <c r="CX51" s="62">
        <v>1.62</v>
      </c>
      <c r="CY51" s="62">
        <v>1.64</v>
      </c>
      <c r="CZ51" s="62">
        <v>0.75</v>
      </c>
      <c r="DA51" s="62">
        <v>0.95</v>
      </c>
      <c r="DB51" s="62">
        <v>9.31</v>
      </c>
      <c r="DC51" s="62">
        <v>1.57</v>
      </c>
      <c r="DD51" s="62">
        <v>4.3</v>
      </c>
      <c r="DF51" s="62">
        <v>1.51</v>
      </c>
      <c r="DG51" s="62">
        <v>1.38</v>
      </c>
      <c r="DH51" s="62">
        <v>-28.57</v>
      </c>
      <c r="DJ51" s="62">
        <v>1.42</v>
      </c>
      <c r="DK51" s="62">
        <v>1.33</v>
      </c>
      <c r="DL51" s="62">
        <v>3.34</v>
      </c>
      <c r="DM51" s="62">
        <v>1.25</v>
      </c>
      <c r="DN51" s="62">
        <v>1.79</v>
      </c>
      <c r="DO51" s="62">
        <v>5.93</v>
      </c>
      <c r="DP51" s="62">
        <v>4.76</v>
      </c>
    </row>
    <row r="52" spans="1:120" x14ac:dyDescent="0.3">
      <c r="A52" s="64" t="s">
        <v>9072</v>
      </c>
      <c r="B52" s="62">
        <v>1.34</v>
      </c>
      <c r="C52" s="62">
        <v>8.43</v>
      </c>
      <c r="D52" s="62">
        <v>9.06</v>
      </c>
      <c r="E52" s="62">
        <v>1.48</v>
      </c>
      <c r="F52" s="62">
        <v>-14.49</v>
      </c>
      <c r="G52" s="62">
        <v>1.59</v>
      </c>
      <c r="H52" s="62">
        <v>1.1399999999999999</v>
      </c>
      <c r="I52" s="62">
        <v>0.94</v>
      </c>
      <c r="J52" s="62">
        <v>0.85</v>
      </c>
      <c r="K52" s="62">
        <v>1.93</v>
      </c>
      <c r="L52" s="62">
        <v>1.03</v>
      </c>
      <c r="M52" s="62">
        <v>1.95</v>
      </c>
      <c r="N52" s="62">
        <v>0.94</v>
      </c>
      <c r="O52" s="62">
        <v>200</v>
      </c>
      <c r="P52" s="62">
        <v>8.01</v>
      </c>
      <c r="Q52" s="62">
        <v>3.16</v>
      </c>
      <c r="R52" s="62">
        <v>9.08</v>
      </c>
      <c r="S52" s="62">
        <v>0.51</v>
      </c>
      <c r="T52" s="62">
        <v>1.1000000000000001</v>
      </c>
      <c r="U52" s="62">
        <v>1.8</v>
      </c>
      <c r="V52" s="62">
        <v>1.1000000000000001</v>
      </c>
      <c r="W52" s="62">
        <v>2.73</v>
      </c>
      <c r="X52" s="62">
        <v>1.1299999999999999</v>
      </c>
      <c r="Y52" s="62">
        <v>4.95</v>
      </c>
      <c r="Z52" s="62">
        <v>0.81</v>
      </c>
      <c r="AA52" s="62">
        <v>1.9</v>
      </c>
      <c r="AB52" s="62">
        <v>2.2400000000000002</v>
      </c>
      <c r="AC52" s="62">
        <v>2.37</v>
      </c>
      <c r="AD52" s="62">
        <v>1.08</v>
      </c>
      <c r="AE52" s="62">
        <v>4.26</v>
      </c>
      <c r="AF52" s="62">
        <v>9.4600000000000009</v>
      </c>
      <c r="AG52" s="62">
        <v>1.31</v>
      </c>
      <c r="AH52" s="62">
        <v>0.85</v>
      </c>
      <c r="AI52" s="62">
        <v>1.39</v>
      </c>
      <c r="AJ52" s="62">
        <v>4.3600000000000003</v>
      </c>
      <c r="AK52" s="62">
        <v>1.28</v>
      </c>
      <c r="AL52" s="62">
        <v>0.86</v>
      </c>
      <c r="AM52" s="62">
        <v>0.98</v>
      </c>
      <c r="AN52" s="62">
        <v>1.31</v>
      </c>
      <c r="AO52" s="62">
        <v>2.21</v>
      </c>
      <c r="AP52" s="62">
        <v>2.0699999999999998</v>
      </c>
      <c r="AQ52" s="62">
        <v>1.04</v>
      </c>
      <c r="AR52" s="62">
        <v>3.93</v>
      </c>
      <c r="AS52" s="62">
        <v>3.07</v>
      </c>
      <c r="AT52" s="62">
        <v>1.1100000000000001</v>
      </c>
      <c r="AU52" s="62">
        <v>2.63</v>
      </c>
      <c r="AV52" s="62">
        <v>0.9</v>
      </c>
      <c r="AX52" s="62">
        <v>1.3</v>
      </c>
      <c r="AY52" s="62">
        <v>1.02</v>
      </c>
      <c r="AZ52" s="62">
        <v>0.52</v>
      </c>
      <c r="BA52" s="62">
        <v>2.5</v>
      </c>
      <c r="BC52" s="62">
        <v>0.99</v>
      </c>
      <c r="BD52" s="62">
        <v>0.95</v>
      </c>
      <c r="BE52" s="62">
        <v>1.5</v>
      </c>
      <c r="BF52" s="62">
        <v>1.1100000000000001</v>
      </c>
      <c r="BG52" s="62">
        <v>1.26</v>
      </c>
      <c r="BH52" s="62">
        <v>0.89</v>
      </c>
      <c r="BI52" s="62">
        <v>1.94</v>
      </c>
      <c r="BJ52" s="62">
        <v>0.52</v>
      </c>
      <c r="BK52" s="62">
        <v>4.3</v>
      </c>
      <c r="BL52" s="62">
        <v>0.52</v>
      </c>
      <c r="BN52" s="62">
        <v>0.75</v>
      </c>
      <c r="BO52" s="62">
        <v>0.43</v>
      </c>
      <c r="BQ52" s="62">
        <v>3.89</v>
      </c>
      <c r="BS52" s="62">
        <v>6.44</v>
      </c>
      <c r="BT52" s="62">
        <v>-1.96</v>
      </c>
      <c r="BU52" s="62">
        <v>1.1499999999999999</v>
      </c>
      <c r="BV52" s="62">
        <v>4.57</v>
      </c>
      <c r="BW52" s="62">
        <v>2.81</v>
      </c>
      <c r="BX52" s="62">
        <v>1.04</v>
      </c>
      <c r="BY52" s="62">
        <v>3.41</v>
      </c>
      <c r="BZ52" s="62">
        <v>0.96</v>
      </c>
      <c r="CA52" s="62">
        <v>19.47</v>
      </c>
      <c r="CB52" s="62">
        <v>0.53</v>
      </c>
      <c r="CC52" s="62">
        <v>2.61</v>
      </c>
      <c r="CD52" s="62">
        <v>0.47</v>
      </c>
      <c r="CE52" s="62">
        <v>3.03</v>
      </c>
      <c r="CF52" s="62">
        <v>1.07</v>
      </c>
      <c r="CG52" s="62">
        <v>1.53</v>
      </c>
      <c r="CH52" s="62">
        <v>1.1599999999999999</v>
      </c>
      <c r="CI52" s="62">
        <v>3.51</v>
      </c>
      <c r="CJ52" s="62">
        <v>0.78</v>
      </c>
      <c r="CK52" s="62">
        <v>5.54</v>
      </c>
      <c r="CL52" s="62">
        <v>1.61</v>
      </c>
      <c r="CM52" s="62">
        <v>2.56</v>
      </c>
      <c r="CN52" s="62">
        <v>1.22</v>
      </c>
      <c r="CO52" s="62">
        <v>1.72</v>
      </c>
      <c r="CP52" s="62">
        <v>0.51</v>
      </c>
      <c r="CQ52" s="62">
        <v>3.27</v>
      </c>
      <c r="CR52" s="62">
        <v>8.2100000000000009</v>
      </c>
      <c r="CS52" s="62">
        <v>3.43</v>
      </c>
      <c r="CT52" s="62">
        <v>-2.36</v>
      </c>
      <c r="CU52" s="62">
        <v>3.83</v>
      </c>
      <c r="CV52" s="62">
        <v>1.1599999999999999</v>
      </c>
      <c r="CW52" s="62">
        <v>1.08</v>
      </c>
      <c r="CX52" s="62">
        <v>1.59</v>
      </c>
      <c r="CY52" s="62">
        <v>1.54</v>
      </c>
      <c r="CZ52" s="62">
        <v>0.75</v>
      </c>
      <c r="DA52" s="62">
        <v>0.98</v>
      </c>
      <c r="DB52" s="62">
        <v>9.52</v>
      </c>
      <c r="DC52" s="62">
        <v>1.49</v>
      </c>
      <c r="DD52" s="62">
        <v>4.3</v>
      </c>
      <c r="DF52" s="62">
        <v>1.61</v>
      </c>
      <c r="DG52" s="62">
        <v>1.2</v>
      </c>
      <c r="DH52" s="62">
        <v>-14.29</v>
      </c>
      <c r="DJ52" s="62">
        <v>1.32</v>
      </c>
      <c r="DK52" s="62">
        <v>1.37</v>
      </c>
      <c r="DL52" s="62">
        <v>3.06</v>
      </c>
      <c r="DM52" s="62">
        <v>1.26</v>
      </c>
      <c r="DN52" s="62">
        <v>1.79</v>
      </c>
      <c r="DO52" s="62">
        <v>7.51</v>
      </c>
      <c r="DP52" s="62">
        <v>4.59</v>
      </c>
    </row>
    <row r="53" spans="1:120" x14ac:dyDescent="0.3">
      <c r="A53" s="64" t="s">
        <v>9073</v>
      </c>
      <c r="B53" s="62">
        <v>1.34</v>
      </c>
      <c r="C53" s="62">
        <v>5.56</v>
      </c>
      <c r="D53" s="62">
        <v>14.46</v>
      </c>
      <c r="E53" s="62">
        <v>1.52</v>
      </c>
      <c r="F53" s="62">
        <v>-14.49</v>
      </c>
      <c r="G53" s="62">
        <v>4.03</v>
      </c>
      <c r="H53" s="62">
        <v>1.1000000000000001</v>
      </c>
      <c r="I53" s="62">
        <v>0.9</v>
      </c>
      <c r="J53" s="62">
        <v>0.92</v>
      </c>
      <c r="K53" s="62">
        <v>1.94</v>
      </c>
      <c r="L53" s="62">
        <v>1.07</v>
      </c>
      <c r="M53" s="62">
        <v>2.06</v>
      </c>
      <c r="N53" s="62">
        <v>0.95</v>
      </c>
      <c r="O53" s="62">
        <v>-3.22</v>
      </c>
      <c r="P53" s="62">
        <v>7.44</v>
      </c>
      <c r="Q53" s="62">
        <v>3.21</v>
      </c>
      <c r="R53" s="62">
        <v>9.41</v>
      </c>
      <c r="S53" s="62">
        <v>0.56000000000000005</v>
      </c>
      <c r="T53" s="62">
        <v>1.08</v>
      </c>
      <c r="U53" s="62">
        <v>1.85</v>
      </c>
      <c r="V53" s="62">
        <v>1.25</v>
      </c>
      <c r="W53" s="62">
        <v>2.97</v>
      </c>
      <c r="X53" s="62">
        <v>1.26</v>
      </c>
      <c r="Y53" s="62">
        <v>-261.89999999999998</v>
      </c>
      <c r="Z53" s="62">
        <v>0.81</v>
      </c>
      <c r="AA53" s="62">
        <v>1.87</v>
      </c>
      <c r="AB53" s="62">
        <v>2.37</v>
      </c>
      <c r="AC53" s="62">
        <v>3.64</v>
      </c>
      <c r="AD53" s="62">
        <v>1.1000000000000001</v>
      </c>
      <c r="AE53" s="62">
        <v>4.16</v>
      </c>
      <c r="AF53" s="62">
        <v>8.36</v>
      </c>
      <c r="AG53" s="62">
        <v>1.42</v>
      </c>
      <c r="AH53" s="62">
        <v>0.84</v>
      </c>
      <c r="AI53" s="62">
        <v>1.39</v>
      </c>
      <c r="AJ53" s="62">
        <v>4.53</v>
      </c>
      <c r="AK53" s="62">
        <v>1</v>
      </c>
      <c r="AL53" s="62">
        <v>1.1200000000000001</v>
      </c>
      <c r="AM53" s="62">
        <v>1.02</v>
      </c>
      <c r="AN53" s="62">
        <v>1.25</v>
      </c>
      <c r="AO53" s="62">
        <v>2.5099999999999998</v>
      </c>
      <c r="AP53" s="62">
        <v>2.0699999999999998</v>
      </c>
      <c r="AQ53" s="62">
        <v>1.02</v>
      </c>
      <c r="AR53" s="62">
        <v>3.51</v>
      </c>
      <c r="AS53" s="62">
        <v>3.23</v>
      </c>
      <c r="AT53" s="62">
        <v>1.17</v>
      </c>
      <c r="AU53" s="62">
        <v>3.81</v>
      </c>
      <c r="AV53" s="62">
        <v>0.94</v>
      </c>
      <c r="AX53" s="62">
        <v>1.2</v>
      </c>
      <c r="AY53" s="62">
        <v>1.04</v>
      </c>
      <c r="AZ53" s="62">
        <v>0.38</v>
      </c>
      <c r="BA53" s="62">
        <v>2.4500000000000002</v>
      </c>
      <c r="BC53" s="62">
        <v>0.97</v>
      </c>
      <c r="BD53" s="62">
        <v>1</v>
      </c>
      <c r="BE53" s="62">
        <v>1.0900000000000001</v>
      </c>
      <c r="BF53" s="62">
        <v>1.21</v>
      </c>
      <c r="BG53" s="62">
        <v>1.32</v>
      </c>
      <c r="BH53" s="62">
        <v>0.97</v>
      </c>
      <c r="BI53" s="62">
        <v>2.0099999999999998</v>
      </c>
      <c r="BJ53" s="62">
        <v>0.56000000000000005</v>
      </c>
      <c r="BK53" s="62">
        <v>4.54</v>
      </c>
      <c r="BL53" s="62">
        <v>0.44</v>
      </c>
      <c r="BN53" s="62">
        <v>0.8</v>
      </c>
      <c r="BO53" s="62">
        <v>0.4</v>
      </c>
      <c r="BQ53" s="62">
        <v>3.97</v>
      </c>
      <c r="BS53" s="62">
        <v>12.65</v>
      </c>
      <c r="BT53" s="62">
        <v>-2.56</v>
      </c>
      <c r="BU53" s="62">
        <v>1.1100000000000001</v>
      </c>
      <c r="BV53" s="62">
        <v>10.14</v>
      </c>
      <c r="BW53" s="62">
        <v>2.84</v>
      </c>
      <c r="BX53" s="62">
        <v>1.08</v>
      </c>
      <c r="BY53" s="62">
        <v>3.12</v>
      </c>
      <c r="BZ53" s="62">
        <v>0.98</v>
      </c>
      <c r="CA53" s="62">
        <v>21.48</v>
      </c>
      <c r="CB53" s="62">
        <v>0.77</v>
      </c>
      <c r="CC53" s="62">
        <v>3.05</v>
      </c>
      <c r="CD53" s="62">
        <v>0.53</v>
      </c>
      <c r="CE53" s="62">
        <v>2.5299999999999998</v>
      </c>
      <c r="CF53" s="62">
        <v>1.04</v>
      </c>
      <c r="CG53" s="62">
        <v>2.0099999999999998</v>
      </c>
      <c r="CH53" s="62">
        <v>1.33</v>
      </c>
      <c r="CI53" s="62">
        <v>3.27</v>
      </c>
      <c r="CJ53" s="62">
        <v>0.77</v>
      </c>
      <c r="CK53" s="62">
        <v>7.88</v>
      </c>
      <c r="CL53" s="62">
        <v>1.65</v>
      </c>
      <c r="CM53" s="62">
        <v>2.89</v>
      </c>
      <c r="CN53" s="62">
        <v>1.46</v>
      </c>
      <c r="CO53" s="62">
        <v>2.21</v>
      </c>
      <c r="CP53" s="62">
        <v>0.53</v>
      </c>
      <c r="CQ53" s="62">
        <v>12.71</v>
      </c>
      <c r="CR53" s="62">
        <v>9.1999999999999993</v>
      </c>
      <c r="CS53" s="62">
        <v>3.35</v>
      </c>
      <c r="CT53" s="62">
        <v>-8.0500000000000007</v>
      </c>
      <c r="CU53" s="62">
        <v>3.87</v>
      </c>
      <c r="CV53" s="62">
        <v>1.1100000000000001</v>
      </c>
      <c r="CW53" s="62">
        <v>1.1000000000000001</v>
      </c>
      <c r="CX53" s="62">
        <v>1.78</v>
      </c>
      <c r="CY53" s="62">
        <v>1.87</v>
      </c>
      <c r="CZ53" s="62">
        <v>0.77</v>
      </c>
      <c r="DA53" s="62">
        <v>1.1100000000000001</v>
      </c>
      <c r="DB53" s="62">
        <v>10.17</v>
      </c>
      <c r="DC53" s="62">
        <v>1.3</v>
      </c>
      <c r="DD53" s="62">
        <v>6.25</v>
      </c>
      <c r="DF53" s="62">
        <v>1.79</v>
      </c>
      <c r="DG53" s="62">
        <v>1.34</v>
      </c>
      <c r="DH53" s="62">
        <v>-11.11</v>
      </c>
      <c r="DJ53" s="62">
        <v>1.31</v>
      </c>
      <c r="DK53" s="62">
        <v>1.38</v>
      </c>
      <c r="DL53" s="62">
        <v>3.47</v>
      </c>
      <c r="DM53" s="62">
        <v>1.35</v>
      </c>
      <c r="DN53" s="62">
        <v>1.88</v>
      </c>
      <c r="DO53" s="62">
        <v>9.49</v>
      </c>
      <c r="DP53" s="62">
        <v>3.9</v>
      </c>
    </row>
    <row r="54" spans="1:120" x14ac:dyDescent="0.3">
      <c r="A54" s="64" t="s">
        <v>9074</v>
      </c>
      <c r="B54" s="62">
        <v>1.51</v>
      </c>
      <c r="C54" s="62">
        <v>5.56</v>
      </c>
      <c r="D54" s="62">
        <v>15.43</v>
      </c>
      <c r="E54" s="62">
        <v>1.34</v>
      </c>
      <c r="F54" s="62">
        <v>-14.2</v>
      </c>
      <c r="G54" s="62">
        <v>4.03</v>
      </c>
      <c r="H54" s="62">
        <v>1.1100000000000001</v>
      </c>
      <c r="I54" s="62">
        <v>0.94</v>
      </c>
      <c r="J54" s="62">
        <v>0.95</v>
      </c>
      <c r="K54" s="62">
        <v>1.87</v>
      </c>
      <c r="L54" s="62">
        <v>1.1599999999999999</v>
      </c>
      <c r="M54" s="62">
        <v>2.14</v>
      </c>
      <c r="N54" s="62">
        <v>0.94</v>
      </c>
      <c r="O54" s="62">
        <v>-3.22</v>
      </c>
      <c r="P54" s="62">
        <v>9.3699999999999992</v>
      </c>
      <c r="Q54" s="62">
        <v>3.26</v>
      </c>
      <c r="R54" s="62">
        <v>8.75</v>
      </c>
      <c r="S54" s="62">
        <v>0.64</v>
      </c>
      <c r="T54" s="62">
        <v>1.1499999999999999</v>
      </c>
      <c r="U54" s="62">
        <v>1.87</v>
      </c>
      <c r="V54" s="62">
        <v>1.27</v>
      </c>
      <c r="W54" s="62">
        <v>3.49</v>
      </c>
      <c r="X54" s="62">
        <v>1.29</v>
      </c>
      <c r="Y54" s="62">
        <v>-261.89999999999998</v>
      </c>
      <c r="Z54" s="62">
        <v>0.65</v>
      </c>
      <c r="AA54" s="62">
        <v>1.9</v>
      </c>
      <c r="AB54" s="62">
        <v>2.21</v>
      </c>
      <c r="AC54" s="62">
        <v>3.5</v>
      </c>
      <c r="AD54" s="62">
        <v>1.1100000000000001</v>
      </c>
      <c r="AE54" s="62">
        <v>3.7</v>
      </c>
      <c r="AF54" s="62">
        <v>7.82</v>
      </c>
      <c r="AG54" s="62">
        <v>1.54</v>
      </c>
      <c r="AH54" s="62">
        <v>0.85</v>
      </c>
      <c r="AI54" s="62">
        <v>1.36</v>
      </c>
      <c r="AJ54" s="62">
        <v>4.78</v>
      </c>
      <c r="AK54" s="62">
        <v>1.65</v>
      </c>
      <c r="AL54" s="62">
        <v>1.1200000000000001</v>
      </c>
      <c r="AM54" s="62">
        <v>1.02</v>
      </c>
      <c r="AN54" s="62">
        <v>1.17</v>
      </c>
      <c r="AO54" s="62">
        <v>2.71</v>
      </c>
      <c r="AP54" s="62">
        <v>2</v>
      </c>
      <c r="AQ54" s="62">
        <v>1.02</v>
      </c>
      <c r="AR54" s="62">
        <v>3.77</v>
      </c>
      <c r="AS54" s="62">
        <v>3.01</v>
      </c>
      <c r="AT54" s="62">
        <v>1.1499999999999999</v>
      </c>
      <c r="AU54" s="62">
        <v>3.93</v>
      </c>
      <c r="AV54" s="62">
        <v>0.93</v>
      </c>
      <c r="AX54" s="62">
        <v>1.07</v>
      </c>
      <c r="AY54" s="62">
        <v>1.06</v>
      </c>
      <c r="AZ54" s="62">
        <v>0.36</v>
      </c>
      <c r="BA54" s="62">
        <v>2.57</v>
      </c>
      <c r="BC54" s="62">
        <v>0.97</v>
      </c>
      <c r="BD54" s="62">
        <v>0.99</v>
      </c>
      <c r="BE54" s="62">
        <v>1.1200000000000001</v>
      </c>
      <c r="BF54" s="62">
        <v>1.24</v>
      </c>
      <c r="BG54" s="62">
        <v>1.3</v>
      </c>
      <c r="BH54" s="62">
        <v>0.97</v>
      </c>
      <c r="BI54" s="62">
        <v>2.0499999999999998</v>
      </c>
      <c r="BJ54" s="62">
        <v>0.6</v>
      </c>
      <c r="BK54" s="62">
        <v>4.54</v>
      </c>
      <c r="BL54" s="62">
        <v>1.32</v>
      </c>
      <c r="BN54" s="62">
        <v>0.81</v>
      </c>
      <c r="BO54" s="62">
        <v>0.44</v>
      </c>
      <c r="BQ54" s="62">
        <v>3.89</v>
      </c>
      <c r="BS54" s="62">
        <v>12.08</v>
      </c>
      <c r="BT54" s="62">
        <v>-2.1</v>
      </c>
      <c r="BU54" s="62">
        <v>1.1200000000000001</v>
      </c>
      <c r="BV54" s="62">
        <v>9.5299999999999994</v>
      </c>
      <c r="BW54" s="62">
        <v>2.84</v>
      </c>
      <c r="BX54" s="62">
        <v>1.1000000000000001</v>
      </c>
      <c r="BY54" s="62">
        <v>4.54</v>
      </c>
      <c r="BZ54" s="62">
        <v>0.99</v>
      </c>
      <c r="CA54" s="62">
        <v>21.01</v>
      </c>
      <c r="CB54" s="62">
        <v>0.83</v>
      </c>
      <c r="CC54" s="62">
        <v>3.18</v>
      </c>
      <c r="CD54" s="62">
        <v>0.53</v>
      </c>
      <c r="CE54" s="62">
        <v>2.68</v>
      </c>
      <c r="CF54" s="62">
        <v>1.01</v>
      </c>
      <c r="CG54" s="62">
        <v>2.19</v>
      </c>
      <c r="CH54" s="62">
        <v>1.43</v>
      </c>
      <c r="CI54" s="62">
        <v>3.01</v>
      </c>
      <c r="CJ54" s="62">
        <v>0.85</v>
      </c>
      <c r="CK54" s="62">
        <v>9.7899999999999991</v>
      </c>
      <c r="CL54" s="62">
        <v>1.62</v>
      </c>
      <c r="CM54" s="62">
        <v>2.92</v>
      </c>
      <c r="CN54" s="62">
        <v>1.58</v>
      </c>
      <c r="CO54" s="62">
        <v>2.52</v>
      </c>
      <c r="CP54" s="62">
        <v>0.51</v>
      </c>
      <c r="CQ54" s="62">
        <v>13.1</v>
      </c>
      <c r="CR54" s="62">
        <v>11.32</v>
      </c>
      <c r="CS54" s="62">
        <v>3.57</v>
      </c>
      <c r="CT54" s="62">
        <v>-8.0500000000000007</v>
      </c>
      <c r="CU54" s="62">
        <v>4.01</v>
      </c>
      <c r="CV54" s="62">
        <v>1.1100000000000001</v>
      </c>
      <c r="CW54" s="62">
        <v>1.1000000000000001</v>
      </c>
      <c r="CX54" s="62">
        <v>1.77</v>
      </c>
      <c r="CY54" s="62">
        <v>2.02</v>
      </c>
      <c r="CZ54" s="62">
        <v>0.82</v>
      </c>
      <c r="DA54" s="62">
        <v>1.01</v>
      </c>
      <c r="DB54" s="62">
        <v>9.36</v>
      </c>
      <c r="DC54" s="62">
        <v>1.25</v>
      </c>
      <c r="DD54" s="62">
        <v>6.25</v>
      </c>
      <c r="DF54" s="62">
        <v>1.8</v>
      </c>
      <c r="DG54" s="62">
        <v>1.39</v>
      </c>
      <c r="DH54" s="62">
        <v>-11.11</v>
      </c>
      <c r="DJ54" s="62">
        <v>1.24</v>
      </c>
      <c r="DK54" s="62">
        <v>1.38</v>
      </c>
      <c r="DL54" s="62">
        <v>3.76</v>
      </c>
      <c r="DM54" s="62">
        <v>1.36</v>
      </c>
      <c r="DN54" s="62">
        <v>1.83</v>
      </c>
      <c r="DO54" s="62">
        <v>8.89</v>
      </c>
      <c r="DP54" s="62">
        <v>4.49</v>
      </c>
    </row>
    <row r="55" spans="1:120" x14ac:dyDescent="0.3">
      <c r="A55" s="64" t="s">
        <v>9075</v>
      </c>
      <c r="B55" s="62">
        <v>1.45</v>
      </c>
      <c r="C55" s="62">
        <v>3.7</v>
      </c>
      <c r="D55" s="62">
        <v>15.69</v>
      </c>
      <c r="E55" s="62">
        <v>1.18</v>
      </c>
      <c r="F55" s="62">
        <v>-15.65</v>
      </c>
      <c r="G55" s="62">
        <v>4.03</v>
      </c>
      <c r="H55" s="62">
        <v>1.1200000000000001</v>
      </c>
      <c r="I55" s="62">
        <v>1.1000000000000001</v>
      </c>
      <c r="J55" s="62">
        <v>0.94</v>
      </c>
      <c r="K55" s="62">
        <v>1.91</v>
      </c>
      <c r="L55" s="62">
        <v>1.1399999999999999</v>
      </c>
      <c r="M55" s="62">
        <v>2.06</v>
      </c>
      <c r="N55" s="62">
        <v>0.97</v>
      </c>
      <c r="O55" s="62">
        <v>-3.22</v>
      </c>
      <c r="P55" s="62">
        <v>9.3699999999999992</v>
      </c>
      <c r="Q55" s="62">
        <v>3.3</v>
      </c>
      <c r="R55" s="62">
        <v>9.19</v>
      </c>
      <c r="S55" s="62">
        <v>0.66</v>
      </c>
      <c r="T55" s="62">
        <v>1.18</v>
      </c>
      <c r="U55" s="62">
        <v>1.89</v>
      </c>
      <c r="V55" s="62">
        <v>1.22</v>
      </c>
      <c r="W55" s="62">
        <v>3.71</v>
      </c>
      <c r="X55" s="62">
        <v>1.37</v>
      </c>
      <c r="Y55" s="62">
        <v>-261.89999999999998</v>
      </c>
      <c r="Z55" s="62">
        <v>0.4</v>
      </c>
      <c r="AA55" s="62">
        <v>2.0299999999999998</v>
      </c>
      <c r="AB55" s="62">
        <v>2.27</v>
      </c>
      <c r="AC55" s="62">
        <v>3.27</v>
      </c>
      <c r="AD55" s="62">
        <v>0.99</v>
      </c>
      <c r="AE55" s="62">
        <v>4.16</v>
      </c>
      <c r="AF55" s="62">
        <v>9.2100000000000009</v>
      </c>
      <c r="AG55" s="62">
        <v>1.65</v>
      </c>
      <c r="AH55" s="62">
        <v>0.93</v>
      </c>
      <c r="AI55" s="62">
        <v>1.34</v>
      </c>
      <c r="AJ55" s="62">
        <v>4.91</v>
      </c>
      <c r="AK55" s="62">
        <v>1.72</v>
      </c>
      <c r="AL55" s="62">
        <v>1.1200000000000001</v>
      </c>
      <c r="AM55" s="62">
        <v>1.05</v>
      </c>
      <c r="AN55" s="62">
        <v>1.1299999999999999</v>
      </c>
      <c r="AO55" s="62">
        <v>2.87</v>
      </c>
      <c r="AP55" s="62">
        <v>2</v>
      </c>
      <c r="AQ55" s="62">
        <v>1.02</v>
      </c>
      <c r="AR55" s="62">
        <v>3.7</v>
      </c>
      <c r="AS55" s="62">
        <v>2.89</v>
      </c>
      <c r="AT55" s="62">
        <v>1.21</v>
      </c>
      <c r="AU55" s="62">
        <v>4.53</v>
      </c>
      <c r="AV55" s="62">
        <v>0.94</v>
      </c>
      <c r="AX55" s="62">
        <v>1.2</v>
      </c>
      <c r="AY55" s="62">
        <v>1.07</v>
      </c>
      <c r="AZ55" s="62">
        <v>0.34</v>
      </c>
      <c r="BA55" s="62">
        <v>2.68</v>
      </c>
      <c r="BC55" s="62">
        <v>0.99</v>
      </c>
      <c r="BD55" s="62">
        <v>1</v>
      </c>
      <c r="BE55" s="62">
        <v>1.05</v>
      </c>
      <c r="BF55" s="62">
        <v>1.27</v>
      </c>
      <c r="BG55" s="62">
        <v>1.36</v>
      </c>
      <c r="BH55" s="62">
        <v>1.1000000000000001</v>
      </c>
      <c r="BI55" s="62">
        <v>2.0299999999999998</v>
      </c>
      <c r="BJ55" s="62">
        <v>0.66</v>
      </c>
      <c r="BK55" s="62">
        <v>4.47</v>
      </c>
      <c r="BL55" s="62">
        <v>0.92</v>
      </c>
      <c r="BN55" s="62">
        <v>0.81</v>
      </c>
      <c r="BO55" s="62">
        <v>0.43</v>
      </c>
      <c r="BQ55" s="62">
        <v>3.89</v>
      </c>
      <c r="BS55" s="62">
        <v>11.12</v>
      </c>
      <c r="BT55" s="62">
        <v>-2.75</v>
      </c>
      <c r="BU55" s="62">
        <v>1.1000000000000001</v>
      </c>
      <c r="BV55" s="62">
        <v>9.0399999999999991</v>
      </c>
      <c r="BW55" s="62">
        <v>2.97</v>
      </c>
      <c r="BX55" s="62">
        <v>1.1200000000000001</v>
      </c>
      <c r="BY55" s="62">
        <v>5.68</v>
      </c>
      <c r="BZ55" s="62">
        <v>1</v>
      </c>
      <c r="CA55" s="62">
        <v>18.77</v>
      </c>
      <c r="CB55" s="62">
        <v>0.74</v>
      </c>
      <c r="CC55" s="62">
        <v>3.47</v>
      </c>
      <c r="CD55" s="62">
        <v>0.52</v>
      </c>
      <c r="CE55" s="62">
        <v>2.89</v>
      </c>
      <c r="CF55" s="62">
        <v>0.97</v>
      </c>
      <c r="CG55" s="62">
        <v>2.16</v>
      </c>
      <c r="CH55" s="62">
        <v>1.43</v>
      </c>
      <c r="CI55" s="62">
        <v>3.27</v>
      </c>
      <c r="CJ55" s="62">
        <v>0.93</v>
      </c>
      <c r="CK55" s="62">
        <v>8.23</v>
      </c>
      <c r="CL55" s="62">
        <v>1.63</v>
      </c>
      <c r="CM55" s="62">
        <v>2.77</v>
      </c>
      <c r="CN55" s="62">
        <v>1.33</v>
      </c>
      <c r="CO55" s="62">
        <v>2.4</v>
      </c>
      <c r="CP55" s="62">
        <v>0.5</v>
      </c>
      <c r="CQ55" s="62">
        <v>11.92</v>
      </c>
      <c r="CR55" s="62">
        <v>11.09</v>
      </c>
      <c r="CS55" s="62">
        <v>3.69</v>
      </c>
      <c r="CT55" s="62">
        <v>-8.0500000000000007</v>
      </c>
      <c r="CU55" s="62">
        <v>4.03</v>
      </c>
      <c r="CV55" s="62">
        <v>0.96</v>
      </c>
      <c r="CW55" s="62">
        <v>1.1100000000000001</v>
      </c>
      <c r="CX55" s="62">
        <v>1.91</v>
      </c>
      <c r="CY55" s="62">
        <v>1.74</v>
      </c>
      <c r="CZ55" s="62">
        <v>0.87</v>
      </c>
      <c r="DA55" s="62">
        <v>0.91</v>
      </c>
      <c r="DB55" s="62">
        <v>8.4</v>
      </c>
      <c r="DC55" s="62">
        <v>1.04</v>
      </c>
      <c r="DD55" s="62">
        <v>2.35</v>
      </c>
      <c r="DF55" s="62">
        <v>1.98</v>
      </c>
      <c r="DG55" s="62">
        <v>1.1599999999999999</v>
      </c>
      <c r="DH55" s="62">
        <v>-11.11</v>
      </c>
      <c r="DJ55" s="62">
        <v>1.32</v>
      </c>
      <c r="DK55" s="62">
        <v>1.42</v>
      </c>
      <c r="DL55" s="62">
        <v>3.98</v>
      </c>
      <c r="DM55" s="62">
        <v>1.51</v>
      </c>
      <c r="DN55" s="62">
        <v>1.83</v>
      </c>
      <c r="DO55" s="62">
        <v>10.87</v>
      </c>
      <c r="DP55" s="62">
        <v>4.67</v>
      </c>
    </row>
    <row r="56" spans="1:120" x14ac:dyDescent="0.3">
      <c r="A56" s="64" t="s">
        <v>9076</v>
      </c>
      <c r="B56" s="62">
        <v>1.39</v>
      </c>
      <c r="C56" s="62">
        <v>8.33</v>
      </c>
      <c r="D56" s="62">
        <v>15.69</v>
      </c>
      <c r="E56" s="62">
        <v>1.18</v>
      </c>
      <c r="F56" s="62">
        <v>7.42</v>
      </c>
      <c r="G56" s="62">
        <v>4.03</v>
      </c>
      <c r="H56" s="62">
        <v>1.08</v>
      </c>
      <c r="I56" s="62">
        <v>1.02</v>
      </c>
      <c r="J56" s="62">
        <v>0.92</v>
      </c>
      <c r="K56" s="62">
        <v>1.97</v>
      </c>
      <c r="L56" s="62">
        <v>1.1299999999999999</v>
      </c>
      <c r="M56" s="62">
        <v>2.0499999999999998</v>
      </c>
      <c r="N56" s="62">
        <v>0.99</v>
      </c>
      <c r="O56" s="62">
        <v>-3.22</v>
      </c>
      <c r="P56" s="62">
        <v>10.19</v>
      </c>
      <c r="Q56" s="62">
        <v>3.32</v>
      </c>
      <c r="R56" s="62">
        <v>6.78</v>
      </c>
      <c r="S56" s="62">
        <v>0.76</v>
      </c>
      <c r="T56" s="62">
        <v>1.18</v>
      </c>
      <c r="U56" s="62">
        <v>1.85</v>
      </c>
      <c r="V56" s="62">
        <v>1.1200000000000001</v>
      </c>
      <c r="W56" s="62">
        <v>3.02</v>
      </c>
      <c r="X56" s="62">
        <v>1.36</v>
      </c>
      <c r="Y56" s="62">
        <v>-250</v>
      </c>
      <c r="Z56" s="62">
        <v>0.61</v>
      </c>
      <c r="AA56" s="62">
        <v>2.0099999999999998</v>
      </c>
      <c r="AB56" s="62">
        <v>2.16</v>
      </c>
      <c r="AC56" s="62">
        <v>2.87</v>
      </c>
      <c r="AD56" s="62">
        <v>0.94</v>
      </c>
      <c r="AE56" s="62">
        <v>2.75</v>
      </c>
      <c r="AF56" s="62">
        <v>8.74</v>
      </c>
      <c r="AG56" s="62">
        <v>1.68</v>
      </c>
      <c r="AH56" s="62">
        <v>0.92</v>
      </c>
      <c r="AI56" s="62">
        <v>1.28</v>
      </c>
      <c r="AJ56" s="62">
        <v>4.26</v>
      </c>
      <c r="AK56" s="62">
        <v>1.65</v>
      </c>
      <c r="AL56" s="62">
        <v>1.1200000000000001</v>
      </c>
      <c r="AM56" s="62">
        <v>1.0900000000000001</v>
      </c>
      <c r="AN56" s="62">
        <v>1.1499999999999999</v>
      </c>
      <c r="AO56" s="62">
        <v>2.75</v>
      </c>
      <c r="AP56" s="62">
        <v>2.0699999999999998</v>
      </c>
      <c r="AQ56" s="62">
        <v>1</v>
      </c>
      <c r="AR56" s="62">
        <v>3.34</v>
      </c>
      <c r="AS56" s="62">
        <v>2.83</v>
      </c>
      <c r="AT56" s="62">
        <v>1.08</v>
      </c>
      <c r="AU56" s="62">
        <v>3.93</v>
      </c>
      <c r="AV56" s="62">
        <v>0.93</v>
      </c>
      <c r="AX56" s="62">
        <v>1.04</v>
      </c>
      <c r="AY56" s="62">
        <v>1.08</v>
      </c>
      <c r="AZ56" s="62">
        <v>0.42</v>
      </c>
      <c r="BA56" s="62">
        <v>2.61</v>
      </c>
      <c r="BB56" s="62">
        <v>5.96</v>
      </c>
      <c r="BC56" s="62">
        <v>0.89</v>
      </c>
      <c r="BD56" s="62">
        <v>0.97</v>
      </c>
      <c r="BE56" s="62">
        <v>3.05</v>
      </c>
      <c r="BF56" s="62">
        <v>1.27</v>
      </c>
      <c r="BG56" s="62">
        <v>1.32</v>
      </c>
      <c r="BH56" s="62">
        <v>0.86</v>
      </c>
      <c r="BI56" s="62">
        <v>2.15</v>
      </c>
      <c r="BJ56" s="62">
        <v>0.62</v>
      </c>
      <c r="BK56" s="62">
        <v>4.75</v>
      </c>
      <c r="BL56" s="62">
        <v>1.07</v>
      </c>
      <c r="BN56" s="62">
        <v>1.1100000000000001</v>
      </c>
      <c r="BO56" s="62">
        <v>0.43</v>
      </c>
      <c r="BP56" s="62">
        <v>0.5</v>
      </c>
      <c r="BQ56" s="62">
        <v>3.89</v>
      </c>
      <c r="BS56" s="62">
        <v>10.54</v>
      </c>
      <c r="BT56" s="62">
        <v>-2.94</v>
      </c>
      <c r="BU56" s="62">
        <v>1.0900000000000001</v>
      </c>
      <c r="BV56" s="62">
        <v>7.82</v>
      </c>
      <c r="BW56" s="62">
        <v>2.89</v>
      </c>
      <c r="BX56" s="62">
        <v>1</v>
      </c>
      <c r="BY56" s="62">
        <v>5.1100000000000003</v>
      </c>
      <c r="BZ56" s="62">
        <v>0.97</v>
      </c>
      <c r="CA56" s="62">
        <v>19.05</v>
      </c>
      <c r="CB56" s="62">
        <v>0.71</v>
      </c>
      <c r="CC56" s="62">
        <v>3.36</v>
      </c>
      <c r="CD56" s="62">
        <v>0.56000000000000005</v>
      </c>
      <c r="CE56" s="62">
        <v>2.79</v>
      </c>
      <c r="CF56" s="62">
        <v>0.93</v>
      </c>
      <c r="CG56" s="62">
        <v>1.94</v>
      </c>
      <c r="CH56" s="62">
        <v>1.51</v>
      </c>
      <c r="CI56" s="62">
        <v>3.01</v>
      </c>
      <c r="CJ56" s="62">
        <v>0.95</v>
      </c>
      <c r="CK56" s="62">
        <v>7.76</v>
      </c>
      <c r="CL56" s="62">
        <v>1.51</v>
      </c>
      <c r="CM56" s="62">
        <v>2.87</v>
      </c>
      <c r="CN56" s="62">
        <v>1.41</v>
      </c>
      <c r="CO56" s="62">
        <v>2.27</v>
      </c>
      <c r="CP56" s="62">
        <v>0.56999999999999995</v>
      </c>
      <c r="CQ56" s="62">
        <v>12.12</v>
      </c>
      <c r="CR56" s="62">
        <v>9.39</v>
      </c>
      <c r="CS56" s="62">
        <v>3.24</v>
      </c>
      <c r="CT56" s="62">
        <v>-8.0500000000000007</v>
      </c>
      <c r="CU56" s="62">
        <v>3.92</v>
      </c>
      <c r="CV56" s="62">
        <v>0.78</v>
      </c>
      <c r="CW56" s="62">
        <v>1.17</v>
      </c>
      <c r="CX56" s="62">
        <v>1.82</v>
      </c>
      <c r="CY56" s="62">
        <v>1.82</v>
      </c>
      <c r="CZ56" s="62">
        <v>0.89</v>
      </c>
      <c r="DA56" s="62">
        <v>0.47</v>
      </c>
      <c r="DB56" s="62">
        <v>5.51</v>
      </c>
      <c r="DC56" s="62">
        <v>1.01</v>
      </c>
      <c r="DD56" s="62">
        <v>1.18</v>
      </c>
      <c r="DF56" s="62">
        <v>1.64</v>
      </c>
      <c r="DG56" s="62">
        <v>1.04</v>
      </c>
      <c r="DH56" s="62">
        <v>-14.81</v>
      </c>
      <c r="DJ56" s="62">
        <v>1.26</v>
      </c>
      <c r="DK56" s="62">
        <v>1.33</v>
      </c>
      <c r="DL56" s="62">
        <v>3.76</v>
      </c>
      <c r="DM56" s="62">
        <v>1.07</v>
      </c>
      <c r="DN56" s="62">
        <v>1.89</v>
      </c>
      <c r="DO56" s="62">
        <v>9.8800000000000008</v>
      </c>
      <c r="DP56" s="62">
        <v>4.59</v>
      </c>
    </row>
    <row r="57" spans="1:120" x14ac:dyDescent="0.3">
      <c r="A57" s="64" t="s">
        <v>9077</v>
      </c>
      <c r="B57" s="62">
        <v>1.5</v>
      </c>
      <c r="C57" s="62">
        <v>8.33</v>
      </c>
      <c r="D57" s="62">
        <v>16.05</v>
      </c>
      <c r="E57" s="62">
        <v>1.28</v>
      </c>
      <c r="F57" s="62">
        <v>7.9</v>
      </c>
      <c r="G57" s="62">
        <v>4.03</v>
      </c>
      <c r="H57" s="62">
        <v>1.08</v>
      </c>
      <c r="I57" s="62">
        <v>1.04</v>
      </c>
      <c r="J57" s="62">
        <v>0.91</v>
      </c>
      <c r="K57" s="62">
        <v>2.17</v>
      </c>
      <c r="L57" s="62">
        <v>1.1499999999999999</v>
      </c>
      <c r="M57" s="62">
        <v>2.06</v>
      </c>
      <c r="N57" s="62">
        <v>1.01</v>
      </c>
      <c r="O57" s="62">
        <v>-3.22</v>
      </c>
      <c r="P57" s="62">
        <v>15.98</v>
      </c>
      <c r="Q57" s="62">
        <v>3.5</v>
      </c>
      <c r="R57" s="62">
        <v>7</v>
      </c>
      <c r="S57" s="62">
        <v>0.96</v>
      </c>
      <c r="T57" s="62">
        <v>1.1499999999999999</v>
      </c>
      <c r="U57" s="62">
        <v>1.95</v>
      </c>
      <c r="V57" s="62">
        <v>1.1499999999999999</v>
      </c>
      <c r="W57" s="62">
        <v>2.93</v>
      </c>
      <c r="X57" s="62">
        <v>1.38</v>
      </c>
      <c r="Y57" s="62">
        <v>-190.48</v>
      </c>
      <c r="Z57" s="62">
        <v>0.61</v>
      </c>
      <c r="AA57" s="62">
        <v>2.0099999999999998</v>
      </c>
      <c r="AB57" s="62">
        <v>2.21</v>
      </c>
      <c r="AC57" s="62">
        <v>2.75</v>
      </c>
      <c r="AD57" s="62">
        <v>0.97</v>
      </c>
      <c r="AE57" s="62">
        <v>2.81</v>
      </c>
      <c r="AF57" s="62">
        <v>9.1</v>
      </c>
      <c r="AG57" s="62">
        <v>1.86</v>
      </c>
      <c r="AH57" s="62">
        <v>0.92</v>
      </c>
      <c r="AI57" s="62">
        <v>1.3</v>
      </c>
      <c r="AJ57" s="62">
        <v>4.3899999999999997</v>
      </c>
      <c r="AK57" s="62">
        <v>1.5</v>
      </c>
      <c r="AL57" s="62">
        <v>1.1200000000000001</v>
      </c>
      <c r="AM57" s="62">
        <v>1.1299999999999999</v>
      </c>
      <c r="AN57" s="62">
        <v>1.36</v>
      </c>
      <c r="AO57" s="62">
        <v>3.06</v>
      </c>
      <c r="AP57" s="62">
        <v>2.27</v>
      </c>
      <c r="AQ57" s="62">
        <v>1.02</v>
      </c>
      <c r="AR57" s="62">
        <v>3.56</v>
      </c>
      <c r="AS57" s="62">
        <v>2.8</v>
      </c>
      <c r="AT57" s="62">
        <v>1.22</v>
      </c>
      <c r="AU57" s="62">
        <v>4.29</v>
      </c>
      <c r="AV57" s="62">
        <v>0.97</v>
      </c>
      <c r="AW57" s="62">
        <v>1.07</v>
      </c>
      <c r="AX57" s="62">
        <v>1.04</v>
      </c>
      <c r="AY57" s="62">
        <v>1.1200000000000001</v>
      </c>
      <c r="AZ57" s="62">
        <v>0.4</v>
      </c>
      <c r="BA57" s="62">
        <v>2.71</v>
      </c>
      <c r="BB57" s="62">
        <v>6.7</v>
      </c>
      <c r="BC57" s="62">
        <v>0.89</v>
      </c>
      <c r="BD57" s="62">
        <v>1.04</v>
      </c>
      <c r="BE57" s="62">
        <v>4.07</v>
      </c>
      <c r="BF57" s="62">
        <v>1.33</v>
      </c>
      <c r="BG57" s="62">
        <v>1.44</v>
      </c>
      <c r="BH57" s="62">
        <v>0.87</v>
      </c>
      <c r="BI57" s="62">
        <v>2.25</v>
      </c>
      <c r="BJ57" s="62">
        <v>0.62</v>
      </c>
      <c r="BK57" s="62">
        <v>5.8</v>
      </c>
      <c r="BL57" s="62">
        <v>0.92</v>
      </c>
      <c r="BN57" s="62">
        <v>1.08</v>
      </c>
      <c r="BO57" s="62">
        <v>0.4</v>
      </c>
      <c r="BP57" s="62">
        <v>0.59</v>
      </c>
      <c r="BQ57" s="62">
        <v>3.97</v>
      </c>
      <c r="BS57" s="62">
        <v>10.35</v>
      </c>
      <c r="BT57" s="62">
        <v>-2.7</v>
      </c>
      <c r="BU57" s="62">
        <v>1.24</v>
      </c>
      <c r="BV57" s="62">
        <v>7.33</v>
      </c>
      <c r="BW57" s="62">
        <v>2.83</v>
      </c>
      <c r="BX57" s="62">
        <v>1.01</v>
      </c>
      <c r="BY57" s="62">
        <v>5.68</v>
      </c>
      <c r="BZ57" s="62">
        <v>0.97</v>
      </c>
      <c r="CA57" s="62">
        <v>23.53</v>
      </c>
      <c r="CB57" s="62">
        <v>0.69</v>
      </c>
      <c r="CC57" s="62">
        <v>3.44</v>
      </c>
      <c r="CD57" s="62">
        <v>0.55000000000000004</v>
      </c>
      <c r="CE57" s="62">
        <v>2.86</v>
      </c>
      <c r="CF57" s="62">
        <v>0.94</v>
      </c>
      <c r="CG57" s="62">
        <v>2.13</v>
      </c>
      <c r="CH57" s="62">
        <v>1.53</v>
      </c>
      <c r="CI57" s="62">
        <v>2.76</v>
      </c>
      <c r="CJ57" s="62">
        <v>0.9</v>
      </c>
      <c r="CK57" s="62">
        <v>7.88</v>
      </c>
      <c r="CL57" s="62">
        <v>1.59</v>
      </c>
      <c r="CM57" s="62">
        <v>3.13</v>
      </c>
      <c r="CN57" s="62">
        <v>1.47</v>
      </c>
      <c r="CO57" s="62">
        <v>2.84</v>
      </c>
      <c r="CP57" s="62">
        <v>0.6</v>
      </c>
      <c r="CQ57" s="62">
        <v>11.53</v>
      </c>
      <c r="CR57" s="62">
        <v>8.7899999999999991</v>
      </c>
      <c r="CS57" s="62">
        <v>3.52</v>
      </c>
      <c r="CT57" s="62">
        <v>-8.0500000000000007</v>
      </c>
      <c r="CU57" s="62">
        <v>4.3499999999999996</v>
      </c>
      <c r="CV57" s="62">
        <v>0.87</v>
      </c>
      <c r="CW57" s="62">
        <v>1.2</v>
      </c>
      <c r="CX57" s="62">
        <v>1.92</v>
      </c>
      <c r="CY57" s="62">
        <v>1.57</v>
      </c>
      <c r="CZ57" s="62">
        <v>1.03</v>
      </c>
      <c r="DA57" s="62">
        <v>0.47</v>
      </c>
      <c r="DB57" s="62">
        <v>6.02</v>
      </c>
      <c r="DC57" s="62">
        <v>1.05</v>
      </c>
      <c r="DD57" s="62">
        <v>1.18</v>
      </c>
      <c r="DF57" s="62">
        <v>1.82</v>
      </c>
      <c r="DG57" s="62">
        <v>1.03</v>
      </c>
      <c r="DH57" s="62">
        <v>-14.81</v>
      </c>
      <c r="DJ57" s="62">
        <v>1.33</v>
      </c>
      <c r="DK57" s="62">
        <v>1.43</v>
      </c>
      <c r="DL57" s="62">
        <v>4.04</v>
      </c>
      <c r="DM57" s="62">
        <v>1.0900000000000001</v>
      </c>
      <c r="DN57" s="62">
        <v>2.02</v>
      </c>
      <c r="DO57" s="62">
        <v>9.39</v>
      </c>
      <c r="DP57" s="62">
        <v>4.8899999999999997</v>
      </c>
    </row>
    <row r="58" spans="1:120" x14ac:dyDescent="0.3">
      <c r="A58" s="64" t="s">
        <v>9078</v>
      </c>
      <c r="B58" s="62">
        <v>1.52</v>
      </c>
      <c r="C58" s="62">
        <v>7.41</v>
      </c>
      <c r="D58" s="62">
        <v>15.49</v>
      </c>
      <c r="E58" s="62">
        <v>1.28</v>
      </c>
      <c r="F58" s="62">
        <v>9.16</v>
      </c>
      <c r="G58" s="62">
        <v>4.03</v>
      </c>
      <c r="H58" s="62">
        <v>1.08</v>
      </c>
      <c r="I58" s="62">
        <v>1.05</v>
      </c>
      <c r="J58" s="62">
        <v>0.89</v>
      </c>
      <c r="K58" s="62">
        <v>2.2599999999999998</v>
      </c>
      <c r="L58" s="62">
        <v>1.1100000000000001</v>
      </c>
      <c r="M58" s="62">
        <v>2.0499999999999998</v>
      </c>
      <c r="N58" s="62">
        <v>1.02</v>
      </c>
      <c r="O58" s="62">
        <v>-3.22</v>
      </c>
      <c r="P58" s="62">
        <v>14.88</v>
      </c>
      <c r="Q58" s="62">
        <v>4.09</v>
      </c>
      <c r="R58" s="62">
        <v>7.57</v>
      </c>
      <c r="S58" s="62">
        <v>0.87</v>
      </c>
      <c r="T58" s="62">
        <v>1.32</v>
      </c>
      <c r="U58" s="62">
        <v>1.81</v>
      </c>
      <c r="V58" s="62">
        <v>1.25</v>
      </c>
      <c r="W58" s="62">
        <v>2.52</v>
      </c>
      <c r="X58" s="62">
        <v>1.34</v>
      </c>
      <c r="Y58" s="62">
        <v>-214.29</v>
      </c>
      <c r="Z58" s="62">
        <v>1.22</v>
      </c>
      <c r="AA58" s="62">
        <v>2.0099999999999998</v>
      </c>
      <c r="AB58" s="62">
        <v>2.4</v>
      </c>
      <c r="AC58" s="62">
        <v>3.07</v>
      </c>
      <c r="AD58" s="62">
        <v>0.99</v>
      </c>
      <c r="AE58" s="62">
        <v>3.05</v>
      </c>
      <c r="AF58" s="62">
        <v>8.4600000000000009</v>
      </c>
      <c r="AG58" s="62">
        <v>2.0699999999999998</v>
      </c>
      <c r="AH58" s="62">
        <v>0.94</v>
      </c>
      <c r="AI58" s="62">
        <v>1.29</v>
      </c>
      <c r="AJ58" s="62">
        <v>4.45</v>
      </c>
      <c r="AK58" s="62">
        <v>1.63</v>
      </c>
      <c r="AL58" s="62">
        <v>1.01</v>
      </c>
      <c r="AM58" s="62">
        <v>1.1100000000000001</v>
      </c>
      <c r="AN58" s="62">
        <v>1.22</v>
      </c>
      <c r="AO58" s="62">
        <v>3.37</v>
      </c>
      <c r="AP58" s="62">
        <v>2.23</v>
      </c>
      <c r="AQ58" s="62">
        <v>1.05</v>
      </c>
      <c r="AR58" s="62">
        <v>3.56</v>
      </c>
      <c r="AS58" s="62">
        <v>2.85</v>
      </c>
      <c r="AT58" s="62">
        <v>1.34</v>
      </c>
      <c r="AU58" s="62">
        <v>3.69</v>
      </c>
      <c r="AV58" s="62">
        <v>0.96</v>
      </c>
      <c r="AW58" s="62">
        <v>1.05</v>
      </c>
      <c r="AX58" s="62">
        <v>1.28</v>
      </c>
      <c r="AY58" s="62">
        <v>1.1399999999999999</v>
      </c>
      <c r="AZ58" s="62">
        <v>0.36</v>
      </c>
      <c r="BA58" s="62">
        <v>2.69</v>
      </c>
      <c r="BB58" s="62">
        <v>6.89</v>
      </c>
      <c r="BC58" s="62">
        <v>0.89</v>
      </c>
      <c r="BD58" s="62">
        <v>1.08</v>
      </c>
      <c r="BE58" s="62">
        <v>3.05</v>
      </c>
      <c r="BF58" s="62">
        <v>1.35</v>
      </c>
      <c r="BG58" s="62">
        <v>1.44</v>
      </c>
      <c r="BH58" s="62">
        <v>0.95</v>
      </c>
      <c r="BI58" s="62">
        <v>2.39</v>
      </c>
      <c r="BJ58" s="62">
        <v>0.75</v>
      </c>
      <c r="BK58" s="62">
        <v>5.45</v>
      </c>
      <c r="BL58" s="62">
        <v>0.92</v>
      </c>
      <c r="BN58" s="62">
        <v>1.23</v>
      </c>
      <c r="BO58" s="62">
        <v>0.39</v>
      </c>
      <c r="BP58" s="62">
        <v>0.55000000000000004</v>
      </c>
      <c r="BQ58" s="62">
        <v>3.93</v>
      </c>
      <c r="BS58" s="62">
        <v>9.9700000000000006</v>
      </c>
      <c r="BT58" s="62">
        <v>-2.56</v>
      </c>
      <c r="BU58" s="62">
        <v>1.39</v>
      </c>
      <c r="BV58" s="62">
        <v>6.11</v>
      </c>
      <c r="BW58" s="62">
        <v>2.89</v>
      </c>
      <c r="BX58" s="62">
        <v>1.05</v>
      </c>
      <c r="BY58" s="62">
        <v>8.81</v>
      </c>
      <c r="BZ58" s="62">
        <v>1</v>
      </c>
      <c r="CA58" s="62">
        <v>24</v>
      </c>
      <c r="CB58" s="62">
        <v>0.63</v>
      </c>
      <c r="CC58" s="62">
        <v>3.46</v>
      </c>
      <c r="CD58" s="62">
        <v>0.61</v>
      </c>
      <c r="CE58" s="62">
        <v>2.9</v>
      </c>
      <c r="CF58" s="62">
        <v>0.98</v>
      </c>
      <c r="CG58" s="62">
        <v>2.09</v>
      </c>
      <c r="CH58" s="62">
        <v>1.49</v>
      </c>
      <c r="CI58" s="62">
        <v>3.01</v>
      </c>
      <c r="CJ58" s="62">
        <v>0.9</v>
      </c>
      <c r="CK58" s="62">
        <v>7.76</v>
      </c>
      <c r="CL58" s="62">
        <v>1.7</v>
      </c>
      <c r="CM58" s="62">
        <v>3.03</v>
      </c>
      <c r="CN58" s="62">
        <v>1.45</v>
      </c>
      <c r="CO58" s="62">
        <v>2.4</v>
      </c>
      <c r="CP58" s="62">
        <v>0.67</v>
      </c>
      <c r="CQ58" s="62">
        <v>11.34</v>
      </c>
      <c r="CR58" s="62">
        <v>9.43</v>
      </c>
      <c r="CS58" s="62">
        <v>3.42</v>
      </c>
      <c r="CT58" s="62">
        <v>-8.0500000000000007</v>
      </c>
      <c r="CU58" s="62">
        <v>4.24</v>
      </c>
      <c r="CV58" s="62">
        <v>0.94</v>
      </c>
      <c r="CW58" s="62">
        <v>1.24</v>
      </c>
      <c r="CX58" s="62">
        <v>2.23</v>
      </c>
      <c r="CY58" s="62">
        <v>1.7</v>
      </c>
      <c r="CZ58" s="62">
        <v>1.1100000000000001</v>
      </c>
      <c r="DA58" s="62">
        <v>0.45</v>
      </c>
      <c r="DB58" s="62">
        <v>5.72</v>
      </c>
      <c r="DC58" s="62">
        <v>0.96</v>
      </c>
      <c r="DD58" s="62">
        <v>0.94</v>
      </c>
      <c r="DF58" s="62">
        <v>1.97</v>
      </c>
      <c r="DG58" s="62">
        <v>1.02</v>
      </c>
      <c r="DH58" s="62">
        <v>-11.11</v>
      </c>
      <c r="DJ58" s="62">
        <v>1.32</v>
      </c>
      <c r="DK58" s="62">
        <v>1.42</v>
      </c>
      <c r="DL58" s="62">
        <v>4.1100000000000003</v>
      </c>
      <c r="DM58" s="62">
        <v>1.1200000000000001</v>
      </c>
      <c r="DN58" s="62">
        <v>2.0099999999999998</v>
      </c>
      <c r="DO58" s="62">
        <v>11.86</v>
      </c>
      <c r="DP58" s="62">
        <v>4.8099999999999996</v>
      </c>
    </row>
    <row r="59" spans="1:120" x14ac:dyDescent="0.3">
      <c r="A59" s="64" t="s">
        <v>9079</v>
      </c>
      <c r="B59" s="62">
        <v>1.59</v>
      </c>
      <c r="C59" s="62">
        <v>7.41</v>
      </c>
      <c r="D59" s="62">
        <v>16.05</v>
      </c>
      <c r="E59" s="62">
        <v>1.03</v>
      </c>
      <c r="F59" s="62">
        <v>8.69</v>
      </c>
      <c r="G59" s="62">
        <v>2.78</v>
      </c>
      <c r="H59" s="62">
        <v>1.05</v>
      </c>
      <c r="I59" s="62">
        <v>1.05</v>
      </c>
      <c r="J59" s="62">
        <v>0.95</v>
      </c>
      <c r="K59" s="62">
        <v>2.1800000000000002</v>
      </c>
      <c r="L59" s="62">
        <v>1.08</v>
      </c>
      <c r="M59" s="62">
        <v>2.1</v>
      </c>
      <c r="N59" s="62">
        <v>1.02</v>
      </c>
      <c r="O59" s="62">
        <v>-3.22</v>
      </c>
      <c r="P59" s="62">
        <v>13.77</v>
      </c>
      <c r="Q59" s="62">
        <v>4.01</v>
      </c>
      <c r="R59" s="62">
        <v>7.22</v>
      </c>
      <c r="S59" s="62">
        <v>0.84</v>
      </c>
      <c r="T59" s="62">
        <v>1.25</v>
      </c>
      <c r="U59" s="62">
        <v>1.7</v>
      </c>
      <c r="V59" s="62">
        <v>1.34</v>
      </c>
      <c r="W59" s="62">
        <v>2.85</v>
      </c>
      <c r="X59" s="62">
        <v>1.3</v>
      </c>
      <c r="Y59" s="62">
        <v>-214.29</v>
      </c>
      <c r="Z59" s="62">
        <v>1.59</v>
      </c>
      <c r="AA59" s="62">
        <v>2.02</v>
      </c>
      <c r="AB59" s="62">
        <v>2.5499999999999998</v>
      </c>
      <c r="AC59" s="62">
        <v>2.25</v>
      </c>
      <c r="AD59" s="62">
        <v>1.08</v>
      </c>
      <c r="AE59" s="62">
        <v>3.05</v>
      </c>
      <c r="AF59" s="62">
        <v>8.6199999999999992</v>
      </c>
      <c r="AG59" s="62">
        <v>2.06</v>
      </c>
      <c r="AH59" s="62">
        <v>0.92</v>
      </c>
      <c r="AI59" s="62">
        <v>1.34</v>
      </c>
      <c r="AJ59" s="62">
        <v>4.28</v>
      </c>
      <c r="AK59" s="62">
        <v>1.4</v>
      </c>
      <c r="AL59" s="62">
        <v>1.1200000000000001</v>
      </c>
      <c r="AM59" s="62">
        <v>1.07</v>
      </c>
      <c r="AN59" s="62">
        <v>1.1599999999999999</v>
      </c>
      <c r="AO59" s="62">
        <v>2.31</v>
      </c>
      <c r="AP59" s="62">
        <v>1.67</v>
      </c>
      <c r="AQ59" s="62">
        <v>1</v>
      </c>
      <c r="AR59" s="62">
        <v>3.51</v>
      </c>
      <c r="AS59" s="62">
        <v>3.07</v>
      </c>
      <c r="AT59" s="62">
        <v>1.35</v>
      </c>
      <c r="AU59" s="62">
        <v>3.5</v>
      </c>
      <c r="AV59" s="62">
        <v>0.93</v>
      </c>
      <c r="AW59" s="62">
        <v>1.02</v>
      </c>
      <c r="AX59" s="62">
        <v>1.28</v>
      </c>
      <c r="AY59" s="62">
        <v>1.0900000000000001</v>
      </c>
      <c r="AZ59" s="62">
        <v>0.4</v>
      </c>
      <c r="BA59" s="62">
        <v>2.78</v>
      </c>
      <c r="BB59" s="62">
        <v>6.89</v>
      </c>
      <c r="BC59" s="62">
        <v>0.89</v>
      </c>
      <c r="BD59" s="62">
        <v>1.17</v>
      </c>
      <c r="BE59" s="62">
        <v>2.04</v>
      </c>
      <c r="BF59" s="62">
        <v>1.3</v>
      </c>
      <c r="BG59" s="62">
        <v>1.35</v>
      </c>
      <c r="BH59" s="62">
        <v>0.97</v>
      </c>
      <c r="BI59" s="62">
        <v>2.63</v>
      </c>
      <c r="BJ59" s="62">
        <v>0.74</v>
      </c>
      <c r="BK59" s="62">
        <v>6.19</v>
      </c>
      <c r="BL59" s="62">
        <v>1.07</v>
      </c>
      <c r="BN59" s="62">
        <v>1.26</v>
      </c>
      <c r="BO59" s="62">
        <v>0.32</v>
      </c>
      <c r="BP59" s="62">
        <v>0.5</v>
      </c>
      <c r="BQ59" s="62">
        <v>4.04</v>
      </c>
      <c r="BS59" s="62">
        <v>9.01</v>
      </c>
      <c r="BT59" s="62">
        <v>-1.86</v>
      </c>
      <c r="BU59" s="62">
        <v>1.37</v>
      </c>
      <c r="BV59" s="62">
        <v>7.82</v>
      </c>
      <c r="BW59" s="62">
        <v>2.87</v>
      </c>
      <c r="BX59" s="62">
        <v>1.04</v>
      </c>
      <c r="BY59" s="62">
        <v>9.09</v>
      </c>
      <c r="BZ59" s="62">
        <v>0.98</v>
      </c>
      <c r="CA59" s="62">
        <v>23.9</v>
      </c>
      <c r="CB59" s="62">
        <v>0.65</v>
      </c>
      <c r="CC59" s="62">
        <v>3.59</v>
      </c>
      <c r="CD59" s="62">
        <v>0.49</v>
      </c>
      <c r="CE59" s="62">
        <v>2.89</v>
      </c>
      <c r="CF59" s="62">
        <v>1.04</v>
      </c>
      <c r="CG59" s="62">
        <v>2.09</v>
      </c>
      <c r="CH59" s="62">
        <v>1.63</v>
      </c>
      <c r="CI59" s="62">
        <v>2.69</v>
      </c>
      <c r="CJ59" s="62">
        <v>0.92</v>
      </c>
      <c r="CK59" s="62">
        <v>6.32</v>
      </c>
      <c r="CL59" s="62">
        <v>1.65</v>
      </c>
      <c r="CM59" s="62">
        <v>2.86</v>
      </c>
      <c r="CN59" s="62">
        <v>1.45</v>
      </c>
      <c r="CO59" s="62">
        <v>2.21</v>
      </c>
      <c r="CP59" s="62">
        <v>0.72</v>
      </c>
      <c r="CQ59" s="62">
        <v>10.75</v>
      </c>
      <c r="CR59" s="62">
        <v>8.99</v>
      </c>
      <c r="CS59" s="62">
        <v>4.05</v>
      </c>
      <c r="CT59" s="62">
        <v>-8.0500000000000007</v>
      </c>
      <c r="CU59" s="62">
        <v>4.0199999999999996</v>
      </c>
      <c r="CV59" s="62">
        <v>0.94</v>
      </c>
      <c r="CW59" s="62">
        <v>1.18</v>
      </c>
      <c r="CX59" s="62">
        <v>2.16</v>
      </c>
      <c r="CY59" s="62">
        <v>1.49</v>
      </c>
      <c r="CZ59" s="62">
        <v>1.17</v>
      </c>
      <c r="DA59" s="62">
        <v>0.48</v>
      </c>
      <c r="DB59" s="62">
        <v>5.57</v>
      </c>
      <c r="DC59" s="62">
        <v>1.02</v>
      </c>
      <c r="DD59" s="62">
        <v>0.94</v>
      </c>
      <c r="DF59" s="62">
        <v>2.04</v>
      </c>
      <c r="DG59" s="62">
        <v>0.73</v>
      </c>
      <c r="DH59" s="62">
        <v>-11.11</v>
      </c>
      <c r="DJ59" s="62">
        <v>1.31</v>
      </c>
      <c r="DK59" s="62">
        <v>1.35</v>
      </c>
      <c r="DL59" s="62">
        <v>4.17</v>
      </c>
      <c r="DM59" s="62">
        <v>1.0900000000000001</v>
      </c>
      <c r="DN59" s="62">
        <v>2.09</v>
      </c>
      <c r="DO59" s="62">
        <v>14.72</v>
      </c>
      <c r="DP59" s="62">
        <v>4.75</v>
      </c>
    </row>
    <row r="60" spans="1:120" x14ac:dyDescent="0.3">
      <c r="A60" s="64" t="s">
        <v>9080</v>
      </c>
      <c r="B60" s="62">
        <v>1.46</v>
      </c>
      <c r="C60" s="62">
        <v>4.63</v>
      </c>
      <c r="D60" s="62">
        <v>15.79</v>
      </c>
      <c r="E60" s="62">
        <v>1.0900000000000001</v>
      </c>
      <c r="F60" s="62">
        <v>8.69</v>
      </c>
      <c r="G60" s="62">
        <v>2.78</v>
      </c>
      <c r="H60" s="62">
        <v>0.99</v>
      </c>
      <c r="I60" s="62">
        <v>1.03</v>
      </c>
      <c r="J60" s="62">
        <v>0.95</v>
      </c>
      <c r="K60" s="62">
        <v>1.97</v>
      </c>
      <c r="L60" s="62">
        <v>1.05</v>
      </c>
      <c r="M60" s="62">
        <v>2.12</v>
      </c>
      <c r="N60" s="62">
        <v>0.99</v>
      </c>
      <c r="O60" s="62">
        <v>-3.22</v>
      </c>
      <c r="P60" s="62">
        <v>12.4</v>
      </c>
      <c r="Q60" s="62">
        <v>3.99</v>
      </c>
      <c r="R60" s="62">
        <v>6.74</v>
      </c>
      <c r="S60" s="62">
        <v>0.79</v>
      </c>
      <c r="T60" s="62">
        <v>1.23</v>
      </c>
      <c r="U60" s="62">
        <v>1.59</v>
      </c>
      <c r="V60" s="62">
        <v>1.3</v>
      </c>
      <c r="W60" s="62">
        <v>2.38</v>
      </c>
      <c r="X60" s="62">
        <v>1.23</v>
      </c>
      <c r="Y60" s="62">
        <v>-214.29</v>
      </c>
      <c r="Z60" s="62">
        <v>2.44</v>
      </c>
      <c r="AA60" s="62">
        <v>1.96</v>
      </c>
      <c r="AB60" s="62">
        <v>2.2799999999999998</v>
      </c>
      <c r="AC60" s="62">
        <v>2.39</v>
      </c>
      <c r="AD60" s="62">
        <v>1.07</v>
      </c>
      <c r="AE60" s="62">
        <v>3.05</v>
      </c>
      <c r="AF60" s="62">
        <v>7.51</v>
      </c>
      <c r="AG60" s="62">
        <v>2.02</v>
      </c>
      <c r="AH60" s="62">
        <v>0.92</v>
      </c>
      <c r="AI60" s="62">
        <v>1.32</v>
      </c>
      <c r="AJ60" s="62">
        <v>4.17</v>
      </c>
      <c r="AK60" s="62">
        <v>1.43</v>
      </c>
      <c r="AL60" s="62">
        <v>1.1200000000000001</v>
      </c>
      <c r="AM60" s="62">
        <v>0.97</v>
      </c>
      <c r="AN60" s="62">
        <v>1.1599999999999999</v>
      </c>
      <c r="AO60" s="62">
        <v>2.4700000000000002</v>
      </c>
      <c r="AP60" s="62">
        <v>1.75</v>
      </c>
      <c r="AQ60" s="62">
        <v>0.94</v>
      </c>
      <c r="AR60" s="62">
        <v>3.38</v>
      </c>
      <c r="AS60" s="62">
        <v>3.02</v>
      </c>
      <c r="AT60" s="62">
        <v>1.35</v>
      </c>
      <c r="AU60" s="62">
        <v>3.5</v>
      </c>
      <c r="AV60" s="62">
        <v>0.86</v>
      </c>
      <c r="AW60" s="62">
        <v>0.98</v>
      </c>
      <c r="AX60" s="62">
        <v>1.28</v>
      </c>
      <c r="AY60" s="62">
        <v>1.05</v>
      </c>
      <c r="AZ60" s="62">
        <v>0.41</v>
      </c>
      <c r="BA60" s="62">
        <v>2.89</v>
      </c>
      <c r="BB60" s="62">
        <v>6.42</v>
      </c>
      <c r="BC60" s="62">
        <v>0.88</v>
      </c>
      <c r="BD60" s="62">
        <v>1.0900000000000001</v>
      </c>
      <c r="BE60" s="62">
        <v>1.57</v>
      </c>
      <c r="BF60" s="62">
        <v>1.29</v>
      </c>
      <c r="BG60" s="62">
        <v>1.3</v>
      </c>
      <c r="BH60" s="62">
        <v>0.88</v>
      </c>
      <c r="BI60" s="62">
        <v>2.58</v>
      </c>
      <c r="BJ60" s="62">
        <v>0.76</v>
      </c>
      <c r="BK60" s="62">
        <v>5.62</v>
      </c>
      <c r="BL60" s="62">
        <v>0.92</v>
      </c>
      <c r="BM60" s="62">
        <v>0.95</v>
      </c>
      <c r="BN60" s="62">
        <v>1.2</v>
      </c>
      <c r="BO60" s="62">
        <v>0.33</v>
      </c>
      <c r="BP60" s="62">
        <v>0.45</v>
      </c>
      <c r="BQ60" s="62">
        <v>3.97</v>
      </c>
      <c r="BS60" s="62">
        <v>8.82</v>
      </c>
      <c r="BT60" s="62">
        <v>-1.86</v>
      </c>
      <c r="BU60" s="62">
        <v>1.26</v>
      </c>
      <c r="BV60" s="62">
        <v>5.86</v>
      </c>
      <c r="BW60" s="62">
        <v>2.8</v>
      </c>
      <c r="BX60" s="62">
        <v>1</v>
      </c>
      <c r="BY60" s="62">
        <v>11.08</v>
      </c>
      <c r="BZ60" s="62">
        <v>0.98</v>
      </c>
      <c r="CA60" s="62">
        <v>15.69</v>
      </c>
      <c r="CB60" s="62">
        <v>0.61</v>
      </c>
      <c r="CC60" s="62">
        <v>3.38</v>
      </c>
      <c r="CD60" s="62">
        <v>0.52</v>
      </c>
      <c r="CE60" s="62">
        <v>2.68</v>
      </c>
      <c r="CF60" s="62">
        <v>1.02</v>
      </c>
      <c r="CG60" s="62">
        <v>2.02</v>
      </c>
      <c r="CH60" s="62">
        <v>1.6</v>
      </c>
      <c r="CI60" s="62">
        <v>2.69</v>
      </c>
      <c r="CJ60" s="62">
        <v>0.92</v>
      </c>
      <c r="CK60" s="62">
        <v>4.8899999999999997</v>
      </c>
      <c r="CL60" s="62">
        <v>1.73</v>
      </c>
      <c r="CM60" s="62">
        <v>2.38</v>
      </c>
      <c r="CN60" s="62">
        <v>1.32</v>
      </c>
      <c r="CO60" s="62">
        <v>1.72</v>
      </c>
      <c r="CP60" s="62">
        <v>0.72</v>
      </c>
      <c r="CQ60" s="62">
        <v>8.89</v>
      </c>
      <c r="CR60" s="62">
        <v>8.7899999999999991</v>
      </c>
      <c r="CS60" s="62">
        <v>3.98</v>
      </c>
      <c r="CT60" s="62">
        <v>-8.0500000000000007</v>
      </c>
      <c r="CU60" s="62">
        <v>4.0199999999999996</v>
      </c>
      <c r="CV60" s="62">
        <v>0.92</v>
      </c>
      <c r="CW60" s="62">
        <v>1.1200000000000001</v>
      </c>
      <c r="CX60" s="62">
        <v>1.92</v>
      </c>
      <c r="CY60" s="62">
        <v>1.41</v>
      </c>
      <c r="CZ60" s="62">
        <v>1.19</v>
      </c>
      <c r="DA60" s="62">
        <v>0.45</v>
      </c>
      <c r="DB60" s="62">
        <v>5.54</v>
      </c>
      <c r="DC60" s="62">
        <v>0.93</v>
      </c>
      <c r="DD60" s="62">
        <v>0.94</v>
      </c>
      <c r="DE60" s="62">
        <v>1.33</v>
      </c>
      <c r="DF60" s="62">
        <v>2.0099999999999998</v>
      </c>
      <c r="DG60" s="62">
        <v>0.71</v>
      </c>
      <c r="DH60" s="62">
        <v>-7.41</v>
      </c>
      <c r="DI60" s="62">
        <v>1.1200000000000001</v>
      </c>
      <c r="DJ60" s="62">
        <v>1.32</v>
      </c>
      <c r="DK60" s="62">
        <v>1.3</v>
      </c>
      <c r="DL60" s="62">
        <v>3.85</v>
      </c>
      <c r="DM60" s="62">
        <v>0.99</v>
      </c>
      <c r="DN60" s="62">
        <v>2.09</v>
      </c>
      <c r="DO60" s="62">
        <v>15.22</v>
      </c>
      <c r="DP60" s="62">
        <v>4.4000000000000004</v>
      </c>
    </row>
    <row r="61" spans="1:120" x14ac:dyDescent="0.3">
      <c r="A61" s="64" t="s">
        <v>9081</v>
      </c>
      <c r="B61" s="62">
        <v>1.53</v>
      </c>
      <c r="C61" s="62">
        <v>1.85</v>
      </c>
      <c r="D61" s="62">
        <v>14.92</v>
      </c>
      <c r="E61" s="62">
        <v>1.23</v>
      </c>
      <c r="F61" s="62">
        <v>11.06</v>
      </c>
      <c r="G61" s="62">
        <v>2.78</v>
      </c>
      <c r="H61" s="62">
        <v>0.98</v>
      </c>
      <c r="I61" s="62">
        <v>1.06</v>
      </c>
      <c r="J61" s="62">
        <v>0.93</v>
      </c>
      <c r="K61" s="62">
        <v>1.88</v>
      </c>
      <c r="L61" s="62">
        <v>1.07</v>
      </c>
      <c r="M61" s="62">
        <v>2.3199999999999998</v>
      </c>
      <c r="N61" s="62">
        <v>0.99</v>
      </c>
      <c r="O61" s="62">
        <v>-3.22</v>
      </c>
      <c r="P61" s="62">
        <v>12.95</v>
      </c>
      <c r="Q61" s="62">
        <v>4.01</v>
      </c>
      <c r="R61" s="62">
        <v>6.08</v>
      </c>
      <c r="S61" s="62">
        <v>0.83</v>
      </c>
      <c r="T61" s="62">
        <v>1.23</v>
      </c>
      <c r="U61" s="62">
        <v>1.73</v>
      </c>
      <c r="V61" s="62">
        <v>1.27</v>
      </c>
      <c r="W61" s="62">
        <v>2.38</v>
      </c>
      <c r="X61" s="62">
        <v>1.21</v>
      </c>
      <c r="Y61" s="62">
        <v>-214.29</v>
      </c>
      <c r="Z61" s="62">
        <v>2.44</v>
      </c>
      <c r="AA61" s="62">
        <v>1.91</v>
      </c>
      <c r="AB61" s="62">
        <v>2.23</v>
      </c>
      <c r="AC61" s="62">
        <v>2.34</v>
      </c>
      <c r="AD61" s="62">
        <v>1.1200000000000001</v>
      </c>
      <c r="AE61" s="62">
        <v>3.05</v>
      </c>
      <c r="AF61" s="62">
        <v>7.04</v>
      </c>
      <c r="AG61" s="62">
        <v>2.0299999999999998</v>
      </c>
      <c r="AH61" s="62">
        <v>0.86</v>
      </c>
      <c r="AI61" s="62">
        <v>1.33</v>
      </c>
      <c r="AJ61" s="62">
        <v>4.38</v>
      </c>
      <c r="AK61" s="62">
        <v>1.55</v>
      </c>
      <c r="AL61" s="62">
        <v>0.96</v>
      </c>
      <c r="AM61" s="62">
        <v>1.03</v>
      </c>
      <c r="AN61" s="62">
        <v>1.3</v>
      </c>
      <c r="AO61" s="62">
        <v>2.46</v>
      </c>
      <c r="AP61" s="62">
        <v>1.31</v>
      </c>
      <c r="AQ61" s="62">
        <v>0.93</v>
      </c>
      <c r="AR61" s="62">
        <v>3.35</v>
      </c>
      <c r="AS61" s="62">
        <v>2.98</v>
      </c>
      <c r="AT61" s="62">
        <v>1.37</v>
      </c>
      <c r="AU61" s="62">
        <v>2.11</v>
      </c>
      <c r="AV61" s="62">
        <v>0.8</v>
      </c>
      <c r="AW61" s="62">
        <v>0.92</v>
      </c>
      <c r="AX61" s="62">
        <v>1.28</v>
      </c>
      <c r="AY61" s="62">
        <v>1.05</v>
      </c>
      <c r="AZ61" s="62">
        <v>0.4</v>
      </c>
      <c r="BA61" s="62">
        <v>3.18</v>
      </c>
      <c r="BB61" s="62">
        <v>6.42</v>
      </c>
      <c r="BC61" s="62">
        <v>0.89</v>
      </c>
      <c r="BD61" s="62">
        <v>1.1399999999999999</v>
      </c>
      <c r="BE61" s="62">
        <v>1.57</v>
      </c>
      <c r="BF61" s="62">
        <v>1.28</v>
      </c>
      <c r="BG61" s="62">
        <v>1.31</v>
      </c>
      <c r="BH61" s="62">
        <v>0.87</v>
      </c>
      <c r="BI61" s="62">
        <v>2.29</v>
      </c>
      <c r="BJ61" s="62">
        <v>0.8</v>
      </c>
      <c r="BK61" s="62">
        <v>5.76</v>
      </c>
      <c r="BL61" s="62">
        <v>0.92</v>
      </c>
      <c r="BM61" s="62">
        <v>1.04</v>
      </c>
      <c r="BN61" s="62">
        <v>1.43</v>
      </c>
      <c r="BO61" s="62">
        <v>0.4</v>
      </c>
      <c r="BP61" s="62">
        <v>0.38</v>
      </c>
      <c r="BQ61" s="62">
        <v>3.85</v>
      </c>
      <c r="BS61" s="62">
        <v>9.9700000000000006</v>
      </c>
      <c r="BT61" s="62">
        <v>-1.86</v>
      </c>
      <c r="BU61" s="62">
        <v>1.24</v>
      </c>
      <c r="BV61" s="62">
        <v>4.8899999999999997</v>
      </c>
      <c r="BW61" s="62">
        <v>2.74</v>
      </c>
      <c r="BX61" s="62">
        <v>0.96</v>
      </c>
      <c r="BY61" s="62">
        <v>17.48</v>
      </c>
      <c r="BZ61" s="62">
        <v>0.92</v>
      </c>
      <c r="CA61" s="62">
        <v>15.87</v>
      </c>
      <c r="CB61" s="62">
        <v>0.6</v>
      </c>
      <c r="CC61" s="62">
        <v>3.29</v>
      </c>
      <c r="CD61" s="62">
        <v>0.48</v>
      </c>
      <c r="CE61" s="62">
        <v>2.64</v>
      </c>
      <c r="CF61" s="62">
        <v>1.1000000000000001</v>
      </c>
      <c r="CG61" s="62">
        <v>2.2599999999999998</v>
      </c>
      <c r="CH61" s="62">
        <v>1.58</v>
      </c>
      <c r="CI61" s="62">
        <v>2.15</v>
      </c>
      <c r="CJ61" s="62">
        <v>0.9</v>
      </c>
      <c r="CK61" s="62">
        <v>4.3</v>
      </c>
      <c r="CL61" s="62">
        <v>1.83</v>
      </c>
      <c r="CM61" s="62">
        <v>2.4300000000000002</v>
      </c>
      <c r="CN61" s="62">
        <v>1.39</v>
      </c>
      <c r="CO61" s="62">
        <v>2.08</v>
      </c>
      <c r="CP61" s="62">
        <v>0.74</v>
      </c>
      <c r="CQ61" s="62">
        <v>7.82</v>
      </c>
      <c r="CR61" s="62">
        <v>9.39</v>
      </c>
      <c r="CS61" s="62">
        <v>3.88</v>
      </c>
      <c r="CT61" s="62">
        <v>-3.36</v>
      </c>
      <c r="CU61" s="62">
        <v>3.91</v>
      </c>
      <c r="CV61" s="62">
        <v>1</v>
      </c>
      <c r="CW61" s="62">
        <v>1.0900000000000001</v>
      </c>
      <c r="CX61" s="62">
        <v>1.98</v>
      </c>
      <c r="CY61" s="62">
        <v>1.49</v>
      </c>
      <c r="CZ61" s="62">
        <v>1.1399999999999999</v>
      </c>
      <c r="DA61" s="62">
        <v>0.46</v>
      </c>
      <c r="DB61" s="62">
        <v>7.77</v>
      </c>
      <c r="DC61" s="62">
        <v>1.08</v>
      </c>
      <c r="DD61" s="62">
        <v>1.18</v>
      </c>
      <c r="DE61" s="62">
        <v>1.1299999999999999</v>
      </c>
      <c r="DF61" s="62">
        <v>2.02</v>
      </c>
      <c r="DG61" s="62">
        <v>0.56999999999999995</v>
      </c>
      <c r="DH61" s="62">
        <v>-11.11</v>
      </c>
      <c r="DI61" s="62">
        <v>1</v>
      </c>
      <c r="DJ61" s="62">
        <v>1.5</v>
      </c>
      <c r="DK61" s="62">
        <v>1.29</v>
      </c>
      <c r="DL61" s="62">
        <v>3.84</v>
      </c>
      <c r="DM61" s="62">
        <v>0.98</v>
      </c>
      <c r="DN61" s="62">
        <v>2.13</v>
      </c>
      <c r="DO61" s="62">
        <v>15.61</v>
      </c>
      <c r="DP61" s="62">
        <v>4.05</v>
      </c>
    </row>
    <row r="62" spans="1:120" x14ac:dyDescent="0.3">
      <c r="A62" s="64" t="s">
        <v>9082</v>
      </c>
      <c r="B62" s="62">
        <v>1.53</v>
      </c>
      <c r="C62" s="62">
        <v>2.78</v>
      </c>
      <c r="D62" s="62">
        <v>14.15</v>
      </c>
      <c r="E62" s="62">
        <v>1.24</v>
      </c>
      <c r="F62" s="62">
        <v>11.53</v>
      </c>
      <c r="G62" s="62">
        <v>5.56</v>
      </c>
      <c r="H62" s="62">
        <v>0.95</v>
      </c>
      <c r="I62" s="62">
        <v>1.1299999999999999</v>
      </c>
      <c r="J62" s="62">
        <v>0.89</v>
      </c>
      <c r="K62" s="62">
        <v>1.85</v>
      </c>
      <c r="L62" s="62">
        <v>1</v>
      </c>
      <c r="M62" s="62">
        <v>2.2799999999999998</v>
      </c>
      <c r="N62" s="62">
        <v>1.01</v>
      </c>
      <c r="O62" s="62">
        <v>-3.22</v>
      </c>
      <c r="P62" s="62">
        <v>11.02</v>
      </c>
      <c r="Q62" s="62">
        <v>4.3099999999999996</v>
      </c>
      <c r="R62" s="62">
        <v>6.12</v>
      </c>
      <c r="S62" s="62">
        <v>0.79</v>
      </c>
      <c r="T62" s="62">
        <v>1.07</v>
      </c>
      <c r="U62" s="62">
        <v>1.73</v>
      </c>
      <c r="V62" s="62">
        <v>1.27</v>
      </c>
      <c r="W62" s="62">
        <v>2.04</v>
      </c>
      <c r="X62" s="62">
        <v>1.2</v>
      </c>
      <c r="Y62" s="62">
        <v>-214.29</v>
      </c>
      <c r="Z62" s="62">
        <v>2.44</v>
      </c>
      <c r="AA62" s="62">
        <v>1.91</v>
      </c>
      <c r="AB62" s="62">
        <v>2.2400000000000002</v>
      </c>
      <c r="AC62" s="62">
        <v>2.12</v>
      </c>
      <c r="AD62" s="62">
        <v>1.06</v>
      </c>
      <c r="AE62" s="62">
        <v>3.05</v>
      </c>
      <c r="AF62" s="62">
        <v>7.31</v>
      </c>
      <c r="AG62" s="62">
        <v>2.06</v>
      </c>
      <c r="AH62" s="62">
        <v>0.85</v>
      </c>
      <c r="AI62" s="62">
        <v>1.35</v>
      </c>
      <c r="AJ62" s="62">
        <v>4.42</v>
      </c>
      <c r="AK62" s="62">
        <v>1.65</v>
      </c>
      <c r="AL62" s="62">
        <v>1.1200000000000001</v>
      </c>
      <c r="AM62" s="62">
        <v>1.06</v>
      </c>
      <c r="AN62" s="62">
        <v>1.33</v>
      </c>
      <c r="AO62" s="62">
        <v>2.46</v>
      </c>
      <c r="AP62" s="62">
        <v>1.43</v>
      </c>
      <c r="AQ62" s="62">
        <v>0.93</v>
      </c>
      <c r="AR62" s="62">
        <v>3.27</v>
      </c>
      <c r="AS62" s="62">
        <v>3.07</v>
      </c>
      <c r="AT62" s="62">
        <v>1.35</v>
      </c>
      <c r="AU62" s="62">
        <v>2.36</v>
      </c>
      <c r="AV62" s="62">
        <v>0.79</v>
      </c>
      <c r="AW62" s="62">
        <v>0.89</v>
      </c>
      <c r="AX62" s="62">
        <v>1.4</v>
      </c>
      <c r="AY62" s="62">
        <v>1</v>
      </c>
      <c r="AZ62" s="62">
        <v>0.39</v>
      </c>
      <c r="BA62" s="62">
        <v>3.23</v>
      </c>
      <c r="BB62" s="62">
        <v>6.14</v>
      </c>
      <c r="BC62" s="62">
        <v>0.89</v>
      </c>
      <c r="BD62" s="62">
        <v>1.1399999999999999</v>
      </c>
      <c r="BE62" s="62">
        <v>2.2999999999999998</v>
      </c>
      <c r="BF62" s="62">
        <v>1.25</v>
      </c>
      <c r="BG62" s="62">
        <v>1.31</v>
      </c>
      <c r="BH62" s="62">
        <v>0.86</v>
      </c>
      <c r="BI62" s="62">
        <v>2.27</v>
      </c>
      <c r="BJ62" s="62">
        <v>0.71</v>
      </c>
      <c r="BK62" s="62">
        <v>5.34</v>
      </c>
      <c r="BL62" s="62">
        <v>0.92</v>
      </c>
      <c r="BM62" s="62">
        <v>1.1100000000000001</v>
      </c>
      <c r="BN62" s="62">
        <v>1.45</v>
      </c>
      <c r="BO62" s="62">
        <v>0.4</v>
      </c>
      <c r="BP62" s="62">
        <v>0.4</v>
      </c>
      <c r="BQ62" s="62">
        <v>4.0999999999999996</v>
      </c>
      <c r="BS62" s="62">
        <v>11.31</v>
      </c>
      <c r="BT62" s="62">
        <v>-1.63</v>
      </c>
      <c r="BU62" s="62">
        <v>1.3</v>
      </c>
      <c r="BV62" s="62">
        <v>7.82</v>
      </c>
      <c r="BW62" s="62">
        <v>2.81</v>
      </c>
      <c r="BX62" s="62">
        <v>0.97</v>
      </c>
      <c r="BY62" s="62">
        <v>25</v>
      </c>
      <c r="BZ62" s="62">
        <v>0.93</v>
      </c>
      <c r="CA62" s="62">
        <v>13.07</v>
      </c>
      <c r="CB62" s="62">
        <v>0.68</v>
      </c>
      <c r="CC62" s="62">
        <v>3.25</v>
      </c>
      <c r="CD62" s="62">
        <v>0.52</v>
      </c>
      <c r="CE62" s="62">
        <v>2.44</v>
      </c>
      <c r="CF62" s="62">
        <v>1.1000000000000001</v>
      </c>
      <c r="CG62" s="62">
        <v>2.1800000000000002</v>
      </c>
      <c r="CH62" s="62">
        <v>1.65</v>
      </c>
      <c r="CI62" s="62">
        <v>2.15</v>
      </c>
      <c r="CJ62" s="62">
        <v>0.82</v>
      </c>
      <c r="CK62" s="62">
        <v>3.46</v>
      </c>
      <c r="CL62" s="62">
        <v>1.84</v>
      </c>
      <c r="CM62" s="62">
        <v>2.4300000000000002</v>
      </c>
      <c r="CN62" s="62">
        <v>1.33</v>
      </c>
      <c r="CO62" s="62">
        <v>2.15</v>
      </c>
      <c r="CP62" s="62">
        <v>0.68</v>
      </c>
      <c r="CQ62" s="62">
        <v>7.43</v>
      </c>
      <c r="CR62" s="62">
        <v>9.39</v>
      </c>
      <c r="CS62" s="62">
        <v>3.88</v>
      </c>
      <c r="CT62" s="62">
        <v>-3.36</v>
      </c>
      <c r="CU62" s="62">
        <v>3.79</v>
      </c>
      <c r="CV62" s="62">
        <v>1</v>
      </c>
      <c r="CW62" s="62">
        <v>1.06</v>
      </c>
      <c r="CX62" s="62">
        <v>1.36</v>
      </c>
      <c r="CY62" s="62">
        <v>1.42</v>
      </c>
      <c r="CZ62" s="62">
        <v>1.1399999999999999</v>
      </c>
      <c r="DA62" s="62">
        <v>0.48</v>
      </c>
      <c r="DB62" s="62">
        <v>6.41</v>
      </c>
      <c r="DC62" s="62">
        <v>1.02</v>
      </c>
      <c r="DD62" s="62">
        <v>1.18</v>
      </c>
      <c r="DE62" s="62">
        <v>1.17</v>
      </c>
      <c r="DF62" s="62">
        <v>2.29</v>
      </c>
      <c r="DG62" s="62">
        <v>0.66</v>
      </c>
      <c r="DH62" s="62">
        <v>-3.7</v>
      </c>
      <c r="DI62" s="62">
        <v>1.08</v>
      </c>
      <c r="DJ62" s="62">
        <v>1.52</v>
      </c>
      <c r="DK62" s="62">
        <v>1.33</v>
      </c>
      <c r="DL62" s="62">
        <v>3.37</v>
      </c>
      <c r="DM62" s="62">
        <v>0.98</v>
      </c>
      <c r="DN62" s="62">
        <v>2.02</v>
      </c>
      <c r="DO62" s="62">
        <v>6.17</v>
      </c>
      <c r="DP62" s="62">
        <v>4.1399999999999997</v>
      </c>
    </row>
    <row r="63" spans="1:120" x14ac:dyDescent="0.3">
      <c r="A63" s="64" t="s">
        <v>9083</v>
      </c>
      <c r="B63" s="62">
        <v>1.64</v>
      </c>
      <c r="C63" s="62">
        <v>2.78</v>
      </c>
      <c r="D63" s="62">
        <v>13.63</v>
      </c>
      <c r="E63" s="62">
        <v>1.19</v>
      </c>
      <c r="F63" s="62">
        <v>11.85</v>
      </c>
      <c r="G63" s="62">
        <v>5.56</v>
      </c>
      <c r="H63" s="62">
        <v>0.97</v>
      </c>
      <c r="I63" s="62">
        <v>1.2</v>
      </c>
      <c r="J63" s="62">
        <v>0.89</v>
      </c>
      <c r="K63" s="62">
        <v>2.0299999999999998</v>
      </c>
      <c r="L63" s="62">
        <v>1.02</v>
      </c>
      <c r="M63" s="62">
        <v>2.36</v>
      </c>
      <c r="N63" s="62">
        <v>0.99</v>
      </c>
      <c r="O63" s="62">
        <v>-3.22</v>
      </c>
      <c r="P63" s="62">
        <v>13.5</v>
      </c>
      <c r="Q63" s="62">
        <v>3.63</v>
      </c>
      <c r="R63" s="62">
        <v>5.25</v>
      </c>
      <c r="S63" s="62">
        <v>0.79</v>
      </c>
      <c r="T63" s="62">
        <v>1.19</v>
      </c>
      <c r="U63" s="62">
        <v>1.79</v>
      </c>
      <c r="V63" s="62">
        <v>1.31</v>
      </c>
      <c r="W63" s="62">
        <v>1.8</v>
      </c>
      <c r="X63" s="62">
        <v>1.24</v>
      </c>
      <c r="Y63" s="62">
        <v>-214.29</v>
      </c>
      <c r="Z63" s="62">
        <v>2.44</v>
      </c>
      <c r="AA63" s="62">
        <v>1.96</v>
      </c>
      <c r="AB63" s="62">
        <v>2.2999999999999998</v>
      </c>
      <c r="AC63" s="62">
        <v>2.38</v>
      </c>
      <c r="AD63" s="62">
        <v>1.18</v>
      </c>
      <c r="AE63" s="62">
        <v>3.05</v>
      </c>
      <c r="AF63" s="62">
        <v>7.45</v>
      </c>
      <c r="AG63" s="62">
        <v>2.0099999999999998</v>
      </c>
      <c r="AH63" s="62">
        <v>0.85</v>
      </c>
      <c r="AI63" s="62">
        <v>1.39</v>
      </c>
      <c r="AJ63" s="62">
        <v>4.58</v>
      </c>
      <c r="AK63" s="62">
        <v>1.86</v>
      </c>
      <c r="AL63" s="62">
        <v>1.1200000000000001</v>
      </c>
      <c r="AM63" s="62">
        <v>1.08</v>
      </c>
      <c r="AN63" s="62">
        <v>1.36</v>
      </c>
      <c r="AO63" s="62">
        <v>2.3199999999999998</v>
      </c>
      <c r="AP63" s="62">
        <v>1.43</v>
      </c>
      <c r="AQ63" s="62">
        <v>0.97</v>
      </c>
      <c r="AR63" s="62">
        <v>3.16</v>
      </c>
      <c r="AS63" s="62">
        <v>3.27</v>
      </c>
      <c r="AT63" s="62">
        <v>1.41</v>
      </c>
      <c r="AU63" s="62">
        <v>2.0499999999999998</v>
      </c>
      <c r="AV63" s="62">
        <v>0.82</v>
      </c>
      <c r="AW63" s="62">
        <v>0.9</v>
      </c>
      <c r="AX63" s="62">
        <v>1.4</v>
      </c>
      <c r="AY63" s="62">
        <v>1.04</v>
      </c>
      <c r="AZ63" s="62">
        <v>0.39</v>
      </c>
      <c r="BA63" s="62">
        <v>3.29</v>
      </c>
      <c r="BB63" s="62">
        <v>6.14</v>
      </c>
      <c r="BC63" s="62">
        <v>0.88</v>
      </c>
      <c r="BD63" s="62">
        <v>1.1399999999999999</v>
      </c>
      <c r="BE63" s="62">
        <v>2.2999999999999998</v>
      </c>
      <c r="BF63" s="62">
        <v>1.3</v>
      </c>
      <c r="BG63" s="62">
        <v>1.37</v>
      </c>
      <c r="BH63" s="62">
        <v>0.85</v>
      </c>
      <c r="BI63" s="62">
        <v>2.2400000000000002</v>
      </c>
      <c r="BJ63" s="62">
        <v>0.81</v>
      </c>
      <c r="BK63" s="62">
        <v>5.2</v>
      </c>
      <c r="BL63" s="62">
        <v>0.77</v>
      </c>
      <c r="BM63" s="62">
        <v>1.18</v>
      </c>
      <c r="BN63" s="62">
        <v>1.46</v>
      </c>
      <c r="BO63" s="62">
        <v>0.38</v>
      </c>
      <c r="BP63" s="62">
        <v>0.45</v>
      </c>
      <c r="BQ63" s="62">
        <v>4.3</v>
      </c>
      <c r="BS63" s="62">
        <v>9.9700000000000006</v>
      </c>
      <c r="BT63" s="62">
        <v>-1.82</v>
      </c>
      <c r="BU63" s="62">
        <v>1.39</v>
      </c>
      <c r="BV63" s="62">
        <v>6.6</v>
      </c>
      <c r="BW63" s="62">
        <v>3.18</v>
      </c>
      <c r="BX63" s="62">
        <v>1</v>
      </c>
      <c r="BY63" s="62">
        <v>29</v>
      </c>
      <c r="BZ63" s="62">
        <v>0.95</v>
      </c>
      <c r="CA63" s="62">
        <v>14.75</v>
      </c>
      <c r="CB63" s="62">
        <v>0.65</v>
      </c>
      <c r="CC63" s="62">
        <v>3.47</v>
      </c>
      <c r="CD63" s="62">
        <v>0.56999999999999995</v>
      </c>
      <c r="CE63" s="62">
        <v>2.63</v>
      </c>
      <c r="CF63" s="62">
        <v>1.1399999999999999</v>
      </c>
      <c r="CG63" s="62">
        <v>2.15</v>
      </c>
      <c r="CH63" s="62">
        <v>1.72</v>
      </c>
      <c r="CI63" s="62">
        <v>2.15</v>
      </c>
      <c r="CJ63" s="62">
        <v>0.81</v>
      </c>
      <c r="CK63" s="62">
        <v>3.94</v>
      </c>
      <c r="CL63" s="62">
        <v>1.91</v>
      </c>
      <c r="CM63" s="62">
        <v>2.34</v>
      </c>
      <c r="CN63" s="62">
        <v>1.34</v>
      </c>
      <c r="CO63" s="62">
        <v>2.33</v>
      </c>
      <c r="CP63" s="62">
        <v>0.74</v>
      </c>
      <c r="CQ63" s="62">
        <v>7.04</v>
      </c>
      <c r="CR63" s="62">
        <v>9.27</v>
      </c>
      <c r="CS63" s="62">
        <v>4.0199999999999996</v>
      </c>
      <c r="CT63" s="62">
        <v>-3.36</v>
      </c>
      <c r="CU63" s="62">
        <v>3.89</v>
      </c>
      <c r="CV63" s="62">
        <v>1.1100000000000001</v>
      </c>
      <c r="CW63" s="62">
        <v>1.07</v>
      </c>
      <c r="CX63" s="62">
        <v>1.43</v>
      </c>
      <c r="CY63" s="62">
        <v>1.42</v>
      </c>
      <c r="CZ63" s="62">
        <v>1.1399999999999999</v>
      </c>
      <c r="DA63" s="62">
        <v>0.5</v>
      </c>
      <c r="DB63" s="62">
        <v>6.71</v>
      </c>
      <c r="DC63" s="62">
        <v>1.08</v>
      </c>
      <c r="DD63" s="62">
        <v>1.41</v>
      </c>
      <c r="DE63" s="62">
        <v>1.37</v>
      </c>
      <c r="DF63" s="62">
        <v>2.39</v>
      </c>
      <c r="DG63" s="62">
        <v>0.66</v>
      </c>
      <c r="DH63" s="62">
        <v>-7.41</v>
      </c>
      <c r="DI63" s="62">
        <v>1.08</v>
      </c>
      <c r="DJ63" s="62">
        <v>1.67</v>
      </c>
      <c r="DK63" s="62">
        <v>1.32</v>
      </c>
      <c r="DL63" s="62">
        <v>3.34</v>
      </c>
      <c r="DM63" s="62">
        <v>1</v>
      </c>
      <c r="DN63" s="62">
        <v>1.87</v>
      </c>
      <c r="DO63" s="62">
        <v>7.62</v>
      </c>
      <c r="DP63" s="62">
        <v>4.0599999999999996</v>
      </c>
    </row>
    <row r="64" spans="1:120" x14ac:dyDescent="0.3">
      <c r="A64" s="64" t="s">
        <v>9084</v>
      </c>
      <c r="B64" s="62">
        <v>1.63</v>
      </c>
      <c r="C64" s="62">
        <v>2.78</v>
      </c>
      <c r="D64" s="62">
        <v>14.15</v>
      </c>
      <c r="E64" s="62">
        <v>1.38</v>
      </c>
      <c r="F64" s="62">
        <v>11.06</v>
      </c>
      <c r="G64" s="62">
        <v>5.56</v>
      </c>
      <c r="H64" s="62">
        <v>0.94</v>
      </c>
      <c r="I64" s="62">
        <v>1.21</v>
      </c>
      <c r="J64" s="62">
        <v>0.87</v>
      </c>
      <c r="K64" s="62">
        <v>2.1800000000000002</v>
      </c>
      <c r="L64" s="62">
        <v>1.06</v>
      </c>
      <c r="M64" s="62">
        <v>2.41</v>
      </c>
      <c r="N64" s="62">
        <v>1.01</v>
      </c>
      <c r="O64" s="62">
        <v>-3.22</v>
      </c>
      <c r="P64" s="62">
        <v>11.85</v>
      </c>
      <c r="Q64" s="62">
        <v>3.88</v>
      </c>
      <c r="R64" s="62">
        <v>5.03</v>
      </c>
      <c r="S64" s="62">
        <v>0.59</v>
      </c>
      <c r="T64" s="62">
        <v>1.27</v>
      </c>
      <c r="U64" s="62">
        <v>1.77</v>
      </c>
      <c r="V64" s="62">
        <v>1.33</v>
      </c>
      <c r="W64" s="62">
        <v>1.84</v>
      </c>
      <c r="X64" s="62">
        <v>1.24</v>
      </c>
      <c r="Y64" s="62">
        <v>-238.1</v>
      </c>
      <c r="Z64" s="62">
        <v>2.44</v>
      </c>
      <c r="AA64" s="62">
        <v>2.04</v>
      </c>
      <c r="AB64" s="62">
        <v>2.5</v>
      </c>
      <c r="AC64" s="62">
        <v>2.78</v>
      </c>
      <c r="AD64" s="62">
        <v>1.1499999999999999</v>
      </c>
      <c r="AE64" s="62">
        <v>3.05</v>
      </c>
      <c r="AF64" s="62">
        <v>7.9</v>
      </c>
      <c r="AG64" s="62">
        <v>1.87</v>
      </c>
      <c r="AH64" s="62">
        <v>0.86</v>
      </c>
      <c r="AI64" s="62">
        <v>1.43</v>
      </c>
      <c r="AJ64" s="62">
        <v>4.5999999999999996</v>
      </c>
      <c r="AK64" s="62">
        <v>2</v>
      </c>
      <c r="AL64" s="62">
        <v>1.1200000000000001</v>
      </c>
      <c r="AM64" s="62">
        <v>1.08</v>
      </c>
      <c r="AN64" s="62">
        <v>1.19</v>
      </c>
      <c r="AO64" s="62">
        <v>2.44</v>
      </c>
      <c r="AP64" s="62">
        <v>1.35</v>
      </c>
      <c r="AQ64" s="62">
        <v>0.95</v>
      </c>
      <c r="AR64" s="62">
        <v>3.04</v>
      </c>
      <c r="AS64" s="62">
        <v>3.39</v>
      </c>
      <c r="AT64" s="62">
        <v>1.43</v>
      </c>
      <c r="AU64" s="62">
        <v>2.2999999999999998</v>
      </c>
      <c r="AV64" s="62">
        <v>0.82</v>
      </c>
      <c r="AW64" s="62">
        <v>0.87</v>
      </c>
      <c r="AX64" s="62">
        <v>2.44</v>
      </c>
      <c r="AY64" s="62">
        <v>1.02</v>
      </c>
      <c r="AZ64" s="62">
        <v>0.4</v>
      </c>
      <c r="BA64" s="62">
        <v>3.34</v>
      </c>
      <c r="BB64" s="62">
        <v>5.58</v>
      </c>
      <c r="BC64" s="62">
        <v>0.89</v>
      </c>
      <c r="BD64" s="62">
        <v>1.31</v>
      </c>
      <c r="BE64" s="62">
        <v>2.2999999999999998</v>
      </c>
      <c r="BF64" s="62">
        <v>1.3</v>
      </c>
      <c r="BG64" s="62">
        <v>1.36</v>
      </c>
      <c r="BH64" s="62">
        <v>0.92</v>
      </c>
      <c r="BI64" s="62">
        <v>1.77</v>
      </c>
      <c r="BJ64" s="62">
        <v>0.86</v>
      </c>
      <c r="BK64" s="62">
        <v>5.0599999999999996</v>
      </c>
      <c r="BL64" s="62">
        <v>0.77</v>
      </c>
      <c r="BM64" s="62">
        <v>1.19</v>
      </c>
      <c r="BN64" s="62">
        <v>1.47</v>
      </c>
      <c r="BO64" s="62">
        <v>0.4</v>
      </c>
      <c r="BP64" s="62">
        <v>0.54</v>
      </c>
      <c r="BQ64" s="62">
        <v>4.34</v>
      </c>
      <c r="BS64" s="62">
        <v>9.7799999999999994</v>
      </c>
      <c r="BT64" s="62">
        <v>-1.1200000000000001</v>
      </c>
      <c r="BU64" s="62">
        <v>1.42</v>
      </c>
      <c r="BV64" s="62">
        <v>6.35</v>
      </c>
      <c r="BW64" s="62">
        <v>3.19</v>
      </c>
      <c r="BX64" s="62">
        <v>0.96</v>
      </c>
      <c r="BY64" s="62">
        <v>29</v>
      </c>
      <c r="BZ64" s="62">
        <v>0.93</v>
      </c>
      <c r="CA64" s="62">
        <v>17.649999999999999</v>
      </c>
      <c r="CB64" s="62">
        <v>0.63</v>
      </c>
      <c r="CC64" s="62">
        <v>3.23</v>
      </c>
      <c r="CD64" s="62">
        <v>0.53</v>
      </c>
      <c r="CE64" s="62">
        <v>2.69</v>
      </c>
      <c r="CF64" s="62">
        <v>1.22</v>
      </c>
      <c r="CG64" s="62">
        <v>2.1800000000000002</v>
      </c>
      <c r="CH64" s="62">
        <v>1.81</v>
      </c>
      <c r="CI64" s="62">
        <v>1.62</v>
      </c>
      <c r="CJ64" s="62">
        <v>0.87</v>
      </c>
      <c r="CK64" s="62">
        <v>3.34</v>
      </c>
      <c r="CL64" s="62">
        <v>1.85</v>
      </c>
      <c r="CM64" s="62">
        <v>2.5099999999999998</v>
      </c>
      <c r="CN64" s="62">
        <v>1.1100000000000001</v>
      </c>
      <c r="CO64" s="62">
        <v>2.59</v>
      </c>
      <c r="CP64" s="62">
        <v>0.68</v>
      </c>
      <c r="CQ64" s="62">
        <v>7.04</v>
      </c>
      <c r="CR64" s="62">
        <v>9.59</v>
      </c>
      <c r="CS64" s="62">
        <v>4.09</v>
      </c>
      <c r="CT64" s="62">
        <v>-3.36</v>
      </c>
      <c r="CU64" s="62">
        <v>3.95</v>
      </c>
      <c r="CV64" s="62">
        <v>1.03</v>
      </c>
      <c r="CW64" s="62">
        <v>1.0900000000000001</v>
      </c>
      <c r="CX64" s="62">
        <v>1.54</v>
      </c>
      <c r="CY64" s="62">
        <v>1.44</v>
      </c>
      <c r="CZ64" s="62">
        <v>1.25</v>
      </c>
      <c r="DA64" s="62">
        <v>0.87</v>
      </c>
      <c r="DB64" s="62">
        <v>7.04</v>
      </c>
      <c r="DC64" s="62">
        <v>1.05</v>
      </c>
      <c r="DD64" s="62">
        <v>1.88</v>
      </c>
      <c r="DE64" s="62">
        <v>1.3</v>
      </c>
      <c r="DF64" s="62">
        <v>2.42</v>
      </c>
      <c r="DG64" s="62">
        <v>1.04</v>
      </c>
      <c r="DH64" s="62">
        <v>-3.7</v>
      </c>
      <c r="DI64" s="62">
        <v>1.05</v>
      </c>
      <c r="DJ64" s="62">
        <v>1.65</v>
      </c>
      <c r="DK64" s="62">
        <v>1.34</v>
      </c>
      <c r="DL64" s="62">
        <v>3.29</v>
      </c>
      <c r="DM64" s="62">
        <v>1.01</v>
      </c>
      <c r="DN64" s="62">
        <v>1.86</v>
      </c>
      <c r="DO64" s="62">
        <v>9.14</v>
      </c>
      <c r="DP64" s="62">
        <v>4.1399999999999997</v>
      </c>
    </row>
    <row r="65" spans="1:120" x14ac:dyDescent="0.3">
      <c r="A65" s="64" t="s">
        <v>9085</v>
      </c>
      <c r="B65" s="62">
        <v>1.57</v>
      </c>
      <c r="C65" s="62">
        <v>4.12</v>
      </c>
      <c r="D65" s="62">
        <v>38.880000000000003</v>
      </c>
      <c r="E65" s="62">
        <v>1.37</v>
      </c>
      <c r="F65" s="62">
        <v>9.9499999999999993</v>
      </c>
      <c r="G65" s="62">
        <v>8.33</v>
      </c>
      <c r="H65" s="62">
        <v>0.87</v>
      </c>
      <c r="I65" s="62">
        <v>1.02</v>
      </c>
      <c r="J65" s="62">
        <v>0.84</v>
      </c>
      <c r="K65" s="62">
        <v>2.0099999999999998</v>
      </c>
      <c r="L65" s="62">
        <v>1.05</v>
      </c>
      <c r="M65" s="62">
        <v>2.34</v>
      </c>
      <c r="N65" s="62">
        <v>0.96</v>
      </c>
      <c r="O65" s="62">
        <v>3.1</v>
      </c>
      <c r="P65" s="62">
        <v>13.65</v>
      </c>
      <c r="Q65" s="62">
        <v>3.88</v>
      </c>
      <c r="R65" s="62">
        <v>5.29</v>
      </c>
      <c r="S65" s="62">
        <v>0.64</v>
      </c>
      <c r="T65" s="62">
        <v>1.25</v>
      </c>
      <c r="U65" s="62">
        <v>1.83</v>
      </c>
      <c r="V65" s="62">
        <v>1.34</v>
      </c>
      <c r="W65" s="62">
        <v>2.17</v>
      </c>
      <c r="X65" s="62">
        <v>1.33</v>
      </c>
      <c r="Y65" s="62">
        <v>196.08</v>
      </c>
      <c r="Z65" s="62">
        <v>2.44</v>
      </c>
      <c r="AA65" s="62">
        <v>2.0699999999999998</v>
      </c>
      <c r="AB65" s="62">
        <v>2.4700000000000002</v>
      </c>
      <c r="AC65" s="62">
        <v>2.14</v>
      </c>
      <c r="AD65" s="62">
        <v>1.25</v>
      </c>
      <c r="AE65" s="62">
        <v>3.05</v>
      </c>
      <c r="AF65" s="62">
        <v>7.38</v>
      </c>
      <c r="AG65" s="62">
        <v>1.62</v>
      </c>
      <c r="AH65" s="62">
        <v>0.78</v>
      </c>
      <c r="AI65" s="62">
        <v>1.38</v>
      </c>
      <c r="AJ65" s="62">
        <v>4.88</v>
      </c>
      <c r="AK65" s="62">
        <v>2.98</v>
      </c>
      <c r="AL65" s="62">
        <v>1.23</v>
      </c>
      <c r="AM65" s="62">
        <v>1.04</v>
      </c>
      <c r="AN65" s="62">
        <v>1.06</v>
      </c>
      <c r="AO65" s="62">
        <v>2.82</v>
      </c>
      <c r="AP65" s="62">
        <v>1.51</v>
      </c>
      <c r="AQ65" s="62">
        <v>0.87</v>
      </c>
      <c r="AR65" s="62">
        <v>2.6</v>
      </c>
      <c r="AS65" s="62">
        <v>3.58</v>
      </c>
      <c r="AT65" s="62">
        <v>1.5</v>
      </c>
      <c r="AU65" s="62">
        <v>3.95</v>
      </c>
      <c r="AV65" s="62">
        <v>0.84</v>
      </c>
      <c r="AW65" s="62">
        <v>0.81</v>
      </c>
      <c r="AX65" s="62">
        <v>2.38</v>
      </c>
      <c r="AY65" s="62">
        <v>1.02</v>
      </c>
      <c r="AZ65" s="62">
        <v>0.4</v>
      </c>
      <c r="BA65" s="62">
        <v>3.18</v>
      </c>
      <c r="BB65" s="62">
        <v>5.58</v>
      </c>
      <c r="BC65" s="62">
        <v>0.86</v>
      </c>
      <c r="BD65" s="62">
        <v>1.35</v>
      </c>
      <c r="BE65" s="62">
        <v>2</v>
      </c>
      <c r="BF65" s="62">
        <v>1.32</v>
      </c>
      <c r="BG65" s="62">
        <v>1.41</v>
      </c>
      <c r="BH65" s="62">
        <v>0.96</v>
      </c>
      <c r="BI65" s="62">
        <v>1.51</v>
      </c>
      <c r="BJ65" s="62">
        <v>0.83</v>
      </c>
      <c r="BK65" s="62">
        <v>4.92</v>
      </c>
      <c r="BL65" s="62">
        <v>0.63</v>
      </c>
      <c r="BM65" s="62">
        <v>1.18</v>
      </c>
      <c r="BN65" s="62">
        <v>1.34</v>
      </c>
      <c r="BO65" s="62">
        <v>0.38</v>
      </c>
      <c r="BP65" s="62">
        <v>0.63</v>
      </c>
      <c r="BQ65" s="62">
        <v>4.18</v>
      </c>
      <c r="BS65" s="62">
        <v>16.190000000000001</v>
      </c>
      <c r="BT65" s="62">
        <v>-0.71</v>
      </c>
      <c r="BU65" s="62">
        <v>1.42</v>
      </c>
      <c r="BV65" s="62">
        <v>6.54</v>
      </c>
      <c r="BW65" s="62">
        <v>3.02</v>
      </c>
      <c r="BX65" s="62">
        <v>0.97</v>
      </c>
      <c r="BY65" s="62">
        <v>18</v>
      </c>
      <c r="BZ65" s="62">
        <v>0.95</v>
      </c>
      <c r="CA65" s="62">
        <v>16.489999999999998</v>
      </c>
      <c r="CB65" s="62">
        <v>0.52</v>
      </c>
      <c r="CC65" s="62">
        <v>3.32</v>
      </c>
      <c r="CD65" s="62">
        <v>0.56000000000000005</v>
      </c>
      <c r="CE65" s="62">
        <v>2.1800000000000002</v>
      </c>
      <c r="CF65" s="62">
        <v>1.19</v>
      </c>
      <c r="CG65" s="62">
        <v>2.16</v>
      </c>
      <c r="CH65" s="62">
        <v>2.11</v>
      </c>
      <c r="CI65" s="62">
        <v>2.94</v>
      </c>
      <c r="CJ65" s="62">
        <v>0.95</v>
      </c>
      <c r="CK65" s="62">
        <v>2.6</v>
      </c>
      <c r="CL65" s="62">
        <v>1.8</v>
      </c>
      <c r="CM65" s="62">
        <v>2.56</v>
      </c>
      <c r="CN65" s="62">
        <v>1.1399999999999999</v>
      </c>
      <c r="CO65" s="62">
        <v>2.31</v>
      </c>
      <c r="CP65" s="62">
        <v>0.68</v>
      </c>
      <c r="CQ65" s="62">
        <v>6.33</v>
      </c>
      <c r="CR65" s="62">
        <v>9.7899999999999991</v>
      </c>
      <c r="CS65" s="62">
        <v>3.66</v>
      </c>
      <c r="CT65" s="62">
        <v>10.46</v>
      </c>
      <c r="CU65" s="62">
        <v>4.01</v>
      </c>
      <c r="CV65" s="62">
        <v>0.99</v>
      </c>
      <c r="CW65" s="62">
        <v>0.94</v>
      </c>
      <c r="CX65" s="62">
        <v>1.51</v>
      </c>
      <c r="CY65" s="62">
        <v>1.58</v>
      </c>
      <c r="CZ65" s="62">
        <v>1.23</v>
      </c>
      <c r="DA65" s="62">
        <v>1.0900000000000001</v>
      </c>
      <c r="DB65" s="62">
        <v>9.15</v>
      </c>
      <c r="DC65" s="62">
        <v>0.93</v>
      </c>
      <c r="DD65" s="62">
        <v>13.9</v>
      </c>
      <c r="DE65" s="62">
        <v>1.31</v>
      </c>
      <c r="DF65" s="62">
        <v>2.29</v>
      </c>
      <c r="DG65" s="62">
        <v>0.99</v>
      </c>
      <c r="DH65" s="62">
        <v>-3.03</v>
      </c>
      <c r="DI65" s="62">
        <v>1.01</v>
      </c>
      <c r="DJ65" s="62">
        <v>1.42</v>
      </c>
      <c r="DK65" s="62">
        <v>1.29</v>
      </c>
      <c r="DL65" s="62">
        <v>3.58</v>
      </c>
      <c r="DM65" s="62">
        <v>1</v>
      </c>
      <c r="DN65" s="62">
        <v>1.63</v>
      </c>
      <c r="DO65" s="62">
        <v>9.9</v>
      </c>
      <c r="DP65" s="62">
        <v>3.32</v>
      </c>
    </row>
    <row r="66" spans="1:120" x14ac:dyDescent="0.3">
      <c r="A66" s="64" t="s">
        <v>9086</v>
      </c>
      <c r="B66" s="62">
        <v>1.59</v>
      </c>
      <c r="C66" s="62">
        <v>4.12</v>
      </c>
      <c r="D66" s="62">
        <v>33.74</v>
      </c>
      <c r="E66" s="62">
        <v>1.48</v>
      </c>
      <c r="F66" s="62">
        <v>11.53</v>
      </c>
      <c r="G66" s="62">
        <v>8.33</v>
      </c>
      <c r="H66" s="62">
        <v>0.9</v>
      </c>
      <c r="I66" s="62">
        <v>1.06</v>
      </c>
      <c r="J66" s="62">
        <v>0.89</v>
      </c>
      <c r="K66" s="62">
        <v>2.0499999999999998</v>
      </c>
      <c r="L66" s="62">
        <v>1.05</v>
      </c>
      <c r="M66" s="62">
        <v>2.61</v>
      </c>
      <c r="N66" s="62">
        <v>0.94</v>
      </c>
      <c r="O66" s="62">
        <v>3.1</v>
      </c>
      <c r="P66" s="62">
        <v>13.65</v>
      </c>
      <c r="Q66" s="62">
        <v>3.56</v>
      </c>
      <c r="R66" s="62">
        <v>7</v>
      </c>
      <c r="S66" s="62">
        <v>0.59</v>
      </c>
      <c r="T66" s="62">
        <v>1.27</v>
      </c>
      <c r="U66" s="62">
        <v>1.93</v>
      </c>
      <c r="V66" s="62">
        <v>1.37</v>
      </c>
      <c r="W66" s="62">
        <v>1.76</v>
      </c>
      <c r="X66" s="62">
        <v>1.33</v>
      </c>
      <c r="Y66" s="62">
        <v>135.29</v>
      </c>
      <c r="Z66" s="62">
        <v>2.3199999999999998</v>
      </c>
      <c r="AA66" s="62">
        <v>2.0299999999999998</v>
      </c>
      <c r="AB66" s="62">
        <v>2.46</v>
      </c>
      <c r="AC66" s="62">
        <v>1.93</v>
      </c>
      <c r="AD66" s="62">
        <v>1.24</v>
      </c>
      <c r="AE66" s="62">
        <v>3.05</v>
      </c>
      <c r="AF66" s="62">
        <v>7.61</v>
      </c>
      <c r="AG66" s="62">
        <v>1.64</v>
      </c>
      <c r="AH66" s="62">
        <v>0.74</v>
      </c>
      <c r="AI66" s="62">
        <v>1.34</v>
      </c>
      <c r="AJ66" s="62">
        <v>4.93</v>
      </c>
      <c r="AK66" s="62">
        <v>3.51</v>
      </c>
      <c r="AL66" s="62">
        <v>1.23</v>
      </c>
      <c r="AM66" s="62">
        <v>1.08</v>
      </c>
      <c r="AN66" s="62">
        <v>1.0900000000000001</v>
      </c>
      <c r="AO66" s="62">
        <v>3.2</v>
      </c>
      <c r="AP66" s="62">
        <v>1.47</v>
      </c>
      <c r="AQ66" s="62">
        <v>0.88</v>
      </c>
      <c r="AR66" s="62">
        <v>2.72</v>
      </c>
      <c r="AS66" s="62">
        <v>3.19</v>
      </c>
      <c r="AT66" s="62">
        <v>1.52</v>
      </c>
      <c r="AU66" s="62">
        <v>3.55</v>
      </c>
      <c r="AV66" s="62">
        <v>0.86</v>
      </c>
      <c r="AW66" s="62">
        <v>0.81</v>
      </c>
      <c r="AX66" s="62">
        <v>2.38</v>
      </c>
      <c r="AY66" s="62">
        <v>1.01</v>
      </c>
      <c r="AZ66" s="62">
        <v>0.4</v>
      </c>
      <c r="BA66" s="62">
        <v>3.12</v>
      </c>
      <c r="BB66" s="62">
        <v>5.58</v>
      </c>
      <c r="BC66" s="62">
        <v>0.87</v>
      </c>
      <c r="BD66" s="62">
        <v>1.38</v>
      </c>
      <c r="BE66" s="62">
        <v>2.06</v>
      </c>
      <c r="BF66" s="62">
        <v>1.34</v>
      </c>
      <c r="BG66" s="62">
        <v>1.41</v>
      </c>
      <c r="BH66" s="62">
        <v>0.9</v>
      </c>
      <c r="BI66" s="62">
        <v>1.56</v>
      </c>
      <c r="BJ66" s="62">
        <v>0.82</v>
      </c>
      <c r="BK66" s="62">
        <v>4.57</v>
      </c>
      <c r="BL66" s="62">
        <v>0.75</v>
      </c>
      <c r="BM66" s="62">
        <v>1.1499999999999999</v>
      </c>
      <c r="BN66" s="62">
        <v>1.45</v>
      </c>
      <c r="BO66" s="62">
        <v>0.4</v>
      </c>
      <c r="BP66" s="62">
        <v>0.62</v>
      </c>
      <c r="BQ66" s="62">
        <v>4.18</v>
      </c>
      <c r="BS66" s="62">
        <v>16.46</v>
      </c>
      <c r="BT66" s="62">
        <v>-0.56999999999999995</v>
      </c>
      <c r="BU66" s="62">
        <v>1.47</v>
      </c>
      <c r="BV66" s="62">
        <v>5.72</v>
      </c>
      <c r="BW66" s="62">
        <v>2.96</v>
      </c>
      <c r="BX66" s="62">
        <v>0.98</v>
      </c>
      <c r="BY66" s="62">
        <v>22</v>
      </c>
      <c r="BZ66" s="62">
        <v>0.96</v>
      </c>
      <c r="CA66" s="62">
        <v>15.76</v>
      </c>
      <c r="CB66" s="62">
        <v>0.5</v>
      </c>
      <c r="CC66" s="62">
        <v>3.29</v>
      </c>
      <c r="CD66" s="62">
        <v>0.53</v>
      </c>
      <c r="CE66" s="62">
        <v>2.23</v>
      </c>
      <c r="CF66" s="62">
        <v>1.18</v>
      </c>
      <c r="CG66" s="62">
        <v>2.11</v>
      </c>
      <c r="CH66" s="62">
        <v>2.31</v>
      </c>
      <c r="CI66" s="62">
        <v>2.94</v>
      </c>
      <c r="CJ66" s="62">
        <v>0.89</v>
      </c>
      <c r="CK66" s="62">
        <v>3.05</v>
      </c>
      <c r="CL66" s="62">
        <v>1.85</v>
      </c>
      <c r="CM66" s="62">
        <v>2.69</v>
      </c>
      <c r="CN66" s="62">
        <v>1.1100000000000001</v>
      </c>
      <c r="CO66" s="62">
        <v>2.04</v>
      </c>
      <c r="CP66" s="62">
        <v>0.84</v>
      </c>
      <c r="CQ66" s="62">
        <v>2.11</v>
      </c>
      <c r="CR66" s="62">
        <v>9.11</v>
      </c>
      <c r="CS66" s="62">
        <v>3.84</v>
      </c>
      <c r="CT66" s="62">
        <v>10.46</v>
      </c>
      <c r="CU66" s="62">
        <v>4.09</v>
      </c>
      <c r="CV66" s="62">
        <v>1.02</v>
      </c>
      <c r="CW66" s="62">
        <v>0.96</v>
      </c>
      <c r="CX66" s="62">
        <v>1.51</v>
      </c>
      <c r="CY66" s="62">
        <v>1.73</v>
      </c>
      <c r="CZ66" s="62">
        <v>1.35</v>
      </c>
      <c r="DA66" s="62">
        <v>0.78</v>
      </c>
      <c r="DB66" s="62">
        <v>10.33</v>
      </c>
      <c r="DC66" s="62">
        <v>0.91</v>
      </c>
      <c r="DD66" s="62">
        <v>9.27</v>
      </c>
      <c r="DE66" s="62">
        <v>1.34</v>
      </c>
      <c r="DF66" s="62">
        <v>2.33</v>
      </c>
      <c r="DG66" s="62">
        <v>0.96</v>
      </c>
      <c r="DH66" s="62">
        <v>-3.03</v>
      </c>
      <c r="DI66" s="62">
        <v>1.07</v>
      </c>
      <c r="DJ66" s="62">
        <v>1.42</v>
      </c>
      <c r="DK66" s="62">
        <v>1.34</v>
      </c>
      <c r="DL66" s="62">
        <v>3.55</v>
      </c>
      <c r="DM66" s="62">
        <v>1.08</v>
      </c>
      <c r="DN66" s="62">
        <v>1.52</v>
      </c>
      <c r="DO66" s="62">
        <v>11.04</v>
      </c>
      <c r="DP66" s="62">
        <v>3.45</v>
      </c>
    </row>
    <row r="67" spans="1:120" x14ac:dyDescent="0.3">
      <c r="A67" s="64" t="s">
        <v>9087</v>
      </c>
      <c r="B67" s="62">
        <v>1.39</v>
      </c>
      <c r="C67" s="62">
        <v>3.09</v>
      </c>
      <c r="D67" s="62">
        <v>33.01</v>
      </c>
      <c r="E67" s="62">
        <v>1.71</v>
      </c>
      <c r="F67" s="62">
        <v>9.9499999999999993</v>
      </c>
      <c r="G67" s="62">
        <v>8.33</v>
      </c>
      <c r="H67" s="62">
        <v>0.91</v>
      </c>
      <c r="I67" s="62">
        <v>1.1000000000000001</v>
      </c>
      <c r="J67" s="62">
        <v>0.85</v>
      </c>
      <c r="K67" s="62">
        <v>2.08</v>
      </c>
      <c r="L67" s="62">
        <v>1.05</v>
      </c>
      <c r="M67" s="62">
        <v>2.58</v>
      </c>
      <c r="N67" s="62">
        <v>0.98</v>
      </c>
      <c r="O67" s="62">
        <v>3.1</v>
      </c>
      <c r="P67" s="62">
        <v>11.44</v>
      </c>
      <c r="Q67" s="62">
        <v>3.68</v>
      </c>
      <c r="R67" s="62">
        <v>7.31</v>
      </c>
      <c r="S67" s="62">
        <v>0.51</v>
      </c>
      <c r="T67" s="62">
        <v>1.21</v>
      </c>
      <c r="U67" s="62">
        <v>1.95</v>
      </c>
      <c r="V67" s="62">
        <v>1.35</v>
      </c>
      <c r="W67" s="62">
        <v>1.45</v>
      </c>
      <c r="X67" s="62">
        <v>1.33</v>
      </c>
      <c r="Y67" s="62">
        <v>135.29</v>
      </c>
      <c r="Z67" s="62">
        <v>2.3199999999999998</v>
      </c>
      <c r="AA67" s="62">
        <v>2.14</v>
      </c>
      <c r="AB67" s="62">
        <v>2.31</v>
      </c>
      <c r="AC67" s="62">
        <v>1.77</v>
      </c>
      <c r="AD67" s="62">
        <v>1.17</v>
      </c>
      <c r="AE67" s="62">
        <v>3.05</v>
      </c>
      <c r="AF67" s="62">
        <v>8.06</v>
      </c>
      <c r="AG67" s="62">
        <v>1.45</v>
      </c>
      <c r="AH67" s="62">
        <v>0.78</v>
      </c>
      <c r="AI67" s="62">
        <v>1.35</v>
      </c>
      <c r="AJ67" s="62">
        <v>5</v>
      </c>
      <c r="AK67" s="62">
        <v>3.07</v>
      </c>
      <c r="AL67" s="62">
        <v>1.23</v>
      </c>
      <c r="AM67" s="62">
        <v>1.17</v>
      </c>
      <c r="AN67" s="62">
        <v>1.4</v>
      </c>
      <c r="AO67" s="62">
        <v>3.23</v>
      </c>
      <c r="AP67" s="62">
        <v>1.59</v>
      </c>
      <c r="AQ67" s="62">
        <v>0.9</v>
      </c>
      <c r="AR67" s="62">
        <v>2.69</v>
      </c>
      <c r="AS67" s="62">
        <v>3.02</v>
      </c>
      <c r="AT67" s="62">
        <v>1.55</v>
      </c>
      <c r="AU67" s="62">
        <v>3.85</v>
      </c>
      <c r="AV67" s="62">
        <v>0.85</v>
      </c>
      <c r="AW67" s="62">
        <v>0.83</v>
      </c>
      <c r="AX67" s="62">
        <v>1.74</v>
      </c>
      <c r="AY67" s="62">
        <v>1.03</v>
      </c>
      <c r="AZ67" s="62">
        <v>0.38</v>
      </c>
      <c r="BA67" s="62">
        <v>3.21</v>
      </c>
      <c r="BB67" s="62">
        <v>5.58</v>
      </c>
      <c r="BC67" s="62">
        <v>0.88</v>
      </c>
      <c r="BD67" s="62">
        <v>1.36</v>
      </c>
      <c r="BE67" s="62">
        <v>2.06</v>
      </c>
      <c r="BF67" s="62">
        <v>1.38</v>
      </c>
      <c r="BG67" s="62">
        <v>1.46</v>
      </c>
      <c r="BH67" s="62">
        <v>0.86</v>
      </c>
      <c r="BI67" s="62">
        <v>1.57</v>
      </c>
      <c r="BJ67" s="62">
        <v>0.78</v>
      </c>
      <c r="BK67" s="62">
        <v>4.57</v>
      </c>
      <c r="BL67" s="62">
        <v>0.75</v>
      </c>
      <c r="BM67" s="62">
        <v>1.18</v>
      </c>
      <c r="BN67" s="62">
        <v>0.73</v>
      </c>
      <c r="BO67" s="62">
        <v>0.4</v>
      </c>
      <c r="BP67" s="62">
        <v>0.52</v>
      </c>
      <c r="BQ67" s="62">
        <v>4.26</v>
      </c>
      <c r="BR67" s="62">
        <v>0.94</v>
      </c>
      <c r="BS67" s="62">
        <v>13.12</v>
      </c>
      <c r="BT67" s="62">
        <v>-0.28000000000000003</v>
      </c>
      <c r="BU67" s="62">
        <v>1.58</v>
      </c>
      <c r="BV67" s="62">
        <v>2.73</v>
      </c>
      <c r="BW67" s="62">
        <v>3.26</v>
      </c>
      <c r="BX67" s="62">
        <v>0.97</v>
      </c>
      <c r="BY67" s="62">
        <v>20</v>
      </c>
      <c r="BZ67" s="62">
        <v>0.96</v>
      </c>
      <c r="CA67" s="62">
        <v>14.93</v>
      </c>
      <c r="CB67" s="62">
        <v>0.5</v>
      </c>
      <c r="CC67" s="62">
        <v>3.65</v>
      </c>
      <c r="CD67" s="62">
        <v>0.53</v>
      </c>
      <c r="CE67" s="62">
        <v>2.15</v>
      </c>
      <c r="CF67" s="62">
        <v>1.1599999999999999</v>
      </c>
      <c r="CG67" s="62">
        <v>2.1</v>
      </c>
      <c r="CH67" s="62">
        <v>2.08</v>
      </c>
      <c r="CI67" s="62">
        <v>2.52</v>
      </c>
      <c r="CJ67" s="62">
        <v>0.9</v>
      </c>
      <c r="CK67" s="62">
        <v>4.13</v>
      </c>
      <c r="CL67" s="62">
        <v>1.91</v>
      </c>
      <c r="CM67" s="62">
        <v>2.75</v>
      </c>
      <c r="CN67" s="62">
        <v>1.08</v>
      </c>
      <c r="CO67" s="62">
        <v>2.04</v>
      </c>
      <c r="CP67" s="62">
        <v>0.86</v>
      </c>
      <c r="CQ67" s="62">
        <v>2.81</v>
      </c>
      <c r="CR67" s="62">
        <v>8.7899999999999991</v>
      </c>
      <c r="CS67" s="62">
        <v>4.0199999999999996</v>
      </c>
      <c r="CT67" s="62">
        <v>14.64</v>
      </c>
      <c r="CU67" s="62">
        <v>4.25</v>
      </c>
      <c r="CV67" s="62">
        <v>1.05</v>
      </c>
      <c r="CW67" s="62">
        <v>0.95</v>
      </c>
      <c r="CX67" s="62">
        <v>1.41</v>
      </c>
      <c r="CY67" s="62">
        <v>1.82</v>
      </c>
      <c r="CZ67" s="62">
        <v>1.3</v>
      </c>
      <c r="DA67" s="62">
        <v>0.87</v>
      </c>
      <c r="DB67" s="62">
        <v>10.18</v>
      </c>
      <c r="DC67" s="62">
        <v>1</v>
      </c>
      <c r="DD67" s="62">
        <v>12.36</v>
      </c>
      <c r="DE67" s="62">
        <v>1.29</v>
      </c>
      <c r="DF67" s="62">
        <v>2.4</v>
      </c>
      <c r="DG67" s="62">
        <v>0.87</v>
      </c>
      <c r="DH67" s="62">
        <v>-6.06</v>
      </c>
      <c r="DI67" s="62">
        <v>1.1399999999999999</v>
      </c>
      <c r="DJ67" s="62">
        <v>1.48</v>
      </c>
      <c r="DK67" s="62">
        <v>1.34</v>
      </c>
      <c r="DL67" s="62">
        <v>3.68</v>
      </c>
      <c r="DM67" s="62">
        <v>1.1100000000000001</v>
      </c>
      <c r="DN67" s="62">
        <v>1.45</v>
      </c>
      <c r="DO67" s="62">
        <v>9.52</v>
      </c>
      <c r="DP67" s="62">
        <v>3.53</v>
      </c>
    </row>
    <row r="68" spans="1:120" x14ac:dyDescent="0.3">
      <c r="A68" s="64" t="s">
        <v>9088</v>
      </c>
      <c r="B68" s="62">
        <v>1.49</v>
      </c>
      <c r="C68" s="62">
        <v>3.09</v>
      </c>
      <c r="D68" s="62">
        <v>32.86</v>
      </c>
      <c r="E68" s="62">
        <v>1.7</v>
      </c>
      <c r="F68" s="62">
        <v>5.71</v>
      </c>
      <c r="G68" s="62">
        <v>8.33</v>
      </c>
      <c r="H68" s="62">
        <v>0.92</v>
      </c>
      <c r="I68" s="62">
        <v>1.07</v>
      </c>
      <c r="J68" s="62">
        <v>0.85</v>
      </c>
      <c r="K68" s="62">
        <v>1.51</v>
      </c>
      <c r="L68" s="62">
        <v>1.1000000000000001</v>
      </c>
      <c r="M68" s="62">
        <v>2.54</v>
      </c>
      <c r="N68" s="62">
        <v>0.83</v>
      </c>
      <c r="O68" s="62">
        <v>3.1</v>
      </c>
      <c r="P68" s="62">
        <v>12.18</v>
      </c>
      <c r="Q68" s="62">
        <v>3.5</v>
      </c>
      <c r="R68" s="62">
        <v>6.17</v>
      </c>
      <c r="S68" s="62">
        <v>0.32</v>
      </c>
      <c r="T68" s="62">
        <v>1.18</v>
      </c>
      <c r="U68" s="62">
        <v>1.93</v>
      </c>
      <c r="V68" s="62">
        <v>1.25</v>
      </c>
      <c r="W68" s="62">
        <v>1.38</v>
      </c>
      <c r="X68" s="62">
        <v>1.37</v>
      </c>
      <c r="Y68" s="62">
        <v>156.86000000000001</v>
      </c>
      <c r="Z68" s="62">
        <v>2.99</v>
      </c>
      <c r="AA68" s="62">
        <v>1.92</v>
      </c>
      <c r="AB68" s="62">
        <v>2.2000000000000002</v>
      </c>
      <c r="AC68" s="62">
        <v>1.68</v>
      </c>
      <c r="AD68" s="62">
        <v>1.1000000000000001</v>
      </c>
      <c r="AE68" s="62">
        <v>3.4</v>
      </c>
      <c r="AF68" s="62">
        <v>8.41</v>
      </c>
      <c r="AG68" s="62">
        <v>1.57</v>
      </c>
      <c r="AH68" s="62">
        <v>0.75</v>
      </c>
      <c r="AI68" s="62">
        <v>1.35</v>
      </c>
      <c r="AJ68" s="62">
        <v>4.62</v>
      </c>
      <c r="AK68" s="62">
        <v>2.98</v>
      </c>
      <c r="AL68" s="62">
        <v>0.41</v>
      </c>
      <c r="AM68" s="62">
        <v>1.25</v>
      </c>
      <c r="AN68" s="62">
        <v>1.38</v>
      </c>
      <c r="AO68" s="62">
        <v>3.47</v>
      </c>
      <c r="AP68" s="62">
        <v>6.15</v>
      </c>
      <c r="AQ68" s="62">
        <v>0.9</v>
      </c>
      <c r="AR68" s="62">
        <v>2.5</v>
      </c>
      <c r="AS68" s="62">
        <v>3.07</v>
      </c>
      <c r="AT68" s="62">
        <v>1.49</v>
      </c>
      <c r="AU68" s="62">
        <v>2.86</v>
      </c>
      <c r="AV68" s="62">
        <v>0.86</v>
      </c>
      <c r="AW68" s="62">
        <v>0.84</v>
      </c>
      <c r="AX68" s="62">
        <v>1.69</v>
      </c>
      <c r="AY68" s="62">
        <v>1</v>
      </c>
      <c r="AZ68" s="62">
        <v>0.37</v>
      </c>
      <c r="BA68" s="62">
        <v>3.32</v>
      </c>
      <c r="BB68" s="62">
        <v>6.25</v>
      </c>
      <c r="BC68" s="62">
        <v>0.77</v>
      </c>
      <c r="BD68" s="62">
        <v>1.33</v>
      </c>
      <c r="BE68" s="62">
        <v>4.9400000000000004</v>
      </c>
      <c r="BF68" s="62">
        <v>1.41</v>
      </c>
      <c r="BG68" s="62">
        <v>1.55</v>
      </c>
      <c r="BH68" s="62">
        <v>0.77</v>
      </c>
      <c r="BI68" s="62">
        <v>1.58</v>
      </c>
      <c r="BJ68" s="62">
        <v>0.79</v>
      </c>
      <c r="BK68" s="62">
        <v>4.08</v>
      </c>
      <c r="BL68" s="62">
        <v>1.01</v>
      </c>
      <c r="BM68" s="62">
        <v>1.38</v>
      </c>
      <c r="BN68" s="62">
        <v>0.72</v>
      </c>
      <c r="BO68" s="62">
        <v>0.59</v>
      </c>
      <c r="BP68" s="62">
        <v>0.62</v>
      </c>
      <c r="BQ68" s="62">
        <v>4.41</v>
      </c>
      <c r="BR68" s="62">
        <v>0.97</v>
      </c>
      <c r="BS68" s="62">
        <v>14.23</v>
      </c>
      <c r="BT68" s="62">
        <v>-0.21</v>
      </c>
      <c r="BU68" s="62">
        <v>1.54</v>
      </c>
      <c r="BV68" s="62">
        <v>2.73</v>
      </c>
      <c r="BW68" s="62">
        <v>2.7</v>
      </c>
      <c r="BX68" s="62">
        <v>0.88</v>
      </c>
      <c r="BY68" s="62">
        <v>18.5</v>
      </c>
      <c r="BZ68" s="62">
        <v>0.96</v>
      </c>
      <c r="CA68" s="62">
        <v>15.48</v>
      </c>
      <c r="CB68" s="62">
        <v>0.47</v>
      </c>
      <c r="CC68" s="62">
        <v>3.82</v>
      </c>
      <c r="CD68" s="62">
        <v>0.54</v>
      </c>
      <c r="CE68" s="62">
        <v>2.13</v>
      </c>
      <c r="CF68" s="62">
        <v>1.1299999999999999</v>
      </c>
      <c r="CG68" s="62">
        <v>2.11</v>
      </c>
      <c r="CH68" s="62">
        <v>2.37</v>
      </c>
      <c r="CI68" s="62">
        <v>2.52</v>
      </c>
      <c r="CJ68" s="62">
        <v>0.91</v>
      </c>
      <c r="CK68" s="62">
        <v>4.49</v>
      </c>
      <c r="CL68" s="62">
        <v>1.9</v>
      </c>
      <c r="CM68" s="62">
        <v>2.36</v>
      </c>
      <c r="CN68" s="62">
        <v>1.32</v>
      </c>
      <c r="CO68" s="62">
        <v>2.04</v>
      </c>
      <c r="CP68" s="62">
        <v>0.83</v>
      </c>
      <c r="CQ68" s="62">
        <v>2.7</v>
      </c>
      <c r="CR68" s="62">
        <v>8.57</v>
      </c>
      <c r="CS68" s="62">
        <v>3.88</v>
      </c>
      <c r="CT68" s="62">
        <v>14.64</v>
      </c>
      <c r="CU68" s="62">
        <v>4.5</v>
      </c>
      <c r="CV68" s="62">
        <v>1.3</v>
      </c>
      <c r="CW68" s="62">
        <v>0.95</v>
      </c>
      <c r="CX68" s="62">
        <v>1.38</v>
      </c>
      <c r="CY68" s="62">
        <v>1.94</v>
      </c>
      <c r="CZ68" s="62">
        <v>1.28</v>
      </c>
      <c r="DA68" s="62">
        <v>0.69</v>
      </c>
      <c r="DB68" s="62">
        <v>5.24</v>
      </c>
      <c r="DC68" s="62">
        <v>0.97</v>
      </c>
      <c r="DD68" s="62">
        <v>14.67</v>
      </c>
      <c r="DE68" s="62">
        <v>1.26</v>
      </c>
      <c r="DF68" s="62">
        <v>2.0699999999999998</v>
      </c>
      <c r="DG68" s="62">
        <v>1.02</v>
      </c>
      <c r="DH68" s="62">
        <v>-6.06</v>
      </c>
      <c r="DI68" s="62">
        <v>1.2</v>
      </c>
      <c r="DJ68" s="62">
        <v>1.42</v>
      </c>
      <c r="DK68" s="62">
        <v>1.37</v>
      </c>
      <c r="DL68" s="62">
        <v>3.49</v>
      </c>
      <c r="DM68" s="62">
        <v>0.99</v>
      </c>
      <c r="DN68" s="62">
        <v>1.45</v>
      </c>
      <c r="DO68" s="62">
        <v>9.33</v>
      </c>
      <c r="DP68" s="62">
        <v>3.68</v>
      </c>
    </row>
    <row r="69" spans="1:120" x14ac:dyDescent="0.3">
      <c r="A69" s="64" t="s">
        <v>9089</v>
      </c>
      <c r="B69" s="62">
        <v>1.64</v>
      </c>
      <c r="C69" s="62">
        <v>3.09</v>
      </c>
      <c r="D69" s="62">
        <v>36.68</v>
      </c>
      <c r="E69" s="62">
        <v>1.73</v>
      </c>
      <c r="F69" s="62">
        <v>6.5</v>
      </c>
      <c r="G69" s="62">
        <v>8.33</v>
      </c>
      <c r="H69" s="62">
        <v>0.93</v>
      </c>
      <c r="I69" s="62">
        <v>1.03</v>
      </c>
      <c r="J69" s="62">
        <v>0.85</v>
      </c>
      <c r="K69" s="62">
        <v>1.47</v>
      </c>
      <c r="L69" s="62">
        <v>1.1200000000000001</v>
      </c>
      <c r="M69" s="62">
        <v>2.31</v>
      </c>
      <c r="N69" s="62">
        <v>0.83</v>
      </c>
      <c r="O69" s="62">
        <v>2.79</v>
      </c>
      <c r="P69" s="62">
        <v>12.18</v>
      </c>
      <c r="Q69" s="62">
        <v>3.57</v>
      </c>
      <c r="R69" s="62">
        <v>6.17</v>
      </c>
      <c r="S69" s="62">
        <v>0.31</v>
      </c>
      <c r="T69" s="62">
        <v>1.19</v>
      </c>
      <c r="U69" s="62">
        <v>1.86</v>
      </c>
      <c r="V69" s="62">
        <v>1.27</v>
      </c>
      <c r="W69" s="62">
        <v>1.43</v>
      </c>
      <c r="X69" s="62">
        <v>1.42</v>
      </c>
      <c r="Y69" s="62">
        <v>152.94</v>
      </c>
      <c r="Z69" s="62">
        <v>1.73</v>
      </c>
      <c r="AA69" s="62">
        <v>1.99</v>
      </c>
      <c r="AB69" s="62">
        <v>2.2999999999999998</v>
      </c>
      <c r="AC69" s="62">
        <v>2.23</v>
      </c>
      <c r="AD69" s="62">
        <v>1.1299999999999999</v>
      </c>
      <c r="AE69" s="62">
        <v>3.4</v>
      </c>
      <c r="AF69" s="62">
        <v>8.35</v>
      </c>
      <c r="AG69" s="62">
        <v>1.58</v>
      </c>
      <c r="AH69" s="62">
        <v>0.72</v>
      </c>
      <c r="AI69" s="62">
        <v>1.57</v>
      </c>
      <c r="AJ69" s="62">
        <v>4.78</v>
      </c>
      <c r="AK69" s="62">
        <v>2.72</v>
      </c>
      <c r="AL69" s="62">
        <v>0.41</v>
      </c>
      <c r="AM69" s="62">
        <v>1.25</v>
      </c>
      <c r="AN69" s="62">
        <v>1.35</v>
      </c>
      <c r="AO69" s="62">
        <v>3.5</v>
      </c>
      <c r="AP69" s="62">
        <v>6.15</v>
      </c>
      <c r="AQ69" s="62">
        <v>0.9</v>
      </c>
      <c r="AR69" s="62">
        <v>2.64</v>
      </c>
      <c r="AS69" s="62">
        <v>3.18</v>
      </c>
      <c r="AT69" s="62">
        <v>1.52</v>
      </c>
      <c r="AU69" s="62">
        <v>3.06</v>
      </c>
      <c r="AV69" s="62">
        <v>0.9</v>
      </c>
      <c r="AW69" s="62">
        <v>0.83</v>
      </c>
      <c r="AX69" s="62">
        <v>1.78</v>
      </c>
      <c r="AY69" s="62">
        <v>0.97</v>
      </c>
      <c r="AZ69" s="62">
        <v>0.37</v>
      </c>
      <c r="BA69" s="62">
        <v>3.46</v>
      </c>
      <c r="BB69" s="62">
        <v>6.25</v>
      </c>
      <c r="BC69" s="62">
        <v>0.79</v>
      </c>
      <c r="BD69" s="62">
        <v>1.45</v>
      </c>
      <c r="BE69" s="62">
        <v>4.9400000000000004</v>
      </c>
      <c r="BF69" s="62">
        <v>1.47</v>
      </c>
      <c r="BG69" s="62">
        <v>1.54</v>
      </c>
      <c r="BH69" s="62">
        <v>0.82</v>
      </c>
      <c r="BI69" s="62">
        <v>1.73</v>
      </c>
      <c r="BJ69" s="62">
        <v>0.79</v>
      </c>
      <c r="BK69" s="62">
        <v>3.51</v>
      </c>
      <c r="BL69" s="62">
        <v>2.39</v>
      </c>
      <c r="BM69" s="62">
        <v>1.41</v>
      </c>
      <c r="BN69" s="62">
        <v>0.7</v>
      </c>
      <c r="BO69" s="62">
        <v>0.55000000000000004</v>
      </c>
      <c r="BP69" s="62">
        <v>0.63</v>
      </c>
      <c r="BQ69" s="62">
        <v>4.53</v>
      </c>
      <c r="BR69" s="62">
        <v>1.1100000000000001</v>
      </c>
      <c r="BS69" s="62">
        <v>12.56</v>
      </c>
      <c r="BT69" s="62">
        <v>-7.0000000000000007E-2</v>
      </c>
      <c r="BU69" s="62">
        <v>1.56</v>
      </c>
      <c r="BV69" s="62">
        <v>3.27</v>
      </c>
      <c r="BW69" s="62">
        <v>2.81</v>
      </c>
      <c r="BX69" s="62">
        <v>0.9</v>
      </c>
      <c r="BY69" s="62">
        <v>16</v>
      </c>
      <c r="BZ69" s="62">
        <v>0.96</v>
      </c>
      <c r="CA69" s="62">
        <v>19.420000000000002</v>
      </c>
      <c r="CB69" s="62">
        <v>0.46</v>
      </c>
      <c r="CC69" s="62">
        <v>3.92</v>
      </c>
      <c r="CD69" s="62">
        <v>0.52</v>
      </c>
      <c r="CE69" s="62">
        <v>2.2799999999999998</v>
      </c>
      <c r="CF69" s="62">
        <v>1.18</v>
      </c>
      <c r="CG69" s="62">
        <v>2.15</v>
      </c>
      <c r="CH69" s="62">
        <v>2.61</v>
      </c>
      <c r="CI69" s="62">
        <v>2.94</v>
      </c>
      <c r="CJ69" s="62">
        <v>0.89</v>
      </c>
      <c r="CK69" s="62">
        <v>5.83</v>
      </c>
      <c r="CL69" s="62">
        <v>1.88</v>
      </c>
      <c r="CM69" s="62">
        <v>2.37</v>
      </c>
      <c r="CN69" s="62">
        <v>1.28</v>
      </c>
      <c r="CO69" s="62">
        <v>1.82</v>
      </c>
      <c r="CP69" s="62">
        <v>0.84</v>
      </c>
      <c r="CQ69" s="62">
        <v>2.58</v>
      </c>
      <c r="CR69" s="62">
        <v>8.64</v>
      </c>
      <c r="CS69" s="62">
        <v>3.76</v>
      </c>
      <c r="CT69" s="62">
        <v>14.64</v>
      </c>
      <c r="CU69" s="62">
        <v>4.5999999999999996</v>
      </c>
      <c r="CV69" s="62">
        <v>1.1200000000000001</v>
      </c>
      <c r="CW69" s="62">
        <v>0.9</v>
      </c>
      <c r="CX69" s="62">
        <v>1.41</v>
      </c>
      <c r="CY69" s="62">
        <v>1.87</v>
      </c>
      <c r="CZ69" s="62">
        <v>1.2</v>
      </c>
      <c r="DA69" s="62">
        <v>0.69</v>
      </c>
      <c r="DB69" s="62">
        <v>5.84</v>
      </c>
      <c r="DC69" s="62">
        <v>0.97</v>
      </c>
      <c r="DD69" s="62">
        <v>7.72</v>
      </c>
      <c r="DE69" s="62">
        <v>1.34</v>
      </c>
      <c r="DF69" s="62">
        <v>2.11</v>
      </c>
      <c r="DG69" s="62">
        <v>0.75</v>
      </c>
      <c r="DH69" s="62">
        <v>-6.06</v>
      </c>
      <c r="DI69" s="62">
        <v>1.28</v>
      </c>
      <c r="DJ69" s="62">
        <v>1.4</v>
      </c>
      <c r="DK69" s="62">
        <v>1.38</v>
      </c>
      <c r="DL69" s="62">
        <v>3.61</v>
      </c>
      <c r="DM69" s="62">
        <v>0.99</v>
      </c>
      <c r="DN69" s="62">
        <v>1.53</v>
      </c>
      <c r="DO69" s="62">
        <v>8.9499999999999993</v>
      </c>
      <c r="DP69" s="62">
        <v>3.61</v>
      </c>
    </row>
    <row r="70" spans="1:120" x14ac:dyDescent="0.3">
      <c r="A70" s="64" t="s">
        <v>9090</v>
      </c>
      <c r="B70" s="62">
        <v>1.51</v>
      </c>
      <c r="C70" s="62">
        <v>2.06</v>
      </c>
      <c r="D70" s="62">
        <v>36.97</v>
      </c>
      <c r="E70" s="62">
        <v>1.85</v>
      </c>
      <c r="F70" s="62">
        <v>6.5</v>
      </c>
      <c r="G70" s="62">
        <v>8.33</v>
      </c>
      <c r="H70" s="62">
        <v>0.93</v>
      </c>
      <c r="I70" s="62">
        <v>1.04</v>
      </c>
      <c r="J70" s="62">
        <v>0.84</v>
      </c>
      <c r="K70" s="62">
        <v>1.41</v>
      </c>
      <c r="L70" s="62">
        <v>1.0900000000000001</v>
      </c>
      <c r="M70" s="62">
        <v>2.38</v>
      </c>
      <c r="N70" s="62">
        <v>0.83</v>
      </c>
      <c r="O70" s="62">
        <v>3.1</v>
      </c>
      <c r="P70" s="62">
        <v>12.92</v>
      </c>
      <c r="Q70" s="62">
        <v>3.32</v>
      </c>
      <c r="R70" s="62">
        <v>5.29</v>
      </c>
      <c r="S70" s="62">
        <v>0.27</v>
      </c>
      <c r="T70" s="62">
        <v>1.22</v>
      </c>
      <c r="U70" s="62">
        <v>1.66</v>
      </c>
      <c r="V70" s="62">
        <v>1.28</v>
      </c>
      <c r="W70" s="62">
        <v>1.78</v>
      </c>
      <c r="X70" s="62">
        <v>1.45</v>
      </c>
      <c r="Y70" s="62">
        <v>145.1</v>
      </c>
      <c r="Z70" s="62">
        <v>2.04</v>
      </c>
      <c r="AA70" s="62">
        <v>2</v>
      </c>
      <c r="AB70" s="62">
        <v>2.2200000000000002</v>
      </c>
      <c r="AC70" s="62">
        <v>2.34</v>
      </c>
      <c r="AD70" s="62">
        <v>0.8</v>
      </c>
      <c r="AE70" s="62">
        <v>3.4</v>
      </c>
      <c r="AF70" s="62">
        <v>9.02</v>
      </c>
      <c r="AG70" s="62">
        <v>1.65</v>
      </c>
      <c r="AH70" s="62">
        <v>0.72</v>
      </c>
      <c r="AI70" s="62">
        <v>1.6</v>
      </c>
      <c r="AJ70" s="62">
        <v>4.67</v>
      </c>
      <c r="AK70" s="62">
        <v>2.46</v>
      </c>
      <c r="AL70" s="62">
        <v>0.41</v>
      </c>
      <c r="AM70" s="62">
        <v>1.26</v>
      </c>
      <c r="AN70" s="62">
        <v>1.52</v>
      </c>
      <c r="AO70" s="62">
        <v>3.24</v>
      </c>
      <c r="AP70" s="62">
        <v>6.15</v>
      </c>
      <c r="AQ70" s="62">
        <v>0.92</v>
      </c>
      <c r="AR70" s="62">
        <v>2.5099999999999998</v>
      </c>
      <c r="AS70" s="62">
        <v>2.82</v>
      </c>
      <c r="AT70" s="62">
        <v>1.59</v>
      </c>
      <c r="AU70" s="62">
        <v>2.86</v>
      </c>
      <c r="AV70" s="62">
        <v>0.91</v>
      </c>
      <c r="AW70" s="62">
        <v>0.83</v>
      </c>
      <c r="AX70" s="62">
        <v>2.0699999999999998</v>
      </c>
      <c r="AY70" s="62">
        <v>0.96</v>
      </c>
      <c r="AZ70" s="62">
        <v>0.35</v>
      </c>
      <c r="BA70" s="62">
        <v>3.51</v>
      </c>
      <c r="BB70" s="62">
        <v>6.25</v>
      </c>
      <c r="BC70" s="62">
        <v>0.78</v>
      </c>
      <c r="BD70" s="62">
        <v>1.6</v>
      </c>
      <c r="BE70" s="62">
        <v>5.08</v>
      </c>
      <c r="BF70" s="62">
        <v>1.45</v>
      </c>
      <c r="BG70" s="62">
        <v>1.54</v>
      </c>
      <c r="BH70" s="62">
        <v>0.88</v>
      </c>
      <c r="BI70" s="62">
        <v>1.27</v>
      </c>
      <c r="BJ70" s="62">
        <v>0.78</v>
      </c>
      <c r="BK70" s="62">
        <v>3.34</v>
      </c>
      <c r="BL70" s="62">
        <v>2.89</v>
      </c>
      <c r="BM70" s="62">
        <v>1.5</v>
      </c>
      <c r="BN70" s="62">
        <v>0.81</v>
      </c>
      <c r="BO70" s="62">
        <v>0.64</v>
      </c>
      <c r="BP70" s="62">
        <v>0.6</v>
      </c>
      <c r="BQ70" s="62">
        <v>4.57</v>
      </c>
      <c r="BR70" s="62">
        <v>1.18</v>
      </c>
      <c r="BS70" s="62">
        <v>13.53</v>
      </c>
      <c r="BT70" s="62">
        <v>-7.0000000000000007E-2</v>
      </c>
      <c r="BU70" s="62">
        <v>1.64</v>
      </c>
      <c r="BV70" s="62">
        <v>3.27</v>
      </c>
      <c r="BW70" s="62">
        <v>2.67</v>
      </c>
      <c r="BX70" s="62">
        <v>0.92</v>
      </c>
      <c r="BY70" s="62">
        <v>16.5</v>
      </c>
      <c r="BZ70" s="62">
        <v>0.97</v>
      </c>
      <c r="CA70" s="62">
        <v>18.05</v>
      </c>
      <c r="CB70" s="62">
        <v>0.63</v>
      </c>
      <c r="CC70" s="62">
        <v>3.97</v>
      </c>
      <c r="CD70" s="62">
        <v>0.49</v>
      </c>
      <c r="CE70" s="62">
        <v>2.37</v>
      </c>
      <c r="CF70" s="62">
        <v>1.2</v>
      </c>
      <c r="CG70" s="62">
        <v>2.14</v>
      </c>
      <c r="CH70" s="62">
        <v>2.33</v>
      </c>
      <c r="CI70" s="62">
        <v>2.52</v>
      </c>
      <c r="CJ70" s="62">
        <v>0.93</v>
      </c>
      <c r="CK70" s="62">
        <v>6.28</v>
      </c>
      <c r="CL70" s="62">
        <v>1.9</v>
      </c>
      <c r="CM70" s="62">
        <v>2.2000000000000002</v>
      </c>
      <c r="CN70" s="62">
        <v>1.06</v>
      </c>
      <c r="CO70" s="62">
        <v>2.41</v>
      </c>
      <c r="CP70" s="62">
        <v>0.8</v>
      </c>
      <c r="CQ70" s="62">
        <v>2.63</v>
      </c>
      <c r="CR70" s="62">
        <v>8.4600000000000009</v>
      </c>
      <c r="CS70" s="62">
        <v>3.94</v>
      </c>
      <c r="CT70" s="62">
        <v>10.46</v>
      </c>
      <c r="CU70" s="62">
        <v>4.59</v>
      </c>
      <c r="CV70" s="62">
        <v>1.1200000000000001</v>
      </c>
      <c r="CW70" s="62">
        <v>0.91</v>
      </c>
      <c r="CX70" s="62">
        <v>1.49</v>
      </c>
      <c r="CY70" s="62">
        <v>2.04</v>
      </c>
      <c r="CZ70" s="62">
        <v>1.3</v>
      </c>
      <c r="DA70" s="62">
        <v>0.7</v>
      </c>
      <c r="DB70" s="62">
        <v>7.52</v>
      </c>
      <c r="DC70" s="62">
        <v>1</v>
      </c>
      <c r="DD70" s="62">
        <v>7.72</v>
      </c>
      <c r="DE70" s="62">
        <v>1.26</v>
      </c>
      <c r="DF70" s="62">
        <v>2.25</v>
      </c>
      <c r="DG70" s="62">
        <v>0.7</v>
      </c>
      <c r="DH70" s="62">
        <v>-6.06</v>
      </c>
      <c r="DI70" s="62">
        <v>1.2</v>
      </c>
      <c r="DJ70" s="62">
        <v>1.37</v>
      </c>
      <c r="DK70" s="62">
        <v>1.33</v>
      </c>
      <c r="DL70" s="62">
        <v>3.2</v>
      </c>
      <c r="DM70" s="62">
        <v>0.99</v>
      </c>
      <c r="DN70" s="62">
        <v>1.53</v>
      </c>
      <c r="DO70" s="62">
        <v>7.24</v>
      </c>
      <c r="DP70" s="62">
        <v>3.6</v>
      </c>
    </row>
    <row r="71" spans="1:120" x14ac:dyDescent="0.3">
      <c r="A71" s="64" t="s">
        <v>9091</v>
      </c>
      <c r="B71" s="62">
        <v>1.51</v>
      </c>
      <c r="C71" s="62">
        <v>1.03</v>
      </c>
      <c r="D71" s="62">
        <v>36.68</v>
      </c>
      <c r="E71" s="62">
        <v>1.74</v>
      </c>
      <c r="F71" s="62">
        <v>5.85</v>
      </c>
      <c r="G71" s="62">
        <v>8.33</v>
      </c>
      <c r="H71" s="62">
        <v>0.93</v>
      </c>
      <c r="I71" s="62">
        <v>0.98</v>
      </c>
      <c r="J71" s="62">
        <v>0.82</v>
      </c>
      <c r="K71" s="62">
        <v>1.36</v>
      </c>
      <c r="L71" s="62">
        <v>1.0900000000000001</v>
      </c>
      <c r="M71" s="62">
        <v>2.13</v>
      </c>
      <c r="N71" s="62">
        <v>0.82</v>
      </c>
      <c r="O71" s="62">
        <v>3.1</v>
      </c>
      <c r="P71" s="62">
        <v>10.7</v>
      </c>
      <c r="Q71" s="62">
        <v>3.02</v>
      </c>
      <c r="R71" s="62">
        <v>5.25</v>
      </c>
      <c r="S71" s="62">
        <v>0.31</v>
      </c>
      <c r="T71" s="62">
        <v>1.21</v>
      </c>
      <c r="U71" s="62">
        <v>1.64</v>
      </c>
      <c r="V71" s="62">
        <v>1.32</v>
      </c>
      <c r="W71" s="62">
        <v>1.77</v>
      </c>
      <c r="X71" s="62">
        <v>1.44</v>
      </c>
      <c r="Y71" s="62">
        <v>149.02000000000001</v>
      </c>
      <c r="Z71" s="62">
        <v>2.36</v>
      </c>
      <c r="AA71" s="62">
        <v>2</v>
      </c>
      <c r="AB71" s="62">
        <v>2.19</v>
      </c>
      <c r="AC71" s="62">
        <v>2.23</v>
      </c>
      <c r="AD71" s="62">
        <v>0.87</v>
      </c>
      <c r="AE71" s="62">
        <v>3.4</v>
      </c>
      <c r="AF71" s="62">
        <v>9.5299999999999994</v>
      </c>
      <c r="AG71" s="62">
        <v>1.58</v>
      </c>
      <c r="AH71" s="62">
        <v>0.74</v>
      </c>
      <c r="AI71" s="62">
        <v>1.62</v>
      </c>
      <c r="AJ71" s="62">
        <v>4.67</v>
      </c>
      <c r="AK71" s="62">
        <v>2.39</v>
      </c>
      <c r="AL71" s="62">
        <v>0.41</v>
      </c>
      <c r="AM71" s="62">
        <v>1.23</v>
      </c>
      <c r="AN71" s="62">
        <v>1.4</v>
      </c>
      <c r="AO71" s="62">
        <v>2.35</v>
      </c>
      <c r="AP71" s="62">
        <v>6.15</v>
      </c>
      <c r="AQ71" s="62">
        <v>0.92</v>
      </c>
      <c r="AR71" s="62">
        <v>2.56</v>
      </c>
      <c r="AS71" s="62">
        <v>2.9</v>
      </c>
      <c r="AT71" s="62">
        <v>1.52</v>
      </c>
      <c r="AU71" s="62">
        <v>2.57</v>
      </c>
      <c r="AV71" s="62">
        <v>0.9</v>
      </c>
      <c r="AW71" s="62">
        <v>0.81</v>
      </c>
      <c r="AX71" s="62">
        <v>2.0699999999999998</v>
      </c>
      <c r="AY71" s="62">
        <v>0.95</v>
      </c>
      <c r="AZ71" s="62">
        <v>0.35</v>
      </c>
      <c r="BA71" s="62">
        <v>3.53</v>
      </c>
      <c r="BB71" s="62">
        <v>5.21</v>
      </c>
      <c r="BC71" s="62">
        <v>0.77</v>
      </c>
      <c r="BD71" s="62">
        <v>1.62</v>
      </c>
      <c r="BE71" s="62">
        <v>5.08</v>
      </c>
      <c r="BF71" s="62">
        <v>1.44</v>
      </c>
      <c r="BG71" s="62">
        <v>1.51</v>
      </c>
      <c r="BH71" s="62">
        <v>0.84</v>
      </c>
      <c r="BI71" s="62">
        <v>1.1299999999999999</v>
      </c>
      <c r="BJ71" s="62">
        <v>0.79</v>
      </c>
      <c r="BK71" s="62">
        <v>3.16</v>
      </c>
      <c r="BL71" s="62">
        <v>2.89</v>
      </c>
      <c r="BM71" s="62">
        <v>1.52</v>
      </c>
      <c r="BN71" s="62">
        <v>0.85</v>
      </c>
      <c r="BO71" s="62">
        <v>0.77</v>
      </c>
      <c r="BP71" s="62">
        <v>0.6</v>
      </c>
      <c r="BQ71" s="62">
        <v>4.6100000000000003</v>
      </c>
      <c r="BR71" s="62">
        <v>1.08</v>
      </c>
      <c r="BS71" s="62">
        <v>12.84</v>
      </c>
      <c r="BT71" s="62">
        <v>-7.0000000000000007E-2</v>
      </c>
      <c r="BU71" s="62">
        <v>1.56</v>
      </c>
      <c r="BV71" s="62">
        <v>3.54</v>
      </c>
      <c r="BW71" s="62">
        <v>2.64</v>
      </c>
      <c r="BX71" s="62">
        <v>0.91</v>
      </c>
      <c r="BY71" s="62">
        <v>14</v>
      </c>
      <c r="BZ71" s="62">
        <v>0.99</v>
      </c>
      <c r="CA71" s="62">
        <v>22.63</v>
      </c>
      <c r="CB71" s="62">
        <v>0.59</v>
      </c>
      <c r="CC71" s="62">
        <v>4.17</v>
      </c>
      <c r="CD71" s="62">
        <v>0.44</v>
      </c>
      <c r="CE71" s="62">
        <v>2.38</v>
      </c>
      <c r="CF71" s="62">
        <v>1.27</v>
      </c>
      <c r="CG71" s="62">
        <v>2.34</v>
      </c>
      <c r="CH71" s="62">
        <v>2.29</v>
      </c>
      <c r="CI71" s="62">
        <v>2.52</v>
      </c>
      <c r="CJ71" s="62">
        <v>0.91</v>
      </c>
      <c r="CK71" s="62">
        <v>5.74</v>
      </c>
      <c r="CL71" s="62">
        <v>1.89</v>
      </c>
      <c r="CM71" s="62">
        <v>2.19</v>
      </c>
      <c r="CN71" s="62">
        <v>1.05</v>
      </c>
      <c r="CO71" s="62">
        <v>2.4700000000000002</v>
      </c>
      <c r="CP71" s="62">
        <v>0.76</v>
      </c>
      <c r="CQ71" s="62">
        <v>1.88</v>
      </c>
      <c r="CR71" s="62">
        <v>7.26</v>
      </c>
      <c r="CS71" s="62">
        <v>3.86</v>
      </c>
      <c r="CT71" s="62">
        <v>10.46</v>
      </c>
      <c r="CU71" s="62">
        <v>4.26</v>
      </c>
      <c r="CV71" s="62">
        <v>1.0900000000000001</v>
      </c>
      <c r="CW71" s="62">
        <v>0.89</v>
      </c>
      <c r="CX71" s="62">
        <v>1.48</v>
      </c>
      <c r="CY71" s="62">
        <v>2.85</v>
      </c>
      <c r="CZ71" s="62">
        <v>1.21</v>
      </c>
      <c r="DA71" s="62">
        <v>0.69</v>
      </c>
      <c r="DB71" s="62">
        <v>8.7799999999999994</v>
      </c>
      <c r="DC71" s="62">
        <v>1</v>
      </c>
      <c r="DD71" s="62">
        <v>6.18</v>
      </c>
      <c r="DE71" s="62">
        <v>1.26</v>
      </c>
      <c r="DF71" s="62">
        <v>2.4</v>
      </c>
      <c r="DG71" s="62">
        <v>0.82</v>
      </c>
      <c r="DH71" s="62">
        <v>-6.06</v>
      </c>
      <c r="DI71" s="62">
        <v>1.22</v>
      </c>
      <c r="DJ71" s="62">
        <v>1.28</v>
      </c>
      <c r="DK71" s="62">
        <v>1.34</v>
      </c>
      <c r="DL71" s="62">
        <v>3.5</v>
      </c>
      <c r="DM71" s="62">
        <v>0.98</v>
      </c>
      <c r="DN71" s="62">
        <v>1.58</v>
      </c>
      <c r="DO71" s="62">
        <v>7.31</v>
      </c>
      <c r="DP71" s="62">
        <v>3.44</v>
      </c>
    </row>
    <row r="72" spans="1:120" x14ac:dyDescent="0.3">
      <c r="A72" s="64" t="s">
        <v>9092</v>
      </c>
      <c r="B72" s="62">
        <v>1.59</v>
      </c>
      <c r="C72" s="62">
        <v>1.03</v>
      </c>
      <c r="D72" s="62">
        <v>35.5</v>
      </c>
      <c r="E72" s="62">
        <v>1.66</v>
      </c>
      <c r="F72" s="62">
        <v>6.65</v>
      </c>
      <c r="G72" s="62">
        <v>8.33</v>
      </c>
      <c r="H72" s="62">
        <v>0.92</v>
      </c>
      <c r="I72" s="62">
        <v>0.96</v>
      </c>
      <c r="J72" s="62">
        <v>0.84</v>
      </c>
      <c r="K72" s="62">
        <v>1.29</v>
      </c>
      <c r="L72" s="62">
        <v>1.08</v>
      </c>
      <c r="M72" s="62">
        <v>2.13</v>
      </c>
      <c r="N72" s="62">
        <v>0.83</v>
      </c>
      <c r="O72" s="62">
        <v>3.1</v>
      </c>
      <c r="P72" s="62">
        <v>8.1199999999999992</v>
      </c>
      <c r="Q72" s="62">
        <v>2.92</v>
      </c>
      <c r="R72" s="62">
        <v>4.37</v>
      </c>
      <c r="S72" s="62">
        <v>0.42</v>
      </c>
      <c r="T72" s="62">
        <v>1.24</v>
      </c>
      <c r="U72" s="62">
        <v>1.64</v>
      </c>
      <c r="V72" s="62">
        <v>1.27</v>
      </c>
      <c r="W72" s="62">
        <v>1.89</v>
      </c>
      <c r="X72" s="62">
        <v>1.51</v>
      </c>
      <c r="Y72" s="62">
        <v>149.02000000000001</v>
      </c>
      <c r="Z72" s="62">
        <v>2.99</v>
      </c>
      <c r="AA72" s="62">
        <v>2.09</v>
      </c>
      <c r="AB72" s="62">
        <v>2.21</v>
      </c>
      <c r="AC72" s="62">
        <v>2.79</v>
      </c>
      <c r="AD72" s="62">
        <v>0.86</v>
      </c>
      <c r="AE72" s="62">
        <v>3.4</v>
      </c>
      <c r="AF72" s="62">
        <v>9.9700000000000006</v>
      </c>
      <c r="AG72" s="62">
        <v>1.4</v>
      </c>
      <c r="AH72" s="62">
        <v>0.77</v>
      </c>
      <c r="AI72" s="62">
        <v>1.66</v>
      </c>
      <c r="AJ72" s="62">
        <v>4.6100000000000003</v>
      </c>
      <c r="AK72" s="62">
        <v>2.4900000000000002</v>
      </c>
      <c r="AL72" s="62">
        <v>1.23</v>
      </c>
      <c r="AM72" s="62">
        <v>1.26</v>
      </c>
      <c r="AN72" s="62">
        <v>1.45</v>
      </c>
      <c r="AO72" s="62">
        <v>2.46</v>
      </c>
      <c r="AP72" s="62">
        <v>4.1900000000000004</v>
      </c>
      <c r="AQ72" s="62">
        <v>0.94</v>
      </c>
      <c r="AR72" s="62">
        <v>2.25</v>
      </c>
      <c r="AS72" s="62">
        <v>2.88</v>
      </c>
      <c r="AT72" s="62">
        <v>1.57</v>
      </c>
      <c r="AU72" s="62">
        <v>3.06</v>
      </c>
      <c r="AV72" s="62">
        <v>0.94</v>
      </c>
      <c r="AW72" s="62">
        <v>0.82</v>
      </c>
      <c r="AX72" s="62">
        <v>2.67</v>
      </c>
      <c r="AY72" s="62">
        <v>0.94</v>
      </c>
      <c r="AZ72" s="62">
        <v>0.35</v>
      </c>
      <c r="BA72" s="62">
        <v>3.46</v>
      </c>
      <c r="BB72" s="62">
        <v>5.21</v>
      </c>
      <c r="BC72" s="62">
        <v>0.81</v>
      </c>
      <c r="BD72" s="62">
        <v>1.7</v>
      </c>
      <c r="BE72" s="62">
        <v>5.23</v>
      </c>
      <c r="BF72" s="62">
        <v>1.43</v>
      </c>
      <c r="BG72" s="62">
        <v>1.51</v>
      </c>
      <c r="BH72" s="62">
        <v>0.83</v>
      </c>
      <c r="BI72" s="62">
        <v>1.0900000000000001</v>
      </c>
      <c r="BJ72" s="62">
        <v>0.8</v>
      </c>
      <c r="BK72" s="62">
        <v>3.09</v>
      </c>
      <c r="BL72" s="62">
        <v>2.14</v>
      </c>
      <c r="BM72" s="62">
        <v>1.89</v>
      </c>
      <c r="BN72" s="62">
        <v>0.83</v>
      </c>
      <c r="BO72" s="62">
        <v>0.82</v>
      </c>
      <c r="BP72" s="62">
        <v>0.6</v>
      </c>
      <c r="BQ72" s="62">
        <v>4.6100000000000003</v>
      </c>
      <c r="BR72" s="62">
        <v>1.07</v>
      </c>
      <c r="BS72" s="62">
        <v>10.65</v>
      </c>
      <c r="BT72" s="62">
        <v>-7.0000000000000007E-2</v>
      </c>
      <c r="BU72" s="62">
        <v>1.48</v>
      </c>
      <c r="BV72" s="62">
        <v>3</v>
      </c>
      <c r="BW72" s="62">
        <v>2.76</v>
      </c>
      <c r="BX72" s="62">
        <v>0.93</v>
      </c>
      <c r="BY72" s="62">
        <v>12.5</v>
      </c>
      <c r="BZ72" s="62">
        <v>0.96</v>
      </c>
      <c r="CA72" s="62">
        <v>28.22</v>
      </c>
      <c r="CB72" s="62">
        <v>0.55000000000000004</v>
      </c>
      <c r="CC72" s="62">
        <v>4.17</v>
      </c>
      <c r="CD72" s="62">
        <v>0.44</v>
      </c>
      <c r="CE72" s="62">
        <v>2.36</v>
      </c>
      <c r="CF72" s="62">
        <v>1.27</v>
      </c>
      <c r="CG72" s="62">
        <v>2.39</v>
      </c>
      <c r="CH72" s="62">
        <v>2.58</v>
      </c>
      <c r="CI72" s="62">
        <v>2.52</v>
      </c>
      <c r="CJ72" s="62">
        <v>1</v>
      </c>
      <c r="CK72" s="62">
        <v>9.51</v>
      </c>
      <c r="CL72" s="62">
        <v>2.0299999999999998</v>
      </c>
      <c r="CM72" s="62">
        <v>2.31</v>
      </c>
      <c r="CN72" s="62">
        <v>0.93</v>
      </c>
      <c r="CO72" s="62">
        <v>2.36</v>
      </c>
      <c r="CP72" s="62">
        <v>0.64</v>
      </c>
      <c r="CQ72" s="62">
        <v>1.88</v>
      </c>
      <c r="CR72" s="62">
        <v>7.26</v>
      </c>
      <c r="CS72" s="62">
        <v>3.93</v>
      </c>
      <c r="CT72" s="62">
        <v>10.46</v>
      </c>
      <c r="CU72" s="62">
        <v>4.4400000000000004</v>
      </c>
      <c r="CV72" s="62">
        <v>1.04</v>
      </c>
      <c r="CW72" s="62">
        <v>0.89</v>
      </c>
      <c r="CX72" s="62">
        <v>1.41</v>
      </c>
      <c r="CY72" s="62">
        <v>3.25</v>
      </c>
      <c r="CZ72" s="62">
        <v>1.19</v>
      </c>
      <c r="DA72" s="62">
        <v>0.76</v>
      </c>
      <c r="DB72" s="62">
        <v>10.45</v>
      </c>
      <c r="DC72" s="62">
        <v>0.99</v>
      </c>
      <c r="DD72" s="62">
        <v>15.45</v>
      </c>
      <c r="DE72" s="62">
        <v>1.2</v>
      </c>
      <c r="DF72" s="62">
        <v>2.5099999999999998</v>
      </c>
      <c r="DG72" s="62">
        <v>0.8</v>
      </c>
      <c r="DH72" s="62">
        <v>-9.09</v>
      </c>
      <c r="DI72" s="62">
        <v>1.29</v>
      </c>
      <c r="DJ72" s="62">
        <v>1.23</v>
      </c>
      <c r="DK72" s="62">
        <v>1.38</v>
      </c>
      <c r="DL72" s="62">
        <v>3.15</v>
      </c>
      <c r="DM72" s="62">
        <v>0.98</v>
      </c>
      <c r="DN72" s="62">
        <v>1.51</v>
      </c>
      <c r="DO72" s="62">
        <v>6.66</v>
      </c>
      <c r="DP72" s="62">
        <v>3.38</v>
      </c>
    </row>
    <row r="73" spans="1:120" x14ac:dyDescent="0.3">
      <c r="A73" s="64" t="s">
        <v>9093</v>
      </c>
      <c r="B73" s="62">
        <v>1.57</v>
      </c>
      <c r="C73" s="62">
        <v>1.03</v>
      </c>
      <c r="D73" s="62">
        <v>36.090000000000003</v>
      </c>
      <c r="E73" s="62">
        <v>1.63</v>
      </c>
      <c r="F73" s="62">
        <v>6.29</v>
      </c>
      <c r="G73" s="62">
        <v>8.33</v>
      </c>
      <c r="H73" s="62">
        <v>0.94</v>
      </c>
      <c r="I73" s="62">
        <v>1.01</v>
      </c>
      <c r="J73" s="62">
        <v>0.84</v>
      </c>
      <c r="K73" s="62">
        <v>1.36</v>
      </c>
      <c r="L73" s="62">
        <v>1.0900000000000001</v>
      </c>
      <c r="M73" s="62">
        <v>1.96</v>
      </c>
      <c r="N73" s="62">
        <v>0.86</v>
      </c>
      <c r="O73" s="62">
        <v>2.48</v>
      </c>
      <c r="P73" s="62">
        <v>6.27</v>
      </c>
      <c r="Q73" s="62">
        <v>2.93</v>
      </c>
      <c r="R73" s="62">
        <v>4.1100000000000003</v>
      </c>
      <c r="S73" s="62">
        <v>0.4</v>
      </c>
      <c r="T73" s="62">
        <v>1.3</v>
      </c>
      <c r="U73" s="62">
        <v>1.65</v>
      </c>
      <c r="V73" s="62">
        <v>1.25</v>
      </c>
      <c r="W73" s="62">
        <v>1.76</v>
      </c>
      <c r="X73" s="62">
        <v>1.43</v>
      </c>
      <c r="Y73" s="62">
        <v>135.29</v>
      </c>
      <c r="Z73" s="62">
        <v>3.14</v>
      </c>
      <c r="AA73" s="62">
        <v>2.19</v>
      </c>
      <c r="AB73" s="62">
        <v>2.23</v>
      </c>
      <c r="AC73" s="62">
        <v>3.15</v>
      </c>
      <c r="AD73" s="62">
        <v>0.92</v>
      </c>
      <c r="AE73" s="62">
        <v>3.4</v>
      </c>
      <c r="AF73" s="62">
        <v>9.86</v>
      </c>
      <c r="AG73" s="62">
        <v>1.38</v>
      </c>
      <c r="AH73" s="62">
        <v>0.84</v>
      </c>
      <c r="AI73" s="62">
        <v>1.66</v>
      </c>
      <c r="AJ73" s="62">
        <v>4.6900000000000004</v>
      </c>
      <c r="AK73" s="62">
        <v>2.37</v>
      </c>
      <c r="AL73" s="62">
        <v>1.23</v>
      </c>
      <c r="AM73" s="62">
        <v>1.22</v>
      </c>
      <c r="AN73" s="62">
        <v>1.55</v>
      </c>
      <c r="AO73" s="62">
        <v>2.82</v>
      </c>
      <c r="AP73" s="62">
        <v>3.5</v>
      </c>
      <c r="AQ73" s="62">
        <v>0.98</v>
      </c>
      <c r="AR73" s="62">
        <v>2.02</v>
      </c>
      <c r="AS73" s="62">
        <v>3.08</v>
      </c>
      <c r="AT73" s="62">
        <v>1.7</v>
      </c>
      <c r="AU73" s="62">
        <v>3.06</v>
      </c>
      <c r="AV73" s="62">
        <v>0.94</v>
      </c>
      <c r="AW73" s="62">
        <v>0.87</v>
      </c>
      <c r="AX73" s="62">
        <v>2.67</v>
      </c>
      <c r="AY73" s="62">
        <v>0.98</v>
      </c>
      <c r="AZ73" s="62">
        <v>0.35</v>
      </c>
      <c r="BA73" s="62">
        <v>3.53</v>
      </c>
      <c r="BB73" s="62">
        <v>5.21</v>
      </c>
      <c r="BC73" s="62">
        <v>0.85</v>
      </c>
      <c r="BD73" s="62">
        <v>1.67</v>
      </c>
      <c r="BE73" s="62">
        <v>5.81</v>
      </c>
      <c r="BF73" s="62">
        <v>1.42</v>
      </c>
      <c r="BG73" s="62">
        <v>1.54</v>
      </c>
      <c r="BH73" s="62">
        <v>0.86</v>
      </c>
      <c r="BI73" s="62">
        <v>1.06</v>
      </c>
      <c r="BJ73" s="62">
        <v>0.79</v>
      </c>
      <c r="BK73" s="62">
        <v>2.95</v>
      </c>
      <c r="BL73" s="62">
        <v>1.76</v>
      </c>
      <c r="BM73" s="62">
        <v>1.88</v>
      </c>
      <c r="BN73" s="62">
        <v>0.83</v>
      </c>
      <c r="BO73" s="62">
        <v>0.87</v>
      </c>
      <c r="BP73" s="62">
        <v>0.6</v>
      </c>
      <c r="BQ73" s="62">
        <v>4.38</v>
      </c>
      <c r="BR73" s="62">
        <v>1.1000000000000001</v>
      </c>
      <c r="BS73" s="62">
        <v>9.81</v>
      </c>
      <c r="BT73" s="62">
        <v>-0.14000000000000001</v>
      </c>
      <c r="BU73" s="62">
        <v>1.51</v>
      </c>
      <c r="BV73" s="62">
        <v>3.54</v>
      </c>
      <c r="BW73" s="62">
        <v>2.87</v>
      </c>
      <c r="BX73" s="62">
        <v>0.93</v>
      </c>
      <c r="BY73" s="62">
        <v>13.5</v>
      </c>
      <c r="BZ73" s="62">
        <v>0.95</v>
      </c>
      <c r="CA73" s="62">
        <v>32.06</v>
      </c>
      <c r="CB73" s="62">
        <v>0.55000000000000004</v>
      </c>
      <c r="CC73" s="62">
        <v>4.2699999999999996</v>
      </c>
      <c r="CD73" s="62">
        <v>0.43</v>
      </c>
      <c r="CE73" s="62">
        <v>2.69</v>
      </c>
      <c r="CF73" s="62">
        <v>1.3</v>
      </c>
      <c r="CG73" s="62">
        <v>2.44</v>
      </c>
      <c r="CH73" s="62">
        <v>2.66</v>
      </c>
      <c r="CI73" s="62">
        <v>2.52</v>
      </c>
      <c r="CJ73" s="62">
        <v>1.01</v>
      </c>
      <c r="CK73" s="62">
        <v>15.35</v>
      </c>
      <c r="CL73" s="62">
        <v>2.08</v>
      </c>
      <c r="CM73" s="62">
        <v>2.31</v>
      </c>
      <c r="CN73" s="62">
        <v>0.94</v>
      </c>
      <c r="CO73" s="62">
        <v>2.4700000000000002</v>
      </c>
      <c r="CP73" s="62">
        <v>0.65</v>
      </c>
      <c r="CQ73" s="62">
        <v>2.11</v>
      </c>
      <c r="CR73" s="62">
        <v>7.26</v>
      </c>
      <c r="CS73" s="62">
        <v>3.93</v>
      </c>
      <c r="CT73" s="62">
        <v>4.18</v>
      </c>
      <c r="CU73" s="62">
        <v>4.3499999999999996</v>
      </c>
      <c r="CV73" s="62">
        <v>1.04</v>
      </c>
      <c r="CW73" s="62">
        <v>0.97</v>
      </c>
      <c r="CX73" s="62">
        <v>1.51</v>
      </c>
      <c r="CY73" s="62">
        <v>3.12</v>
      </c>
      <c r="CZ73" s="62">
        <v>1.23</v>
      </c>
      <c r="DA73" s="62">
        <v>0.73</v>
      </c>
      <c r="DB73" s="62">
        <v>10.91</v>
      </c>
      <c r="DC73" s="62">
        <v>0.99</v>
      </c>
      <c r="DD73" s="62">
        <v>15.45</v>
      </c>
      <c r="DE73" s="62">
        <v>1.25</v>
      </c>
      <c r="DF73" s="62">
        <v>2.58</v>
      </c>
      <c r="DG73" s="62">
        <v>0.84</v>
      </c>
      <c r="DH73" s="62">
        <v>-6.06</v>
      </c>
      <c r="DI73" s="62">
        <v>1.3</v>
      </c>
      <c r="DJ73" s="62">
        <v>1.25</v>
      </c>
      <c r="DK73" s="62">
        <v>1.39</v>
      </c>
      <c r="DL73" s="62">
        <v>3.3</v>
      </c>
      <c r="DM73" s="62">
        <v>0.97</v>
      </c>
      <c r="DN73" s="62">
        <v>1.48</v>
      </c>
      <c r="DO73" s="62">
        <v>6.28</v>
      </c>
      <c r="DP73" s="62">
        <v>3.56</v>
      </c>
    </row>
    <row r="74" spans="1:120" x14ac:dyDescent="0.3">
      <c r="A74" s="64" t="s">
        <v>9094</v>
      </c>
      <c r="B74" s="62">
        <v>1.63</v>
      </c>
      <c r="C74" s="62">
        <v>1.03</v>
      </c>
      <c r="D74" s="62">
        <v>33.74</v>
      </c>
      <c r="E74" s="62">
        <v>1.65</v>
      </c>
      <c r="F74" s="62">
        <v>6.94</v>
      </c>
      <c r="G74" s="62">
        <v>8.33</v>
      </c>
      <c r="H74" s="62">
        <v>0.97</v>
      </c>
      <c r="I74" s="62">
        <v>1.03</v>
      </c>
      <c r="J74" s="62">
        <v>0.85</v>
      </c>
      <c r="K74" s="62">
        <v>1.37</v>
      </c>
      <c r="L74" s="62">
        <v>1.1200000000000001</v>
      </c>
      <c r="M74" s="62">
        <v>2.06</v>
      </c>
      <c r="N74" s="62">
        <v>0.86</v>
      </c>
      <c r="O74" s="62">
        <v>2.48</v>
      </c>
      <c r="P74" s="62">
        <v>6.27</v>
      </c>
      <c r="Q74" s="62">
        <v>3.07</v>
      </c>
      <c r="R74" s="62">
        <v>3.81</v>
      </c>
      <c r="S74" s="62">
        <v>0.39</v>
      </c>
      <c r="T74" s="62">
        <v>1.18</v>
      </c>
      <c r="U74" s="62">
        <v>1.77</v>
      </c>
      <c r="V74" s="62">
        <v>1.26</v>
      </c>
      <c r="W74" s="62">
        <v>1.96</v>
      </c>
      <c r="X74" s="62">
        <v>1.46</v>
      </c>
      <c r="Y74" s="62">
        <v>98.04</v>
      </c>
      <c r="Z74" s="62">
        <v>1.57</v>
      </c>
      <c r="AA74" s="62">
        <v>2.37</v>
      </c>
      <c r="AB74" s="62">
        <v>2.37</v>
      </c>
      <c r="AC74" s="62">
        <v>3.63</v>
      </c>
      <c r="AD74" s="62">
        <v>0.91</v>
      </c>
      <c r="AE74" s="62">
        <v>3.4</v>
      </c>
      <c r="AF74" s="62">
        <v>10.76</v>
      </c>
      <c r="AG74" s="62">
        <v>1.5</v>
      </c>
      <c r="AH74" s="62">
        <v>0.83</v>
      </c>
      <c r="AI74" s="62">
        <v>1.66</v>
      </c>
      <c r="AJ74" s="62">
        <v>4.6100000000000003</v>
      </c>
      <c r="AK74" s="62">
        <v>2.37</v>
      </c>
      <c r="AL74" s="62">
        <v>0.41</v>
      </c>
      <c r="AM74" s="62">
        <v>1.29</v>
      </c>
      <c r="AN74" s="62">
        <v>1.55</v>
      </c>
      <c r="AO74" s="62">
        <v>3.02</v>
      </c>
      <c r="AP74" s="62">
        <v>3.36</v>
      </c>
      <c r="AQ74" s="62">
        <v>0.99</v>
      </c>
      <c r="AR74" s="62">
        <v>1.96</v>
      </c>
      <c r="AS74" s="62">
        <v>3.42</v>
      </c>
      <c r="AT74" s="62">
        <v>1.75</v>
      </c>
      <c r="AU74" s="62">
        <v>4.1399999999999997</v>
      </c>
      <c r="AV74" s="62">
        <v>0.96</v>
      </c>
      <c r="AW74" s="62">
        <v>0.91</v>
      </c>
      <c r="AX74" s="62">
        <v>3.08</v>
      </c>
      <c r="AY74" s="62">
        <v>1</v>
      </c>
      <c r="AZ74" s="62">
        <v>0.35</v>
      </c>
      <c r="BA74" s="62">
        <v>3.59</v>
      </c>
      <c r="BB74" s="62">
        <v>5.21</v>
      </c>
      <c r="BC74" s="62">
        <v>0.84</v>
      </c>
      <c r="BD74" s="62">
        <v>1.66</v>
      </c>
      <c r="BE74" s="62">
        <v>7.26</v>
      </c>
      <c r="BF74" s="62">
        <v>1.44</v>
      </c>
      <c r="BG74" s="62">
        <v>1.55</v>
      </c>
      <c r="BH74" s="62">
        <v>0.88</v>
      </c>
      <c r="BI74" s="62">
        <v>1.1599999999999999</v>
      </c>
      <c r="BJ74" s="62">
        <v>0.67</v>
      </c>
      <c r="BK74" s="62">
        <v>3.58</v>
      </c>
      <c r="BL74" s="62">
        <v>2.14</v>
      </c>
      <c r="BM74" s="62">
        <v>1.92</v>
      </c>
      <c r="BN74" s="62">
        <v>0.81</v>
      </c>
      <c r="BO74" s="62">
        <v>0.95</v>
      </c>
      <c r="BP74" s="62">
        <v>0.6</v>
      </c>
      <c r="BQ74" s="62">
        <v>4.79</v>
      </c>
      <c r="BR74" s="62">
        <v>1.19</v>
      </c>
      <c r="BS74" s="62">
        <v>10.93</v>
      </c>
      <c r="BT74" s="62">
        <v>-0.14000000000000001</v>
      </c>
      <c r="BU74" s="62">
        <v>1.59</v>
      </c>
      <c r="BV74" s="62">
        <v>4.09</v>
      </c>
      <c r="BW74" s="62">
        <v>2.99</v>
      </c>
      <c r="BX74" s="62">
        <v>0.97</v>
      </c>
      <c r="BY74" s="62">
        <v>12</v>
      </c>
      <c r="BZ74" s="62">
        <v>0.92</v>
      </c>
      <c r="CA74" s="62">
        <v>38.200000000000003</v>
      </c>
      <c r="CB74" s="62">
        <v>0.61</v>
      </c>
      <c r="CC74" s="62">
        <v>4.4800000000000004</v>
      </c>
      <c r="CD74" s="62">
        <v>0.45</v>
      </c>
      <c r="CE74" s="62">
        <v>2.72</v>
      </c>
      <c r="CF74" s="62">
        <v>1.33</v>
      </c>
      <c r="CG74" s="62">
        <v>2.72</v>
      </c>
      <c r="CH74" s="62">
        <v>2.63</v>
      </c>
      <c r="CI74" s="62">
        <v>2.52</v>
      </c>
      <c r="CJ74" s="62">
        <v>1.1499999999999999</v>
      </c>
      <c r="CK74" s="62">
        <v>19.66</v>
      </c>
      <c r="CL74" s="62">
        <v>2.0699999999999998</v>
      </c>
      <c r="CM74" s="62">
        <v>2.42</v>
      </c>
      <c r="CN74" s="62">
        <v>1.07</v>
      </c>
      <c r="CO74" s="62">
        <v>2.09</v>
      </c>
      <c r="CP74" s="62">
        <v>0.71</v>
      </c>
      <c r="CQ74" s="62">
        <v>1.64</v>
      </c>
      <c r="CR74" s="62">
        <v>7.26</v>
      </c>
      <c r="CS74" s="62">
        <v>3.93</v>
      </c>
      <c r="CT74" s="62">
        <v>4.18</v>
      </c>
      <c r="CU74" s="62">
        <v>4.32</v>
      </c>
      <c r="CV74" s="62">
        <v>1.0900000000000001</v>
      </c>
      <c r="CW74" s="62">
        <v>0.97</v>
      </c>
      <c r="CX74" s="62">
        <v>1.27</v>
      </c>
      <c r="CY74" s="62">
        <v>3.04</v>
      </c>
      <c r="CZ74" s="62">
        <v>1.17</v>
      </c>
      <c r="DA74" s="62">
        <v>0.77</v>
      </c>
      <c r="DB74" s="62">
        <v>10.62</v>
      </c>
      <c r="DC74" s="62">
        <v>1.04</v>
      </c>
      <c r="DD74" s="62">
        <v>6.68</v>
      </c>
      <c r="DE74" s="62">
        <v>1.26</v>
      </c>
      <c r="DF74" s="62">
        <v>2.98</v>
      </c>
      <c r="DG74" s="62">
        <v>0.83</v>
      </c>
      <c r="DH74" s="62">
        <v>-12.12</v>
      </c>
      <c r="DI74" s="62">
        <v>1.32</v>
      </c>
      <c r="DJ74" s="62">
        <v>1.29</v>
      </c>
      <c r="DK74" s="62">
        <v>1.42</v>
      </c>
      <c r="DL74" s="62">
        <v>3.47</v>
      </c>
      <c r="DM74" s="62">
        <v>0.98</v>
      </c>
      <c r="DN74" s="62">
        <v>1.5</v>
      </c>
      <c r="DO74" s="62">
        <v>6.09</v>
      </c>
      <c r="DP74" s="62">
        <v>3.58</v>
      </c>
    </row>
    <row r="75" spans="1:120" x14ac:dyDescent="0.3">
      <c r="A75" s="64" t="s">
        <v>9095</v>
      </c>
      <c r="B75" s="62">
        <v>1.59</v>
      </c>
      <c r="C75" s="62">
        <v>1.03</v>
      </c>
      <c r="D75" s="62">
        <v>38.880000000000003</v>
      </c>
      <c r="E75" s="62">
        <v>1.57</v>
      </c>
      <c r="F75" s="62">
        <v>7.8</v>
      </c>
      <c r="G75" s="62">
        <v>16.670000000000002</v>
      </c>
      <c r="H75" s="62">
        <v>0.95</v>
      </c>
      <c r="I75" s="62">
        <v>1.04</v>
      </c>
      <c r="J75" s="62">
        <v>0.86</v>
      </c>
      <c r="K75" s="62">
        <v>1.4</v>
      </c>
      <c r="L75" s="62">
        <v>1.1100000000000001</v>
      </c>
      <c r="M75" s="62">
        <v>2.06</v>
      </c>
      <c r="N75" s="62">
        <v>0.85</v>
      </c>
      <c r="O75" s="62">
        <v>2.48</v>
      </c>
      <c r="P75" s="62">
        <v>7.38</v>
      </c>
      <c r="Q75" s="62">
        <v>3.02</v>
      </c>
      <c r="R75" s="62">
        <v>3.81</v>
      </c>
      <c r="S75" s="62">
        <v>0.4</v>
      </c>
      <c r="T75" s="62">
        <v>1.25</v>
      </c>
      <c r="U75" s="62">
        <v>1.72</v>
      </c>
      <c r="V75" s="62">
        <v>1.28</v>
      </c>
      <c r="W75" s="62">
        <v>2.15</v>
      </c>
      <c r="X75" s="62">
        <v>1.43</v>
      </c>
      <c r="Y75" s="62">
        <v>117.65</v>
      </c>
      <c r="Z75" s="62">
        <v>1.57</v>
      </c>
      <c r="AA75" s="62">
        <v>2.36</v>
      </c>
      <c r="AB75" s="62">
        <v>2.35</v>
      </c>
      <c r="AC75" s="62">
        <v>3.84</v>
      </c>
      <c r="AD75" s="62">
        <v>0.93</v>
      </c>
      <c r="AE75" s="62">
        <v>3.46</v>
      </c>
      <c r="AF75" s="62">
        <v>9.9</v>
      </c>
      <c r="AG75" s="62">
        <v>1.54</v>
      </c>
      <c r="AH75" s="62">
        <v>0.86</v>
      </c>
      <c r="AI75" s="62">
        <v>1.62</v>
      </c>
      <c r="AJ75" s="62">
        <v>4.75</v>
      </c>
      <c r="AK75" s="62">
        <v>1.81</v>
      </c>
      <c r="AL75" s="62">
        <v>0.62</v>
      </c>
      <c r="AM75" s="62">
        <v>1.27</v>
      </c>
      <c r="AN75" s="62">
        <v>1.52</v>
      </c>
      <c r="AO75" s="62">
        <v>2.78</v>
      </c>
      <c r="AP75" s="62">
        <v>3.08</v>
      </c>
      <c r="AQ75" s="62">
        <v>0.97</v>
      </c>
      <c r="AR75" s="62">
        <v>2.36</v>
      </c>
      <c r="AS75" s="62">
        <v>3.71</v>
      </c>
      <c r="AT75" s="62">
        <v>1.71</v>
      </c>
      <c r="AU75" s="62">
        <v>4.09</v>
      </c>
      <c r="AV75" s="62">
        <v>0.93</v>
      </c>
      <c r="AW75" s="62">
        <v>0.88</v>
      </c>
      <c r="AX75" s="62">
        <v>2.96</v>
      </c>
      <c r="AY75" s="62">
        <v>0.98</v>
      </c>
      <c r="AZ75" s="62">
        <v>0.35</v>
      </c>
      <c r="BA75" s="62">
        <v>3.68</v>
      </c>
      <c r="BB75" s="62">
        <v>5.21</v>
      </c>
      <c r="BC75" s="62">
        <v>0.85</v>
      </c>
      <c r="BD75" s="62">
        <v>1.62</v>
      </c>
      <c r="BE75" s="62">
        <v>6.68</v>
      </c>
      <c r="BF75" s="62">
        <v>1.44</v>
      </c>
      <c r="BG75" s="62">
        <v>1.51</v>
      </c>
      <c r="BH75" s="62">
        <v>0.89</v>
      </c>
      <c r="BI75" s="62">
        <v>1.0900000000000001</v>
      </c>
      <c r="BJ75" s="62">
        <v>0.72</v>
      </c>
      <c r="BK75" s="62">
        <v>3.58</v>
      </c>
      <c r="BL75" s="62">
        <v>2.14</v>
      </c>
      <c r="BM75" s="62">
        <v>1.97</v>
      </c>
      <c r="BN75" s="62">
        <v>0.79</v>
      </c>
      <c r="BO75" s="62">
        <v>1.1000000000000001</v>
      </c>
      <c r="BP75" s="62">
        <v>0.57999999999999996</v>
      </c>
      <c r="BQ75" s="62">
        <v>4.84</v>
      </c>
      <c r="BR75" s="62">
        <v>1.1599999999999999</v>
      </c>
      <c r="BS75" s="62">
        <v>12.05</v>
      </c>
      <c r="BT75" s="62">
        <v>-0.25</v>
      </c>
      <c r="BU75" s="62">
        <v>1.54</v>
      </c>
      <c r="BV75" s="62">
        <v>5.23</v>
      </c>
      <c r="BW75" s="62">
        <v>3.11</v>
      </c>
      <c r="BX75" s="62">
        <v>0.95</v>
      </c>
      <c r="BY75" s="62">
        <v>10.5</v>
      </c>
      <c r="BZ75" s="62">
        <v>0.9</v>
      </c>
      <c r="CA75" s="62">
        <v>37.93</v>
      </c>
      <c r="CB75" s="62">
        <v>0.59</v>
      </c>
      <c r="CC75" s="62">
        <v>4.6100000000000003</v>
      </c>
      <c r="CD75" s="62">
        <v>0.51</v>
      </c>
      <c r="CE75" s="62">
        <v>2.79</v>
      </c>
      <c r="CF75" s="62">
        <v>1.28</v>
      </c>
      <c r="CG75" s="62">
        <v>2.72</v>
      </c>
      <c r="CH75" s="62">
        <v>2.62</v>
      </c>
      <c r="CI75" s="62">
        <v>2.1</v>
      </c>
      <c r="CJ75" s="62">
        <v>1.1000000000000001</v>
      </c>
      <c r="CK75" s="62">
        <v>17.05</v>
      </c>
      <c r="CL75" s="62">
        <v>2.04</v>
      </c>
      <c r="CM75" s="62">
        <v>2.37</v>
      </c>
      <c r="CN75" s="62">
        <v>1.0900000000000001</v>
      </c>
      <c r="CO75" s="62">
        <v>2.15</v>
      </c>
      <c r="CP75" s="62">
        <v>0.71</v>
      </c>
      <c r="CQ75" s="62">
        <v>1.41</v>
      </c>
      <c r="CR75" s="62">
        <v>7.26</v>
      </c>
      <c r="CS75" s="62">
        <v>3.99</v>
      </c>
      <c r="CT75" s="62">
        <v>1.05</v>
      </c>
      <c r="CU75" s="62">
        <v>4.2300000000000004</v>
      </c>
      <c r="CV75" s="62">
        <v>1.1200000000000001</v>
      </c>
      <c r="CW75" s="62">
        <v>0.96</v>
      </c>
      <c r="CX75" s="62">
        <v>1.3</v>
      </c>
      <c r="CY75" s="62">
        <v>2.95</v>
      </c>
      <c r="CZ75" s="62">
        <v>1.17</v>
      </c>
      <c r="DA75" s="62">
        <v>0.9</v>
      </c>
      <c r="DB75" s="62">
        <v>12.19</v>
      </c>
      <c r="DC75" s="62">
        <v>0.99</v>
      </c>
      <c r="DD75" s="62">
        <v>6.38</v>
      </c>
      <c r="DE75" s="62">
        <v>1.23</v>
      </c>
      <c r="DF75" s="62">
        <v>2.84</v>
      </c>
      <c r="DG75" s="62">
        <v>0.84</v>
      </c>
      <c r="DH75" s="62">
        <v>-9.09</v>
      </c>
      <c r="DI75" s="62">
        <v>1.19</v>
      </c>
      <c r="DJ75" s="62">
        <v>1.27</v>
      </c>
      <c r="DK75" s="62">
        <v>1.4</v>
      </c>
      <c r="DL75" s="62">
        <v>3.43</v>
      </c>
      <c r="DM75" s="62">
        <v>0.96</v>
      </c>
      <c r="DN75" s="62">
        <v>1.48</v>
      </c>
      <c r="DO75" s="62">
        <v>6.66</v>
      </c>
      <c r="DP75" s="62">
        <v>3.53</v>
      </c>
    </row>
    <row r="76" spans="1:120" x14ac:dyDescent="0.3">
      <c r="A76" s="64" t="s">
        <v>9096</v>
      </c>
      <c r="B76" s="62">
        <v>1.52</v>
      </c>
      <c r="C76" s="62">
        <v>1.03</v>
      </c>
      <c r="D76" s="62">
        <v>33.01</v>
      </c>
      <c r="E76" s="62">
        <v>1.71</v>
      </c>
      <c r="F76" s="62">
        <v>7.23</v>
      </c>
      <c r="G76" s="62">
        <v>16.670000000000002</v>
      </c>
      <c r="H76" s="62">
        <v>0.91</v>
      </c>
      <c r="I76" s="62">
        <v>0.98</v>
      </c>
      <c r="J76" s="62">
        <v>0.84</v>
      </c>
      <c r="K76" s="62">
        <v>1.35</v>
      </c>
      <c r="L76" s="62">
        <v>1.1100000000000001</v>
      </c>
      <c r="M76" s="62">
        <v>1.78</v>
      </c>
      <c r="N76" s="62">
        <v>0.85</v>
      </c>
      <c r="O76" s="62">
        <v>3.1</v>
      </c>
      <c r="P76" s="62">
        <v>5.9</v>
      </c>
      <c r="Q76" s="62">
        <v>3.1</v>
      </c>
      <c r="R76" s="62">
        <v>3.5</v>
      </c>
      <c r="S76" s="62">
        <v>0.47</v>
      </c>
      <c r="T76" s="62">
        <v>1.19</v>
      </c>
      <c r="U76" s="62">
        <v>1.57</v>
      </c>
      <c r="V76" s="62">
        <v>1.28</v>
      </c>
      <c r="W76" s="62">
        <v>1.84</v>
      </c>
      <c r="X76" s="62">
        <v>1.38</v>
      </c>
      <c r="Y76" s="62">
        <v>245.1</v>
      </c>
      <c r="Z76" s="62">
        <v>1.57</v>
      </c>
      <c r="AA76" s="62">
        <v>2.39</v>
      </c>
      <c r="AB76" s="62">
        <v>2.27</v>
      </c>
      <c r="AC76" s="62">
        <v>3.55</v>
      </c>
      <c r="AD76" s="62">
        <v>0.64</v>
      </c>
      <c r="AE76" s="62">
        <v>3.45</v>
      </c>
      <c r="AF76" s="62">
        <v>10.31</v>
      </c>
      <c r="AG76" s="62">
        <v>1.27</v>
      </c>
      <c r="AH76" s="62">
        <v>0.83</v>
      </c>
      <c r="AI76" s="62">
        <v>1.55</v>
      </c>
      <c r="AJ76" s="62">
        <v>4.42</v>
      </c>
      <c r="AK76" s="62">
        <v>2.46</v>
      </c>
      <c r="AL76" s="62">
        <v>1.23</v>
      </c>
      <c r="AM76" s="62">
        <v>1.2</v>
      </c>
      <c r="AN76" s="62">
        <v>1.52</v>
      </c>
      <c r="AO76" s="62">
        <v>2.82</v>
      </c>
      <c r="AP76" s="62">
        <v>1.92</v>
      </c>
      <c r="AQ76" s="62">
        <v>0.95</v>
      </c>
      <c r="AR76" s="62">
        <v>1.89</v>
      </c>
      <c r="AS76" s="62">
        <v>4</v>
      </c>
      <c r="AT76" s="62">
        <v>1.53</v>
      </c>
      <c r="AU76" s="62">
        <v>3.7</v>
      </c>
      <c r="AV76" s="62">
        <v>0.9</v>
      </c>
      <c r="AW76" s="62">
        <v>0.84</v>
      </c>
      <c r="AX76" s="62">
        <v>3.02</v>
      </c>
      <c r="AY76" s="62">
        <v>0.95</v>
      </c>
      <c r="AZ76" s="62">
        <v>0.35</v>
      </c>
      <c r="BA76" s="62">
        <v>3.41</v>
      </c>
      <c r="BB76" s="62">
        <v>5.21</v>
      </c>
      <c r="BC76" s="62">
        <v>0.84</v>
      </c>
      <c r="BD76" s="62">
        <v>1.71</v>
      </c>
      <c r="BE76" s="62">
        <v>5.66</v>
      </c>
      <c r="BF76" s="62">
        <v>1.36</v>
      </c>
      <c r="BG76" s="62">
        <v>1.48</v>
      </c>
      <c r="BH76" s="62">
        <v>0.85</v>
      </c>
      <c r="BI76" s="62">
        <v>0.97</v>
      </c>
      <c r="BJ76" s="62">
        <v>0.71</v>
      </c>
      <c r="BK76" s="62">
        <v>3.23</v>
      </c>
      <c r="BL76" s="62">
        <v>1.88</v>
      </c>
      <c r="BM76" s="62">
        <v>1.62</v>
      </c>
      <c r="BN76" s="62">
        <v>0.75</v>
      </c>
      <c r="BO76" s="62">
        <v>0.8</v>
      </c>
      <c r="BP76" s="62">
        <v>0.53</v>
      </c>
      <c r="BQ76" s="62">
        <v>4.58</v>
      </c>
      <c r="BR76" s="62">
        <v>1.1200000000000001</v>
      </c>
      <c r="BS76" s="62">
        <v>10.79</v>
      </c>
      <c r="BT76" s="62">
        <v>-0.11</v>
      </c>
      <c r="BU76" s="62">
        <v>1.62</v>
      </c>
      <c r="BV76" s="62">
        <v>4.7699999999999996</v>
      </c>
      <c r="BW76" s="62">
        <v>3.09</v>
      </c>
      <c r="BX76" s="62">
        <v>0.91</v>
      </c>
      <c r="BY76" s="62">
        <v>4</v>
      </c>
      <c r="BZ76" s="62">
        <v>0.89</v>
      </c>
      <c r="CA76" s="62">
        <v>35.36</v>
      </c>
      <c r="CB76" s="62">
        <v>0.5</v>
      </c>
      <c r="CC76" s="62">
        <v>4.42</v>
      </c>
      <c r="CD76" s="62">
        <v>0.49</v>
      </c>
      <c r="CE76" s="62">
        <v>2.74</v>
      </c>
      <c r="CF76" s="62">
        <v>1.24</v>
      </c>
      <c r="CG76" s="62">
        <v>2.5499999999999998</v>
      </c>
      <c r="CH76" s="62">
        <v>2.58</v>
      </c>
      <c r="CI76" s="62">
        <v>2.52</v>
      </c>
      <c r="CJ76" s="62">
        <v>1.19</v>
      </c>
      <c r="CK76" s="62">
        <v>18.850000000000001</v>
      </c>
      <c r="CL76" s="62">
        <v>2.1</v>
      </c>
      <c r="CM76" s="62">
        <v>2.23</v>
      </c>
      <c r="CN76" s="62">
        <v>0.93</v>
      </c>
      <c r="CO76" s="62">
        <v>1.77</v>
      </c>
      <c r="CP76" s="62">
        <v>0.65</v>
      </c>
      <c r="CQ76" s="62">
        <v>1.52</v>
      </c>
      <c r="CR76" s="62">
        <v>7.26</v>
      </c>
      <c r="CS76" s="62">
        <v>3.99</v>
      </c>
      <c r="CT76" s="62">
        <v>1.05</v>
      </c>
      <c r="CU76" s="62">
        <v>3.98</v>
      </c>
      <c r="CV76" s="62">
        <v>1.0900000000000001</v>
      </c>
      <c r="CW76" s="62">
        <v>0.92</v>
      </c>
      <c r="CX76" s="62">
        <v>1.46</v>
      </c>
      <c r="CY76" s="62">
        <v>3.28</v>
      </c>
      <c r="CZ76" s="62">
        <v>1.1499999999999999</v>
      </c>
      <c r="DA76" s="62">
        <v>0.86</v>
      </c>
      <c r="DB76" s="62">
        <v>17.23</v>
      </c>
      <c r="DC76" s="62">
        <v>0.94</v>
      </c>
      <c r="DD76" s="62">
        <v>6.08</v>
      </c>
      <c r="DE76" s="62">
        <v>1.1499999999999999</v>
      </c>
      <c r="DF76" s="62">
        <v>2.96</v>
      </c>
      <c r="DG76" s="62">
        <v>0.87</v>
      </c>
      <c r="DH76" s="62">
        <v>-6.06</v>
      </c>
      <c r="DI76" s="62">
        <v>1.1599999999999999</v>
      </c>
      <c r="DJ76" s="62">
        <v>1.1399999999999999</v>
      </c>
      <c r="DK76" s="62">
        <v>1.35</v>
      </c>
      <c r="DL76" s="62">
        <v>3.25</v>
      </c>
      <c r="DM76" s="62">
        <v>0.94</v>
      </c>
      <c r="DN76" s="62">
        <v>1.45</v>
      </c>
      <c r="DO76" s="62">
        <v>6.02</v>
      </c>
      <c r="DP76" s="62">
        <v>3.26</v>
      </c>
    </row>
    <row r="77" spans="1:120" x14ac:dyDescent="0.3">
      <c r="A77" s="64" t="s">
        <v>9097</v>
      </c>
      <c r="B77" s="62">
        <v>1.45</v>
      </c>
      <c r="C77" s="62">
        <v>1.03</v>
      </c>
      <c r="D77" s="62">
        <v>36.68</v>
      </c>
      <c r="E77" s="62">
        <v>1.67</v>
      </c>
      <c r="F77" s="62">
        <v>5.92</v>
      </c>
      <c r="G77" s="62">
        <v>8.33</v>
      </c>
      <c r="H77" s="62">
        <v>0.89</v>
      </c>
      <c r="I77" s="62">
        <v>0.96</v>
      </c>
      <c r="J77" s="62">
        <v>0.83</v>
      </c>
      <c r="K77" s="62">
        <v>1.29</v>
      </c>
      <c r="L77" s="62">
        <v>1.1000000000000001</v>
      </c>
      <c r="M77" s="62">
        <v>1.68</v>
      </c>
      <c r="N77" s="62">
        <v>0.82</v>
      </c>
      <c r="O77" s="62">
        <v>3.72</v>
      </c>
      <c r="P77" s="62">
        <v>6.27</v>
      </c>
      <c r="Q77" s="62">
        <v>3.17</v>
      </c>
      <c r="R77" s="62">
        <v>3.85</v>
      </c>
      <c r="S77" s="62">
        <v>0.55000000000000004</v>
      </c>
      <c r="T77" s="62">
        <v>1.21</v>
      </c>
      <c r="U77" s="62">
        <v>1.68</v>
      </c>
      <c r="V77" s="62">
        <v>1.27</v>
      </c>
      <c r="W77" s="62">
        <v>1.64</v>
      </c>
      <c r="X77" s="62">
        <v>1.38</v>
      </c>
      <c r="Y77" s="62">
        <v>137.25</v>
      </c>
      <c r="Z77" s="62">
        <v>1.57</v>
      </c>
      <c r="AA77" s="62">
        <v>2.5</v>
      </c>
      <c r="AB77" s="62">
        <v>2.2999999999999998</v>
      </c>
      <c r="AC77" s="62">
        <v>3.88</v>
      </c>
      <c r="AD77" s="62">
        <v>0.6</v>
      </c>
      <c r="AE77" s="62">
        <v>3.4</v>
      </c>
      <c r="AF77" s="62">
        <v>9.9</v>
      </c>
      <c r="AG77" s="62">
        <v>1.19</v>
      </c>
      <c r="AH77" s="62">
        <v>0.82</v>
      </c>
      <c r="AI77" s="62">
        <v>1.53</v>
      </c>
      <c r="AJ77" s="62">
        <v>4.55</v>
      </c>
      <c r="AK77" s="62">
        <v>2.11</v>
      </c>
      <c r="AL77" s="62">
        <v>1.23</v>
      </c>
      <c r="AM77" s="62">
        <v>1.22</v>
      </c>
      <c r="AN77" s="62">
        <v>1.47</v>
      </c>
      <c r="AO77" s="62">
        <v>2.97</v>
      </c>
      <c r="AP77" s="62">
        <v>1.82</v>
      </c>
      <c r="AQ77" s="62">
        <v>0.95</v>
      </c>
      <c r="AR77" s="62">
        <v>1.89</v>
      </c>
      <c r="AS77" s="62">
        <v>4.37</v>
      </c>
      <c r="AT77" s="62">
        <v>1.48</v>
      </c>
      <c r="AU77" s="62">
        <v>4.1399999999999997</v>
      </c>
      <c r="AV77" s="62">
        <v>0.9</v>
      </c>
      <c r="AW77" s="62">
        <v>0.85</v>
      </c>
      <c r="AX77" s="62">
        <v>2.96</v>
      </c>
      <c r="AY77" s="62">
        <v>0.95</v>
      </c>
      <c r="AZ77" s="62">
        <v>0.46</v>
      </c>
      <c r="BA77" s="62">
        <v>3.48</v>
      </c>
      <c r="BB77" s="62">
        <v>5.21</v>
      </c>
      <c r="BC77" s="62">
        <v>0.83</v>
      </c>
      <c r="BD77" s="62">
        <v>1.63</v>
      </c>
      <c r="BE77" s="62">
        <v>5.08</v>
      </c>
      <c r="BF77" s="62">
        <v>1.37</v>
      </c>
      <c r="BG77" s="62">
        <v>1.52</v>
      </c>
      <c r="BH77" s="62">
        <v>0.84</v>
      </c>
      <c r="BI77" s="62">
        <v>0.86</v>
      </c>
      <c r="BJ77" s="62">
        <v>0.71</v>
      </c>
      <c r="BK77" s="62">
        <v>3.37</v>
      </c>
      <c r="BL77" s="62">
        <v>2.14</v>
      </c>
      <c r="BM77" s="62">
        <v>1.78</v>
      </c>
      <c r="BN77" s="62">
        <v>0.71</v>
      </c>
      <c r="BO77" s="62">
        <v>0.82</v>
      </c>
      <c r="BP77" s="62">
        <v>0.6</v>
      </c>
      <c r="BQ77" s="62">
        <v>4.58</v>
      </c>
      <c r="BR77" s="62">
        <v>1.1100000000000001</v>
      </c>
      <c r="BS77" s="62">
        <v>10.79</v>
      </c>
      <c r="BT77" s="62">
        <v>-0.21</v>
      </c>
      <c r="BU77" s="62">
        <v>1.59</v>
      </c>
      <c r="BV77" s="62">
        <v>5.72</v>
      </c>
      <c r="BW77" s="62">
        <v>2.9</v>
      </c>
      <c r="BX77" s="62">
        <v>0.92</v>
      </c>
      <c r="BY77" s="62">
        <v>4.5</v>
      </c>
      <c r="BZ77" s="62">
        <v>0.89</v>
      </c>
      <c r="CA77" s="62">
        <v>39.39</v>
      </c>
      <c r="CB77" s="62">
        <v>0.53</v>
      </c>
      <c r="CC77" s="62">
        <v>4.4000000000000004</v>
      </c>
      <c r="CD77" s="62">
        <v>0.56999999999999995</v>
      </c>
      <c r="CE77" s="62">
        <v>2.72</v>
      </c>
      <c r="CF77" s="62">
        <v>1.2</v>
      </c>
      <c r="CG77" s="62">
        <v>2.56</v>
      </c>
      <c r="CH77" s="62">
        <v>2.44</v>
      </c>
      <c r="CI77" s="62">
        <v>2.1</v>
      </c>
      <c r="CJ77" s="62">
        <v>1.1399999999999999</v>
      </c>
      <c r="CK77" s="62">
        <v>21.99</v>
      </c>
      <c r="CL77" s="62">
        <v>2.04</v>
      </c>
      <c r="CM77" s="62">
        <v>2.27</v>
      </c>
      <c r="CN77" s="62">
        <v>0.87</v>
      </c>
      <c r="CO77" s="62">
        <v>2.15</v>
      </c>
      <c r="CP77" s="62">
        <v>0.59</v>
      </c>
      <c r="CQ77" s="62">
        <v>1.29</v>
      </c>
      <c r="CR77" s="62">
        <v>7.44</v>
      </c>
      <c r="CS77" s="62">
        <v>4.16</v>
      </c>
      <c r="CT77" s="62">
        <v>1.05</v>
      </c>
      <c r="CU77" s="62">
        <v>3.98</v>
      </c>
      <c r="CV77" s="62">
        <v>1.05</v>
      </c>
      <c r="CW77" s="62">
        <v>0.93</v>
      </c>
      <c r="CX77" s="62">
        <v>1.6</v>
      </c>
      <c r="CY77" s="62">
        <v>3.54</v>
      </c>
      <c r="CZ77" s="62">
        <v>1.1399999999999999</v>
      </c>
      <c r="DA77" s="62">
        <v>0.88</v>
      </c>
      <c r="DB77" s="62">
        <v>16.32</v>
      </c>
      <c r="DC77" s="62">
        <v>0.9</v>
      </c>
      <c r="DD77" s="62">
        <v>5.99</v>
      </c>
      <c r="DE77" s="62">
        <v>1.1000000000000001</v>
      </c>
      <c r="DF77" s="62">
        <v>3</v>
      </c>
      <c r="DG77" s="62">
        <v>1</v>
      </c>
      <c r="DH77" s="62">
        <v>-12.12</v>
      </c>
      <c r="DI77" s="62">
        <v>1.24</v>
      </c>
      <c r="DJ77" s="62">
        <v>1.19</v>
      </c>
      <c r="DK77" s="62">
        <v>1.29</v>
      </c>
      <c r="DL77" s="62">
        <v>3.44</v>
      </c>
      <c r="DM77" s="62">
        <v>0.92</v>
      </c>
      <c r="DN77" s="62">
        <v>1.45</v>
      </c>
      <c r="DO77" s="62">
        <v>6.09</v>
      </c>
      <c r="DP77" s="62">
        <v>3.1</v>
      </c>
    </row>
    <row r="78" spans="1:120" x14ac:dyDescent="0.3">
      <c r="A78" s="64" t="s">
        <v>9098</v>
      </c>
      <c r="B78" s="62">
        <v>1.38</v>
      </c>
      <c r="C78" s="62">
        <v>1.03</v>
      </c>
      <c r="D78" s="62">
        <v>35.06</v>
      </c>
      <c r="E78" s="62">
        <v>1.68</v>
      </c>
      <c r="F78" s="62">
        <v>6.14</v>
      </c>
      <c r="G78" s="62">
        <v>8.33</v>
      </c>
      <c r="H78" s="62">
        <v>0.91</v>
      </c>
      <c r="I78" s="62">
        <v>0.96</v>
      </c>
      <c r="J78" s="62">
        <v>0.84</v>
      </c>
      <c r="K78" s="62">
        <v>1.35</v>
      </c>
      <c r="L78" s="62">
        <v>1.08</v>
      </c>
      <c r="M78" s="62">
        <v>1.56</v>
      </c>
      <c r="N78" s="62">
        <v>0.83</v>
      </c>
      <c r="O78" s="62">
        <v>3.72</v>
      </c>
      <c r="P78" s="62">
        <v>6.64</v>
      </c>
      <c r="Q78" s="62">
        <v>3.11</v>
      </c>
      <c r="R78" s="62">
        <v>3.11</v>
      </c>
      <c r="S78" s="62">
        <v>0.48</v>
      </c>
      <c r="T78" s="62">
        <v>1.23</v>
      </c>
      <c r="U78" s="62">
        <v>1.7</v>
      </c>
      <c r="V78" s="62">
        <v>1.3</v>
      </c>
      <c r="W78" s="62">
        <v>1.68</v>
      </c>
      <c r="X78" s="62">
        <v>1.43</v>
      </c>
      <c r="Y78" s="62">
        <v>123.53</v>
      </c>
      <c r="Z78" s="62">
        <v>1.57</v>
      </c>
      <c r="AA78" s="62">
        <v>2.46</v>
      </c>
      <c r="AB78" s="62">
        <v>2.27</v>
      </c>
      <c r="AC78" s="62">
        <v>3.57</v>
      </c>
      <c r="AD78" s="62">
        <v>0.56000000000000005</v>
      </c>
      <c r="AE78" s="62">
        <v>3.4</v>
      </c>
      <c r="AF78" s="62">
        <v>9.59</v>
      </c>
      <c r="AG78" s="62">
        <v>1.28</v>
      </c>
      <c r="AH78" s="62">
        <v>0.78</v>
      </c>
      <c r="AI78" s="62">
        <v>1.49</v>
      </c>
      <c r="AJ78" s="62">
        <v>4.4800000000000004</v>
      </c>
      <c r="AK78" s="62">
        <v>2.37</v>
      </c>
      <c r="AL78" s="62">
        <v>1.23</v>
      </c>
      <c r="AM78" s="62">
        <v>1.17</v>
      </c>
      <c r="AN78" s="62">
        <v>1.4</v>
      </c>
      <c r="AO78" s="62">
        <v>3.22</v>
      </c>
      <c r="AP78" s="62">
        <v>1.82</v>
      </c>
      <c r="AQ78" s="62">
        <v>0.98</v>
      </c>
      <c r="AR78" s="62">
        <v>1.76</v>
      </c>
      <c r="AS78" s="62">
        <v>4.01</v>
      </c>
      <c r="AT78" s="62">
        <v>1.51</v>
      </c>
      <c r="AU78" s="62">
        <v>5.52</v>
      </c>
      <c r="AV78" s="62">
        <v>0.92</v>
      </c>
      <c r="AW78" s="62">
        <v>0.87</v>
      </c>
      <c r="AX78" s="62">
        <v>2.4900000000000002</v>
      </c>
      <c r="AY78" s="62">
        <v>0.95</v>
      </c>
      <c r="AZ78" s="62">
        <v>0.46</v>
      </c>
      <c r="BA78" s="62">
        <v>3.5</v>
      </c>
      <c r="BB78" s="62">
        <v>5.21</v>
      </c>
      <c r="BC78" s="62">
        <v>0.85</v>
      </c>
      <c r="BD78" s="62">
        <v>1.63</v>
      </c>
      <c r="BE78" s="62">
        <v>4.21</v>
      </c>
      <c r="BF78" s="62">
        <v>1.36</v>
      </c>
      <c r="BG78" s="62">
        <v>1.58</v>
      </c>
      <c r="BH78" s="62">
        <v>0.82</v>
      </c>
      <c r="BI78" s="62">
        <v>1.01</v>
      </c>
      <c r="BJ78" s="62">
        <v>0.7</v>
      </c>
      <c r="BK78" s="62">
        <v>3.58</v>
      </c>
      <c r="BL78" s="62">
        <v>1.88</v>
      </c>
      <c r="BM78" s="62">
        <v>1.92</v>
      </c>
      <c r="BN78" s="62">
        <v>0.7</v>
      </c>
      <c r="BO78" s="62">
        <v>0.81</v>
      </c>
      <c r="BP78" s="62">
        <v>0.56999999999999995</v>
      </c>
      <c r="BQ78" s="62">
        <v>4.58</v>
      </c>
      <c r="BR78" s="62">
        <v>1.1200000000000001</v>
      </c>
      <c r="BS78" s="62">
        <v>9.25</v>
      </c>
      <c r="BT78" s="62">
        <v>-0.32</v>
      </c>
      <c r="BU78" s="62">
        <v>1.59</v>
      </c>
      <c r="BV78" s="62">
        <v>4.88</v>
      </c>
      <c r="BW78" s="62">
        <v>2.96</v>
      </c>
      <c r="BX78" s="62">
        <v>0.91</v>
      </c>
      <c r="BY78" s="62">
        <v>4</v>
      </c>
      <c r="BZ78" s="62">
        <v>0.9</v>
      </c>
      <c r="CA78" s="62">
        <v>36.64</v>
      </c>
      <c r="CB78" s="62">
        <v>0.5</v>
      </c>
      <c r="CC78" s="62">
        <v>4.53</v>
      </c>
      <c r="CD78" s="62">
        <v>0.56000000000000005</v>
      </c>
      <c r="CE78" s="62">
        <v>2.69</v>
      </c>
      <c r="CF78" s="62">
        <v>1.22</v>
      </c>
      <c r="CG78" s="62">
        <v>2.56</v>
      </c>
      <c r="CH78" s="62">
        <v>2.4300000000000002</v>
      </c>
      <c r="CI78" s="62">
        <v>2.1</v>
      </c>
      <c r="CJ78" s="62">
        <v>1.1499999999999999</v>
      </c>
      <c r="CK78" s="62">
        <v>23.61</v>
      </c>
      <c r="CL78" s="62">
        <v>2.0099999999999998</v>
      </c>
      <c r="CM78" s="62">
        <v>2.35</v>
      </c>
      <c r="CN78" s="62">
        <v>0.85</v>
      </c>
      <c r="CO78" s="62">
        <v>2.15</v>
      </c>
      <c r="CP78" s="62">
        <v>0.54</v>
      </c>
      <c r="CQ78" s="62">
        <v>0.94</v>
      </c>
      <c r="CR78" s="62">
        <v>7.62</v>
      </c>
      <c r="CS78" s="62">
        <v>4.22</v>
      </c>
      <c r="CT78" s="62">
        <v>1.05</v>
      </c>
      <c r="CU78" s="62">
        <v>4.1100000000000003</v>
      </c>
      <c r="CV78" s="62">
        <v>1.04</v>
      </c>
      <c r="CW78" s="62">
        <v>0.95</v>
      </c>
      <c r="CX78" s="62">
        <v>1.59</v>
      </c>
      <c r="CY78" s="62">
        <v>4.22</v>
      </c>
      <c r="CZ78" s="62">
        <v>1.1100000000000001</v>
      </c>
      <c r="DA78" s="62">
        <v>0.87</v>
      </c>
      <c r="DB78" s="62">
        <v>15.95</v>
      </c>
      <c r="DC78" s="62">
        <v>0.93</v>
      </c>
      <c r="DD78" s="62">
        <v>5.77</v>
      </c>
      <c r="DE78" s="62">
        <v>1.19</v>
      </c>
      <c r="DF78" s="62">
        <v>2.99</v>
      </c>
      <c r="DG78" s="62">
        <v>1</v>
      </c>
      <c r="DH78" s="62">
        <v>-9.09</v>
      </c>
      <c r="DI78" s="62">
        <v>1.27</v>
      </c>
      <c r="DJ78" s="62">
        <v>1.18</v>
      </c>
      <c r="DK78" s="62">
        <v>1.31</v>
      </c>
      <c r="DL78" s="62">
        <v>3.62</v>
      </c>
      <c r="DM78" s="62">
        <v>0.91</v>
      </c>
      <c r="DN78" s="62">
        <v>1.45</v>
      </c>
      <c r="DO78" s="62">
        <v>5.33</v>
      </c>
      <c r="DP78" s="62">
        <v>3.22</v>
      </c>
    </row>
    <row r="79" spans="1:120" x14ac:dyDescent="0.3">
      <c r="A79" s="64" t="s">
        <v>9099</v>
      </c>
      <c r="B79" s="62">
        <v>1.44</v>
      </c>
      <c r="C79" s="62">
        <v>1.03</v>
      </c>
      <c r="D79" s="62">
        <v>34.92</v>
      </c>
      <c r="E79" s="62">
        <v>1.68</v>
      </c>
      <c r="F79" s="62">
        <v>5.71</v>
      </c>
      <c r="G79" s="62">
        <v>8.33</v>
      </c>
      <c r="H79" s="62">
        <v>0.96</v>
      </c>
      <c r="I79" s="62">
        <v>1.02</v>
      </c>
      <c r="J79" s="62">
        <v>0.84</v>
      </c>
      <c r="K79" s="62">
        <v>1.4</v>
      </c>
      <c r="L79" s="62">
        <v>1.1200000000000001</v>
      </c>
      <c r="M79" s="62">
        <v>1.68</v>
      </c>
      <c r="N79" s="62">
        <v>0.86</v>
      </c>
      <c r="O79" s="62">
        <v>4.6399999999999997</v>
      </c>
      <c r="P79" s="62">
        <v>5.54</v>
      </c>
      <c r="Q79" s="62">
        <v>3.13</v>
      </c>
      <c r="R79" s="62">
        <v>3.24</v>
      </c>
      <c r="S79" s="62">
        <v>0.52</v>
      </c>
      <c r="T79" s="62">
        <v>1.24</v>
      </c>
      <c r="U79" s="62">
        <v>1.71</v>
      </c>
      <c r="V79" s="62">
        <v>1.28</v>
      </c>
      <c r="W79" s="62">
        <v>1.38</v>
      </c>
      <c r="X79" s="62">
        <v>1.51</v>
      </c>
      <c r="Y79" s="62">
        <v>137.25</v>
      </c>
      <c r="Z79" s="62">
        <v>1.57</v>
      </c>
      <c r="AA79" s="62">
        <v>2.58</v>
      </c>
      <c r="AB79" s="62">
        <v>2.29</v>
      </c>
      <c r="AC79" s="62">
        <v>3.51</v>
      </c>
      <c r="AD79" s="62">
        <v>0.65</v>
      </c>
      <c r="AE79" s="62">
        <v>2.99</v>
      </c>
      <c r="AF79" s="62">
        <v>10.11</v>
      </c>
      <c r="AG79" s="62">
        <v>1.36</v>
      </c>
      <c r="AH79" s="62">
        <v>0.83</v>
      </c>
      <c r="AI79" s="62">
        <v>1.35</v>
      </c>
      <c r="AJ79" s="62">
        <v>4.68</v>
      </c>
      <c r="AK79" s="62">
        <v>2.2799999999999998</v>
      </c>
      <c r="AL79" s="62">
        <v>1.23</v>
      </c>
      <c r="AM79" s="62">
        <v>1.24</v>
      </c>
      <c r="AN79" s="62">
        <v>1.5</v>
      </c>
      <c r="AO79" s="62">
        <v>3.17</v>
      </c>
      <c r="AP79" s="62">
        <v>2.66</v>
      </c>
      <c r="AQ79" s="62">
        <v>1.02</v>
      </c>
      <c r="AR79" s="62">
        <v>1.91</v>
      </c>
      <c r="AS79" s="62">
        <v>3.81</v>
      </c>
      <c r="AT79" s="62">
        <v>1.5</v>
      </c>
      <c r="AU79" s="62">
        <v>4.93</v>
      </c>
      <c r="AV79" s="62">
        <v>0.95</v>
      </c>
      <c r="AW79" s="62">
        <v>0.91</v>
      </c>
      <c r="AX79" s="62">
        <v>2.4300000000000002</v>
      </c>
      <c r="AY79" s="62">
        <v>0.99</v>
      </c>
      <c r="AZ79" s="62">
        <v>0.45</v>
      </c>
      <c r="BA79" s="62">
        <v>3.82</v>
      </c>
      <c r="BB79" s="62">
        <v>5</v>
      </c>
      <c r="BC79" s="62">
        <v>0.85</v>
      </c>
      <c r="BD79" s="62">
        <v>1.63</v>
      </c>
      <c r="BE79" s="62">
        <v>3.19</v>
      </c>
      <c r="BF79" s="62">
        <v>1.38</v>
      </c>
      <c r="BG79" s="62">
        <v>1.63</v>
      </c>
      <c r="BH79" s="62">
        <v>0.87</v>
      </c>
      <c r="BI79" s="62">
        <v>1.02</v>
      </c>
      <c r="BJ79" s="62">
        <v>0.75</v>
      </c>
      <c r="BK79" s="62">
        <v>3.44</v>
      </c>
      <c r="BL79" s="62">
        <v>1.88</v>
      </c>
      <c r="BM79" s="62">
        <v>1.9</v>
      </c>
      <c r="BN79" s="62">
        <v>0.7</v>
      </c>
      <c r="BO79" s="62">
        <v>0.82</v>
      </c>
      <c r="BP79" s="62">
        <v>0.56999999999999995</v>
      </c>
      <c r="BQ79" s="62">
        <v>4.79</v>
      </c>
      <c r="BR79" s="62">
        <v>1.17</v>
      </c>
      <c r="BS79" s="62">
        <v>7.29</v>
      </c>
      <c r="BT79" s="62">
        <v>-0.28000000000000003</v>
      </c>
      <c r="BU79" s="62">
        <v>1.85</v>
      </c>
      <c r="BV79" s="62">
        <v>5.72</v>
      </c>
      <c r="BW79" s="62">
        <v>3.06</v>
      </c>
      <c r="BX79" s="62">
        <v>0.93</v>
      </c>
      <c r="BY79" s="62">
        <v>4</v>
      </c>
      <c r="BZ79" s="62">
        <v>0.93</v>
      </c>
      <c r="CA79" s="62">
        <v>39.67</v>
      </c>
      <c r="CB79" s="62">
        <v>0.55000000000000004</v>
      </c>
      <c r="CC79" s="62">
        <v>4.71</v>
      </c>
      <c r="CD79" s="62">
        <v>0.57999999999999996</v>
      </c>
      <c r="CE79" s="62">
        <v>2.95</v>
      </c>
      <c r="CF79" s="62">
        <v>1.24</v>
      </c>
      <c r="CG79" s="62">
        <v>2.65</v>
      </c>
      <c r="CH79" s="62">
        <v>2.5099999999999998</v>
      </c>
      <c r="CI79" s="62">
        <v>1.68</v>
      </c>
      <c r="CJ79" s="62">
        <v>1.21</v>
      </c>
      <c r="CK79" s="62">
        <v>26.93</v>
      </c>
      <c r="CL79" s="62">
        <v>2.2400000000000002</v>
      </c>
      <c r="CM79" s="62">
        <v>2.2999999999999998</v>
      </c>
      <c r="CN79" s="62">
        <v>0.88</v>
      </c>
      <c r="CO79" s="62">
        <v>2.04</v>
      </c>
      <c r="CP79" s="62">
        <v>0.45</v>
      </c>
      <c r="CQ79" s="62">
        <v>1.88</v>
      </c>
      <c r="CR79" s="62">
        <v>7.62</v>
      </c>
      <c r="CS79" s="62">
        <v>4.45</v>
      </c>
      <c r="CT79" s="62">
        <v>1.05</v>
      </c>
      <c r="CU79" s="62">
        <v>4.34</v>
      </c>
      <c r="CV79" s="62">
        <v>0.73</v>
      </c>
      <c r="CW79" s="62">
        <v>0.98</v>
      </c>
      <c r="CX79" s="62">
        <v>1.69</v>
      </c>
      <c r="CY79" s="62">
        <v>4.62</v>
      </c>
      <c r="CZ79" s="62">
        <v>1.1000000000000001</v>
      </c>
      <c r="DA79" s="62">
        <v>0.9</v>
      </c>
      <c r="DB79" s="62">
        <v>13.76</v>
      </c>
      <c r="DC79" s="62">
        <v>0.98</v>
      </c>
      <c r="DD79" s="62">
        <v>5.32</v>
      </c>
      <c r="DE79" s="62">
        <v>1.26</v>
      </c>
      <c r="DF79" s="62">
        <v>3.15</v>
      </c>
      <c r="DG79" s="62">
        <v>0.94</v>
      </c>
      <c r="DH79" s="62">
        <v>-9.09</v>
      </c>
      <c r="DI79" s="62">
        <v>1.23</v>
      </c>
      <c r="DJ79" s="62">
        <v>1.18</v>
      </c>
      <c r="DK79" s="62">
        <v>1.38</v>
      </c>
      <c r="DL79" s="62">
        <v>4.24</v>
      </c>
      <c r="DM79" s="62">
        <v>0.91</v>
      </c>
      <c r="DN79" s="62">
        <v>1.46</v>
      </c>
      <c r="DO79" s="62">
        <v>6.47</v>
      </c>
      <c r="DP79" s="62">
        <v>3.25</v>
      </c>
    </row>
    <row r="80" spans="1:120" x14ac:dyDescent="0.3">
      <c r="A80" s="64" t="s">
        <v>9100</v>
      </c>
      <c r="B80" s="62">
        <v>1.42</v>
      </c>
      <c r="C80" s="62">
        <v>1.03</v>
      </c>
      <c r="D80" s="62">
        <v>35.21</v>
      </c>
      <c r="E80" s="62">
        <v>1.65</v>
      </c>
      <c r="F80" s="62">
        <v>5.0599999999999996</v>
      </c>
      <c r="G80" s="62">
        <v>8.33</v>
      </c>
      <c r="H80" s="62">
        <v>0.96</v>
      </c>
      <c r="I80" s="62">
        <v>1.04</v>
      </c>
      <c r="J80" s="62">
        <v>0.83</v>
      </c>
      <c r="K80" s="62">
        <v>1.43</v>
      </c>
      <c r="L80" s="62">
        <v>1.1200000000000001</v>
      </c>
      <c r="M80" s="62">
        <v>1.78</v>
      </c>
      <c r="N80" s="62">
        <v>0.86</v>
      </c>
      <c r="O80" s="62">
        <v>4.6399999999999997</v>
      </c>
      <c r="P80" s="62">
        <v>4.8</v>
      </c>
      <c r="Q80" s="62">
        <v>3.16</v>
      </c>
      <c r="R80" s="62">
        <v>2.93</v>
      </c>
      <c r="S80" s="62">
        <v>0.59</v>
      </c>
      <c r="T80" s="62">
        <v>1.2</v>
      </c>
      <c r="U80" s="62">
        <v>1.77</v>
      </c>
      <c r="V80" s="62">
        <v>1.33</v>
      </c>
      <c r="W80" s="62">
        <v>1.39</v>
      </c>
      <c r="X80" s="62">
        <v>1.54</v>
      </c>
      <c r="Y80" s="62">
        <v>137.25</v>
      </c>
      <c r="Z80" s="62">
        <v>1.57</v>
      </c>
      <c r="AA80" s="62">
        <v>2.5499999999999998</v>
      </c>
      <c r="AB80" s="62">
        <v>2.46</v>
      </c>
      <c r="AC80" s="62">
        <v>3.61</v>
      </c>
      <c r="AD80" s="62">
        <v>0.64</v>
      </c>
      <c r="AE80" s="62">
        <v>2.99</v>
      </c>
      <c r="AF80" s="62">
        <v>11.22</v>
      </c>
      <c r="AG80" s="62">
        <v>1.44</v>
      </c>
      <c r="AH80" s="62">
        <v>0.82</v>
      </c>
      <c r="AI80" s="62">
        <v>1.37</v>
      </c>
      <c r="AJ80" s="62">
        <v>4.67</v>
      </c>
      <c r="AK80" s="62">
        <v>2.11</v>
      </c>
      <c r="AL80" s="62">
        <v>1.23</v>
      </c>
      <c r="AM80" s="62">
        <v>1.25</v>
      </c>
      <c r="AN80" s="62">
        <v>1.64</v>
      </c>
      <c r="AO80" s="62">
        <v>3.15</v>
      </c>
      <c r="AP80" s="62">
        <v>2.31</v>
      </c>
      <c r="AQ80" s="62">
        <v>1.06</v>
      </c>
      <c r="AR80" s="62">
        <v>1.86</v>
      </c>
      <c r="AS80" s="62">
        <v>4.08</v>
      </c>
      <c r="AT80" s="62">
        <v>1.45</v>
      </c>
      <c r="AU80" s="62">
        <v>5.33</v>
      </c>
      <c r="AV80" s="62">
        <v>0.98</v>
      </c>
      <c r="AW80" s="62">
        <v>0.91</v>
      </c>
      <c r="AX80" s="62">
        <v>2.25</v>
      </c>
      <c r="AY80" s="62">
        <v>0.97</v>
      </c>
      <c r="AZ80" s="62">
        <v>0.42</v>
      </c>
      <c r="BA80" s="62">
        <v>3.92</v>
      </c>
      <c r="BB80" s="62">
        <v>5</v>
      </c>
      <c r="BC80" s="62">
        <v>0.86</v>
      </c>
      <c r="BD80" s="62">
        <v>1.6</v>
      </c>
      <c r="BE80" s="62">
        <v>3.19</v>
      </c>
      <c r="BF80" s="62">
        <v>1.43</v>
      </c>
      <c r="BG80" s="62">
        <v>1.64</v>
      </c>
      <c r="BH80" s="62">
        <v>0.9</v>
      </c>
      <c r="BI80" s="62">
        <v>1.1000000000000001</v>
      </c>
      <c r="BJ80" s="62">
        <v>0.78</v>
      </c>
      <c r="BK80" s="62">
        <v>3.3</v>
      </c>
      <c r="BL80" s="62">
        <v>1.88</v>
      </c>
      <c r="BM80" s="62">
        <v>1.99</v>
      </c>
      <c r="BN80" s="62">
        <v>0.7</v>
      </c>
      <c r="BO80" s="62">
        <v>0.85</v>
      </c>
      <c r="BP80" s="62">
        <v>0.56000000000000005</v>
      </c>
      <c r="BQ80" s="62">
        <v>4.79</v>
      </c>
      <c r="BR80" s="62">
        <v>1.3</v>
      </c>
      <c r="BS80" s="62">
        <v>8.1300000000000008</v>
      </c>
      <c r="BT80" s="62">
        <v>-0.28000000000000003</v>
      </c>
      <c r="BU80" s="62">
        <v>1.75</v>
      </c>
      <c r="BV80" s="62">
        <v>5.72</v>
      </c>
      <c r="BW80" s="62">
        <v>3.09</v>
      </c>
      <c r="BX80" s="62">
        <v>0.96</v>
      </c>
      <c r="BY80" s="62">
        <v>4</v>
      </c>
      <c r="BZ80" s="62">
        <v>0.94</v>
      </c>
      <c r="CA80" s="62">
        <v>38.11</v>
      </c>
      <c r="CB80" s="62">
        <v>0.75</v>
      </c>
      <c r="CC80" s="62">
        <v>4.78</v>
      </c>
      <c r="CD80" s="62">
        <v>0.67</v>
      </c>
      <c r="CE80" s="62">
        <v>3.03</v>
      </c>
      <c r="CF80" s="62">
        <v>1.24</v>
      </c>
      <c r="CG80" s="62">
        <v>2.63</v>
      </c>
      <c r="CH80" s="62">
        <v>2.58</v>
      </c>
      <c r="CI80" s="62">
        <v>1.68</v>
      </c>
      <c r="CJ80" s="62">
        <v>1.19</v>
      </c>
      <c r="CK80" s="62">
        <v>26.39</v>
      </c>
      <c r="CL80" s="62">
        <v>2.2200000000000002</v>
      </c>
      <c r="CM80" s="62">
        <v>2.37</v>
      </c>
      <c r="CN80" s="62">
        <v>0.99</v>
      </c>
      <c r="CO80" s="62">
        <v>1.93</v>
      </c>
      <c r="CP80" s="62">
        <v>0.46</v>
      </c>
      <c r="CQ80" s="62">
        <v>2.11</v>
      </c>
      <c r="CR80" s="62">
        <v>6.53</v>
      </c>
      <c r="CS80" s="62">
        <v>4.55</v>
      </c>
      <c r="CT80" s="62">
        <v>1.05</v>
      </c>
      <c r="CU80" s="62">
        <v>4.42</v>
      </c>
      <c r="CV80" s="62">
        <v>0.77</v>
      </c>
      <c r="CW80" s="62">
        <v>1.02</v>
      </c>
      <c r="CX80" s="62">
        <v>1.75</v>
      </c>
      <c r="CY80" s="62">
        <v>4.8099999999999996</v>
      </c>
      <c r="CZ80" s="62">
        <v>1.1000000000000001</v>
      </c>
      <c r="DA80" s="62">
        <v>0.89</v>
      </c>
      <c r="DB80" s="62">
        <v>15.05</v>
      </c>
      <c r="DC80" s="62">
        <v>0.96</v>
      </c>
      <c r="DD80" s="62">
        <v>5.35</v>
      </c>
      <c r="DE80" s="62">
        <v>1.28</v>
      </c>
      <c r="DF80" s="62">
        <v>3.3</v>
      </c>
      <c r="DG80" s="62">
        <v>0.94</v>
      </c>
      <c r="DH80" s="62">
        <v>-6.06</v>
      </c>
      <c r="DI80" s="62">
        <v>1.25</v>
      </c>
      <c r="DJ80" s="62">
        <v>1.27</v>
      </c>
      <c r="DK80" s="62">
        <v>1.39</v>
      </c>
      <c r="DL80" s="62">
        <v>4.57</v>
      </c>
      <c r="DM80" s="62">
        <v>0.89</v>
      </c>
      <c r="DN80" s="62">
        <v>1.47</v>
      </c>
      <c r="DO80" s="62">
        <v>5.71</v>
      </c>
      <c r="DP80" s="62">
        <v>3.37</v>
      </c>
    </row>
    <row r="81" spans="1:120" x14ac:dyDescent="0.3">
      <c r="A81" s="64" t="s">
        <v>9101</v>
      </c>
      <c r="B81" s="62">
        <v>1.46</v>
      </c>
      <c r="C81" s="62">
        <v>1.03</v>
      </c>
      <c r="D81" s="62">
        <v>33.74</v>
      </c>
      <c r="E81" s="62">
        <v>1.67</v>
      </c>
      <c r="F81" s="62">
        <v>5.85</v>
      </c>
      <c r="G81" s="62">
        <v>8.33</v>
      </c>
      <c r="H81" s="62">
        <v>0.96</v>
      </c>
      <c r="I81" s="62">
        <v>1.05</v>
      </c>
      <c r="J81" s="62">
        <v>0.86</v>
      </c>
      <c r="K81" s="62">
        <v>1.41</v>
      </c>
      <c r="L81" s="62">
        <v>1.1200000000000001</v>
      </c>
      <c r="M81" s="62">
        <v>1.7</v>
      </c>
      <c r="N81" s="62">
        <v>0.88</v>
      </c>
      <c r="O81" s="62">
        <v>4.6399999999999997</v>
      </c>
      <c r="P81" s="62">
        <v>6.27</v>
      </c>
      <c r="Q81" s="62">
        <v>3.14</v>
      </c>
      <c r="R81" s="62">
        <v>2.84</v>
      </c>
      <c r="S81" s="62">
        <v>0.56999999999999995</v>
      </c>
      <c r="T81" s="62">
        <v>1.19</v>
      </c>
      <c r="U81" s="62">
        <v>1.8</v>
      </c>
      <c r="V81" s="62">
        <v>1.33</v>
      </c>
      <c r="W81" s="62">
        <v>1.36</v>
      </c>
      <c r="X81" s="62">
        <v>1.51</v>
      </c>
      <c r="Y81" s="62">
        <v>166.67</v>
      </c>
      <c r="Z81" s="62">
        <v>1.57</v>
      </c>
      <c r="AA81" s="62">
        <v>2.71</v>
      </c>
      <c r="AB81" s="62">
        <v>2.6</v>
      </c>
      <c r="AC81" s="62">
        <v>3.36</v>
      </c>
      <c r="AD81" s="62">
        <v>0.63</v>
      </c>
      <c r="AE81" s="62">
        <v>2.99</v>
      </c>
      <c r="AF81" s="62">
        <v>10.93</v>
      </c>
      <c r="AG81" s="62">
        <v>1.44</v>
      </c>
      <c r="AH81" s="62">
        <v>0.82</v>
      </c>
      <c r="AI81" s="62">
        <v>1.32</v>
      </c>
      <c r="AJ81" s="62">
        <v>4.78</v>
      </c>
      <c r="AK81" s="62">
        <v>2.4900000000000002</v>
      </c>
      <c r="AL81" s="62">
        <v>1.1100000000000001</v>
      </c>
      <c r="AM81" s="62">
        <v>1.29</v>
      </c>
      <c r="AN81" s="62">
        <v>1.47</v>
      </c>
      <c r="AO81" s="62">
        <v>3.12</v>
      </c>
      <c r="AP81" s="62">
        <v>2.6</v>
      </c>
      <c r="AQ81" s="62">
        <v>1.06</v>
      </c>
      <c r="AR81" s="62">
        <v>1.68</v>
      </c>
      <c r="AS81" s="62">
        <v>4.43</v>
      </c>
      <c r="AT81" s="62">
        <v>1.44</v>
      </c>
      <c r="AU81" s="62">
        <v>5.33</v>
      </c>
      <c r="AV81" s="62">
        <v>0.98</v>
      </c>
      <c r="AW81" s="62">
        <v>0.93</v>
      </c>
      <c r="AX81" s="62">
        <v>2.67</v>
      </c>
      <c r="AY81" s="62">
        <v>0.97</v>
      </c>
      <c r="AZ81" s="62">
        <v>0.12</v>
      </c>
      <c r="BA81" s="62">
        <v>3.89</v>
      </c>
      <c r="BB81" s="62">
        <v>5</v>
      </c>
      <c r="BC81" s="62">
        <v>0.88</v>
      </c>
      <c r="BD81" s="62">
        <v>1.59</v>
      </c>
      <c r="BE81" s="62">
        <v>2.61</v>
      </c>
      <c r="BF81" s="62">
        <v>1.43</v>
      </c>
      <c r="BG81" s="62">
        <v>1.66</v>
      </c>
      <c r="BH81" s="62">
        <v>0.87</v>
      </c>
      <c r="BI81" s="62">
        <v>0.98</v>
      </c>
      <c r="BJ81" s="62">
        <v>0.82</v>
      </c>
      <c r="BK81" s="62">
        <v>3.16</v>
      </c>
      <c r="BL81" s="62">
        <v>1.88</v>
      </c>
      <c r="BM81" s="62">
        <v>2.33</v>
      </c>
      <c r="BN81" s="62">
        <v>0.68</v>
      </c>
      <c r="BO81" s="62">
        <v>0.88</v>
      </c>
      <c r="BP81" s="62">
        <v>0.57999999999999996</v>
      </c>
      <c r="BQ81" s="62">
        <v>4.67</v>
      </c>
      <c r="BR81" s="62">
        <v>1.28</v>
      </c>
      <c r="BS81" s="62">
        <v>7.85</v>
      </c>
      <c r="BT81" s="62">
        <v>-0.35</v>
      </c>
      <c r="BU81" s="62">
        <v>1.72</v>
      </c>
      <c r="BV81" s="62">
        <v>5.45</v>
      </c>
      <c r="BW81" s="62">
        <v>3</v>
      </c>
      <c r="BX81" s="62">
        <v>0.98</v>
      </c>
      <c r="BY81" s="62">
        <v>4</v>
      </c>
      <c r="BZ81" s="62">
        <v>0.94</v>
      </c>
      <c r="CA81" s="62">
        <v>35.18</v>
      </c>
      <c r="CB81" s="62">
        <v>0.68</v>
      </c>
      <c r="CC81" s="62">
        <v>4.6399999999999997</v>
      </c>
      <c r="CD81" s="62">
        <v>0.67</v>
      </c>
      <c r="CE81" s="62">
        <v>3.15</v>
      </c>
      <c r="CF81" s="62">
        <v>1.23</v>
      </c>
      <c r="CG81" s="62">
        <v>2.62</v>
      </c>
      <c r="CH81" s="62">
        <v>2.44</v>
      </c>
      <c r="CI81" s="62">
        <v>1.68</v>
      </c>
      <c r="CJ81" s="62">
        <v>1.1499999999999999</v>
      </c>
      <c r="CK81" s="62">
        <v>25.49</v>
      </c>
      <c r="CL81" s="62">
        <v>2.2799999999999998</v>
      </c>
      <c r="CM81" s="62">
        <v>2.2999999999999998</v>
      </c>
      <c r="CN81" s="62">
        <v>1.03</v>
      </c>
      <c r="CO81" s="62">
        <v>2.25</v>
      </c>
      <c r="CP81" s="62">
        <v>0.45</v>
      </c>
      <c r="CQ81" s="62">
        <v>1.41</v>
      </c>
      <c r="CR81" s="62">
        <v>6.53</v>
      </c>
      <c r="CS81" s="62">
        <v>4.5199999999999996</v>
      </c>
      <c r="CT81" s="62">
        <v>1.05</v>
      </c>
      <c r="CU81" s="62">
        <v>4.53</v>
      </c>
      <c r="CV81" s="62">
        <v>0.77</v>
      </c>
      <c r="CW81" s="62">
        <v>1.01</v>
      </c>
      <c r="CX81" s="62">
        <v>1.76</v>
      </c>
      <c r="CY81" s="62">
        <v>4.54</v>
      </c>
      <c r="CZ81" s="62">
        <v>1.1399999999999999</v>
      </c>
      <c r="DA81" s="62">
        <v>0.89</v>
      </c>
      <c r="DB81" s="62">
        <v>13.6</v>
      </c>
      <c r="DC81" s="62">
        <v>0.97</v>
      </c>
      <c r="DD81" s="62">
        <v>4.8600000000000003</v>
      </c>
      <c r="DE81" s="62">
        <v>1.31</v>
      </c>
      <c r="DF81" s="62">
        <v>2.98</v>
      </c>
      <c r="DG81" s="62">
        <v>0.91</v>
      </c>
      <c r="DH81" s="62">
        <v>-9.09</v>
      </c>
      <c r="DI81" s="62">
        <v>1.31</v>
      </c>
      <c r="DJ81" s="62">
        <v>1.23</v>
      </c>
      <c r="DK81" s="62">
        <v>1.35</v>
      </c>
      <c r="DL81" s="62">
        <v>4.97</v>
      </c>
      <c r="DM81" s="62">
        <v>0.94</v>
      </c>
      <c r="DN81" s="62">
        <v>1.47</v>
      </c>
      <c r="DO81" s="62">
        <v>6.47</v>
      </c>
      <c r="DP81" s="62">
        <v>3.19</v>
      </c>
    </row>
    <row r="82" spans="1:120" x14ac:dyDescent="0.3">
      <c r="A82" s="64" t="s">
        <v>9102</v>
      </c>
      <c r="B82" s="62">
        <v>1.42</v>
      </c>
      <c r="C82" s="62">
        <v>1.03</v>
      </c>
      <c r="D82" s="62">
        <v>32.57</v>
      </c>
      <c r="E82" s="62">
        <v>1.71</v>
      </c>
      <c r="F82" s="62">
        <v>5.64</v>
      </c>
      <c r="G82" s="62">
        <v>8.33</v>
      </c>
      <c r="H82" s="62">
        <v>0.98</v>
      </c>
      <c r="I82" s="62">
        <v>1.0900000000000001</v>
      </c>
      <c r="J82" s="62">
        <v>0.85</v>
      </c>
      <c r="K82" s="62">
        <v>1.5</v>
      </c>
      <c r="L82" s="62">
        <v>1.1499999999999999</v>
      </c>
      <c r="M82" s="62">
        <v>1.65</v>
      </c>
      <c r="N82" s="62">
        <v>0.92</v>
      </c>
      <c r="O82" s="62">
        <v>3.1</v>
      </c>
      <c r="P82" s="62">
        <v>5.54</v>
      </c>
      <c r="Q82" s="62">
        <v>3.18</v>
      </c>
      <c r="R82" s="62">
        <v>3.06</v>
      </c>
      <c r="S82" s="62">
        <v>0.57999999999999996</v>
      </c>
      <c r="T82" s="62">
        <v>1.21</v>
      </c>
      <c r="U82" s="62">
        <v>1.95</v>
      </c>
      <c r="V82" s="62">
        <v>1.37</v>
      </c>
      <c r="W82" s="62">
        <v>1.33</v>
      </c>
      <c r="X82" s="62">
        <v>1.46</v>
      </c>
      <c r="Y82" s="62">
        <v>166.67</v>
      </c>
      <c r="Z82" s="62">
        <v>1.73</v>
      </c>
      <c r="AA82" s="62">
        <v>3.24</v>
      </c>
      <c r="AB82" s="62">
        <v>2.68</v>
      </c>
      <c r="AC82" s="62">
        <v>3.55</v>
      </c>
      <c r="AD82" s="62">
        <v>0.63</v>
      </c>
      <c r="AE82" s="62">
        <v>2.99</v>
      </c>
      <c r="AF82" s="62">
        <v>11.81</v>
      </c>
      <c r="AG82" s="62">
        <v>1.31</v>
      </c>
      <c r="AH82" s="62">
        <v>0.82</v>
      </c>
      <c r="AI82" s="62">
        <v>1.29</v>
      </c>
      <c r="AJ82" s="62">
        <v>4.57</v>
      </c>
      <c r="AK82" s="62">
        <v>2.02</v>
      </c>
      <c r="AL82" s="62">
        <v>1.44</v>
      </c>
      <c r="AM82" s="62">
        <v>1.25</v>
      </c>
      <c r="AN82" s="62">
        <v>1.45</v>
      </c>
      <c r="AO82" s="62">
        <v>3.15</v>
      </c>
      <c r="AP82" s="62">
        <v>2.46</v>
      </c>
      <c r="AQ82" s="62">
        <v>1.07</v>
      </c>
      <c r="AR82" s="62">
        <v>1.7</v>
      </c>
      <c r="AS82" s="62">
        <v>5.31</v>
      </c>
      <c r="AT82" s="62">
        <v>1.46</v>
      </c>
      <c r="AU82" s="62">
        <v>5.23</v>
      </c>
      <c r="AV82" s="62">
        <v>0.99</v>
      </c>
      <c r="AW82" s="62">
        <v>0.93</v>
      </c>
      <c r="AX82" s="62">
        <v>2.37</v>
      </c>
      <c r="AY82" s="62">
        <v>0.98</v>
      </c>
      <c r="AZ82" s="62">
        <v>0.11</v>
      </c>
      <c r="BA82" s="62">
        <v>3.99</v>
      </c>
      <c r="BB82" s="62">
        <v>5</v>
      </c>
      <c r="BC82" s="62">
        <v>0.93</v>
      </c>
      <c r="BD82" s="62">
        <v>1.62</v>
      </c>
      <c r="BE82" s="62">
        <v>2.08</v>
      </c>
      <c r="BF82" s="62">
        <v>1.4</v>
      </c>
      <c r="BG82" s="62">
        <v>1.73</v>
      </c>
      <c r="BH82" s="62">
        <v>0.9</v>
      </c>
      <c r="BI82" s="62">
        <v>0.94</v>
      </c>
      <c r="BJ82" s="62">
        <v>0.79</v>
      </c>
      <c r="BK82" s="62">
        <v>3.16</v>
      </c>
      <c r="BL82" s="62">
        <v>1.76</v>
      </c>
      <c r="BM82" s="62">
        <v>2.31</v>
      </c>
      <c r="BN82" s="62">
        <v>0.68</v>
      </c>
      <c r="BO82" s="62">
        <v>0.86</v>
      </c>
      <c r="BP82" s="62">
        <v>0.45</v>
      </c>
      <c r="BQ82" s="62">
        <v>4.54</v>
      </c>
      <c r="BR82" s="62">
        <v>1.28</v>
      </c>
      <c r="BS82" s="62">
        <v>9.39</v>
      </c>
      <c r="BT82" s="62">
        <v>-0.6</v>
      </c>
      <c r="BU82" s="62">
        <v>1.72</v>
      </c>
      <c r="BV82" s="62">
        <v>5.18</v>
      </c>
      <c r="BW82" s="62">
        <v>3.09</v>
      </c>
      <c r="BX82" s="62">
        <v>1.04</v>
      </c>
      <c r="BY82" s="62">
        <v>3</v>
      </c>
      <c r="BZ82" s="62">
        <v>0.96</v>
      </c>
      <c r="CA82" s="62">
        <v>35.54</v>
      </c>
      <c r="CB82" s="62">
        <v>0.71</v>
      </c>
      <c r="CC82" s="62">
        <v>4.7300000000000004</v>
      </c>
      <c r="CD82" s="62">
        <v>0.64</v>
      </c>
      <c r="CE82" s="62">
        <v>3.54</v>
      </c>
      <c r="CF82" s="62">
        <v>1.24</v>
      </c>
      <c r="CG82" s="62">
        <v>2.73</v>
      </c>
      <c r="CH82" s="62">
        <v>2.34</v>
      </c>
      <c r="CI82" s="62">
        <v>1.38</v>
      </c>
      <c r="CJ82" s="62">
        <v>1.08</v>
      </c>
      <c r="CK82" s="62">
        <v>26.12</v>
      </c>
      <c r="CL82" s="62">
        <v>2.39</v>
      </c>
      <c r="CM82" s="62">
        <v>2.35</v>
      </c>
      <c r="CN82" s="62">
        <v>0.83</v>
      </c>
      <c r="CO82" s="62">
        <v>2.36</v>
      </c>
      <c r="CP82" s="62">
        <v>0.42</v>
      </c>
      <c r="CQ82" s="62">
        <v>1.17</v>
      </c>
      <c r="CR82" s="62">
        <v>6.53</v>
      </c>
      <c r="CS82" s="62">
        <v>4.47</v>
      </c>
      <c r="CT82" s="62">
        <v>0.21</v>
      </c>
      <c r="CU82" s="62">
        <v>4.6900000000000004</v>
      </c>
      <c r="CV82" s="62">
        <v>0.68</v>
      </c>
      <c r="CW82" s="62">
        <v>1.06</v>
      </c>
      <c r="CX82" s="62">
        <v>1.77</v>
      </c>
      <c r="CY82" s="62">
        <v>5.49</v>
      </c>
      <c r="CZ82" s="62">
        <v>1.1000000000000001</v>
      </c>
      <c r="DA82" s="62">
        <v>0.86</v>
      </c>
      <c r="DB82" s="62">
        <v>16.850000000000001</v>
      </c>
      <c r="DC82" s="62">
        <v>1</v>
      </c>
      <c r="DD82" s="62">
        <v>4.8600000000000003</v>
      </c>
      <c r="DE82" s="62">
        <v>1.4</v>
      </c>
      <c r="DF82" s="62">
        <v>2.77</v>
      </c>
      <c r="DG82" s="62">
        <v>0.93</v>
      </c>
      <c r="DH82" s="62">
        <v>-9.09</v>
      </c>
      <c r="DI82" s="62">
        <v>1.32</v>
      </c>
      <c r="DJ82" s="62">
        <v>1.17</v>
      </c>
      <c r="DK82" s="62">
        <v>1.43</v>
      </c>
      <c r="DL82" s="62">
        <v>4.8899999999999997</v>
      </c>
      <c r="DM82" s="62">
        <v>0.92</v>
      </c>
      <c r="DN82" s="62">
        <v>1.47</v>
      </c>
      <c r="DO82" s="62">
        <v>6.47</v>
      </c>
      <c r="DP82" s="62">
        <v>3.13</v>
      </c>
    </row>
    <row r="83" spans="1:120" x14ac:dyDescent="0.3">
      <c r="A83" s="64" t="s">
        <v>9103</v>
      </c>
      <c r="B83" s="62">
        <v>1.38</v>
      </c>
      <c r="C83" s="62">
        <v>1.03</v>
      </c>
      <c r="D83" s="62">
        <v>32.57</v>
      </c>
      <c r="E83" s="62">
        <v>1.57</v>
      </c>
      <c r="F83" s="62">
        <v>4.84</v>
      </c>
      <c r="G83" s="62">
        <v>8.33</v>
      </c>
      <c r="H83" s="62">
        <v>0.99</v>
      </c>
      <c r="I83" s="62">
        <v>1.0900000000000001</v>
      </c>
      <c r="J83" s="62">
        <v>0.86</v>
      </c>
      <c r="K83" s="62">
        <v>1.54</v>
      </c>
      <c r="L83" s="62">
        <v>1.1499999999999999</v>
      </c>
      <c r="M83" s="62">
        <v>1.57</v>
      </c>
      <c r="N83" s="62">
        <v>0.9</v>
      </c>
      <c r="O83" s="62">
        <v>3.1</v>
      </c>
      <c r="P83" s="62">
        <v>6.64</v>
      </c>
      <c r="Q83" s="62">
        <v>3.19</v>
      </c>
      <c r="R83" s="62">
        <v>3.11</v>
      </c>
      <c r="S83" s="62">
        <v>0.61</v>
      </c>
      <c r="T83" s="62">
        <v>1.21</v>
      </c>
      <c r="U83" s="62">
        <v>2.04</v>
      </c>
      <c r="V83" s="62">
        <v>1.43</v>
      </c>
      <c r="W83" s="62">
        <v>1.45</v>
      </c>
      <c r="X83" s="62">
        <v>1.54</v>
      </c>
      <c r="Y83" s="62">
        <v>166.67</v>
      </c>
      <c r="Z83" s="62">
        <v>1.73</v>
      </c>
      <c r="AA83" s="62">
        <v>2.95</v>
      </c>
      <c r="AB83" s="62">
        <v>2.89</v>
      </c>
      <c r="AC83" s="62">
        <v>3.39</v>
      </c>
      <c r="AD83" s="62">
        <v>0.54</v>
      </c>
      <c r="AE83" s="62">
        <v>2.99</v>
      </c>
      <c r="AF83" s="62">
        <v>11.41</v>
      </c>
      <c r="AG83" s="62">
        <v>1.35</v>
      </c>
      <c r="AH83" s="62">
        <v>0.8</v>
      </c>
      <c r="AI83" s="62">
        <v>1.26</v>
      </c>
      <c r="AJ83" s="62">
        <v>4.6900000000000004</v>
      </c>
      <c r="AK83" s="62">
        <v>2.0499999999999998</v>
      </c>
      <c r="AL83" s="62">
        <v>1.44</v>
      </c>
      <c r="AM83" s="62">
        <v>1.32</v>
      </c>
      <c r="AN83" s="62">
        <v>1.33</v>
      </c>
      <c r="AO83" s="62">
        <v>3.25</v>
      </c>
      <c r="AP83" s="62">
        <v>2.39</v>
      </c>
      <c r="AQ83" s="62">
        <v>1.1100000000000001</v>
      </c>
      <c r="AR83" s="62">
        <v>1.72</v>
      </c>
      <c r="AS83" s="62">
        <v>5.13</v>
      </c>
      <c r="AT83" s="62">
        <v>1.44</v>
      </c>
      <c r="AU83" s="62">
        <v>5.62</v>
      </c>
      <c r="AV83" s="62">
        <v>1.02</v>
      </c>
      <c r="AW83" s="62">
        <v>0.94</v>
      </c>
      <c r="AX83" s="62">
        <v>2.9</v>
      </c>
      <c r="AY83" s="62">
        <v>1</v>
      </c>
      <c r="AZ83" s="62">
        <v>0.11</v>
      </c>
      <c r="BA83" s="62">
        <v>4.22</v>
      </c>
      <c r="BB83" s="62">
        <v>4.79</v>
      </c>
      <c r="BC83" s="62">
        <v>0.93</v>
      </c>
      <c r="BD83" s="62">
        <v>1.6</v>
      </c>
      <c r="BE83" s="62">
        <v>3.19</v>
      </c>
      <c r="BF83" s="62">
        <v>1.43</v>
      </c>
      <c r="BG83" s="62">
        <v>1.72</v>
      </c>
      <c r="BH83" s="62">
        <v>0.94</v>
      </c>
      <c r="BI83" s="62">
        <v>0.97</v>
      </c>
      <c r="BJ83" s="62">
        <v>0.79</v>
      </c>
      <c r="BK83" s="62">
        <v>3.02</v>
      </c>
      <c r="BL83" s="62">
        <v>1.88</v>
      </c>
      <c r="BM83" s="62">
        <v>2.2400000000000002</v>
      </c>
      <c r="BN83" s="62">
        <v>0.68</v>
      </c>
      <c r="BO83" s="62">
        <v>0.88</v>
      </c>
      <c r="BP83" s="62">
        <v>0.46</v>
      </c>
      <c r="BQ83" s="62">
        <v>4.62</v>
      </c>
      <c r="BR83" s="62">
        <v>1.37</v>
      </c>
      <c r="BS83" s="62">
        <v>8.9700000000000006</v>
      </c>
      <c r="BT83" s="62">
        <v>-0.6</v>
      </c>
      <c r="BU83" s="62">
        <v>1.62</v>
      </c>
      <c r="BV83" s="62">
        <v>4.7699999999999996</v>
      </c>
      <c r="BW83" s="62">
        <v>3.17</v>
      </c>
      <c r="BX83" s="62">
        <v>1.02</v>
      </c>
      <c r="BY83" s="62">
        <v>3</v>
      </c>
      <c r="BZ83" s="62">
        <v>0.98</v>
      </c>
      <c r="CA83" s="62">
        <v>37.28</v>
      </c>
      <c r="CB83" s="62">
        <v>0.75</v>
      </c>
      <c r="CC83" s="62">
        <v>4.8099999999999996</v>
      </c>
      <c r="CD83" s="62">
        <v>0.6</v>
      </c>
      <c r="CE83" s="62">
        <v>3.53</v>
      </c>
      <c r="CF83" s="62">
        <v>1.28</v>
      </c>
      <c r="CG83" s="62">
        <v>2.78</v>
      </c>
      <c r="CH83" s="62">
        <v>2.2599999999999998</v>
      </c>
      <c r="CI83" s="62">
        <v>1.38</v>
      </c>
      <c r="CJ83" s="62">
        <v>1.08</v>
      </c>
      <c r="CK83" s="62">
        <v>30.16</v>
      </c>
      <c r="CL83" s="62">
        <v>2.39</v>
      </c>
      <c r="CM83" s="62">
        <v>2.35</v>
      </c>
      <c r="CN83" s="62">
        <v>0.8</v>
      </c>
      <c r="CO83" s="62">
        <v>1.93</v>
      </c>
      <c r="CP83" s="62">
        <v>0.36</v>
      </c>
      <c r="CQ83" s="62">
        <v>1.17</v>
      </c>
      <c r="CR83" s="62">
        <v>6.17</v>
      </c>
      <c r="CS83" s="62">
        <v>4.5999999999999996</v>
      </c>
      <c r="CT83" s="62">
        <v>0.21</v>
      </c>
      <c r="CU83" s="62">
        <v>4.7300000000000004</v>
      </c>
      <c r="CV83" s="62">
        <v>0.74</v>
      </c>
      <c r="CW83" s="62">
        <v>1.06</v>
      </c>
      <c r="CX83" s="62">
        <v>1.79</v>
      </c>
      <c r="CY83" s="62">
        <v>4.54</v>
      </c>
      <c r="CZ83" s="62">
        <v>1.0900000000000001</v>
      </c>
      <c r="DA83" s="62">
        <v>0.79</v>
      </c>
      <c r="DB83" s="62">
        <v>15.01</v>
      </c>
      <c r="DC83" s="62">
        <v>1.02</v>
      </c>
      <c r="DD83" s="62">
        <v>5.04</v>
      </c>
      <c r="DE83" s="62">
        <v>1.44</v>
      </c>
      <c r="DF83" s="62">
        <v>2.74</v>
      </c>
      <c r="DG83" s="62">
        <v>0.96</v>
      </c>
      <c r="DH83" s="62">
        <v>-9.09</v>
      </c>
      <c r="DI83" s="62">
        <v>1.39</v>
      </c>
      <c r="DJ83" s="62">
        <v>1.1599999999999999</v>
      </c>
      <c r="DK83" s="62">
        <v>1.41</v>
      </c>
      <c r="DL83" s="62">
        <v>4.6900000000000004</v>
      </c>
      <c r="DM83" s="62">
        <v>0.93</v>
      </c>
      <c r="DN83" s="62">
        <v>1.48</v>
      </c>
      <c r="DO83" s="62">
        <v>6.09</v>
      </c>
      <c r="DP83" s="62">
        <v>3.21</v>
      </c>
    </row>
    <row r="84" spans="1:120" x14ac:dyDescent="0.3">
      <c r="A84" s="64" t="s">
        <v>9104</v>
      </c>
      <c r="B84" s="62">
        <v>1.19</v>
      </c>
      <c r="C84" s="62">
        <v>1.03</v>
      </c>
      <c r="D84" s="62">
        <v>33.159999999999997</v>
      </c>
      <c r="E84" s="62">
        <v>1.53</v>
      </c>
      <c r="F84" s="62">
        <v>5.27</v>
      </c>
      <c r="G84" s="62">
        <v>8.33</v>
      </c>
      <c r="H84" s="62">
        <v>0.95</v>
      </c>
      <c r="I84" s="62">
        <v>1.06</v>
      </c>
      <c r="J84" s="62">
        <v>0.85</v>
      </c>
      <c r="K84" s="62">
        <v>1.49</v>
      </c>
      <c r="L84" s="62">
        <v>1.1299999999999999</v>
      </c>
      <c r="M84" s="62">
        <v>1.59</v>
      </c>
      <c r="N84" s="62">
        <v>0.88</v>
      </c>
      <c r="O84" s="62">
        <v>3.1</v>
      </c>
      <c r="P84" s="62">
        <v>6.27</v>
      </c>
      <c r="Q84" s="62">
        <v>2.98</v>
      </c>
      <c r="R84" s="62">
        <v>2.89</v>
      </c>
      <c r="S84" s="62">
        <v>0.55000000000000004</v>
      </c>
      <c r="T84" s="62">
        <v>1.1499999999999999</v>
      </c>
      <c r="U84" s="62">
        <v>1.99</v>
      </c>
      <c r="V84" s="62">
        <v>1.33</v>
      </c>
      <c r="W84" s="62">
        <v>1.39</v>
      </c>
      <c r="X84" s="62">
        <v>1.49</v>
      </c>
      <c r="Y84" s="62">
        <v>147.06</v>
      </c>
      <c r="Z84" s="62">
        <v>1.73</v>
      </c>
      <c r="AA84" s="62">
        <v>2.78</v>
      </c>
      <c r="AB84" s="62">
        <v>2.66</v>
      </c>
      <c r="AC84" s="62">
        <v>2.8</v>
      </c>
      <c r="AD84" s="62">
        <v>0.52</v>
      </c>
      <c r="AE84" s="62">
        <v>2.5299999999999998</v>
      </c>
      <c r="AF84" s="62">
        <v>10.39</v>
      </c>
      <c r="AG84" s="62">
        <v>1.23</v>
      </c>
      <c r="AH84" s="62">
        <v>0.73</v>
      </c>
      <c r="AI84" s="62">
        <v>1.26</v>
      </c>
      <c r="AJ84" s="62">
        <v>4.4800000000000004</v>
      </c>
      <c r="AK84" s="62">
        <v>1.93</v>
      </c>
      <c r="AL84" s="62">
        <v>1.85</v>
      </c>
      <c r="AM84" s="62">
        <v>1.22</v>
      </c>
      <c r="AN84" s="62">
        <v>1.42</v>
      </c>
      <c r="AO84" s="62">
        <v>3.14</v>
      </c>
      <c r="AP84" s="62">
        <v>2</v>
      </c>
      <c r="AQ84" s="62">
        <v>1.08</v>
      </c>
      <c r="AR84" s="62">
        <v>1.51</v>
      </c>
      <c r="AS84" s="62">
        <v>4.9400000000000004</v>
      </c>
      <c r="AT84" s="62">
        <v>1.32</v>
      </c>
      <c r="AU84" s="62">
        <v>6.12</v>
      </c>
      <c r="AV84" s="62">
        <v>1</v>
      </c>
      <c r="AW84" s="62">
        <v>0.92</v>
      </c>
      <c r="AX84" s="62">
        <v>2.79</v>
      </c>
      <c r="AY84" s="62">
        <v>0.94</v>
      </c>
      <c r="AZ84" s="62">
        <v>0.11</v>
      </c>
      <c r="BA84" s="62">
        <v>4.07</v>
      </c>
      <c r="BB84" s="62">
        <v>4.79</v>
      </c>
      <c r="BC84" s="62">
        <v>0.89</v>
      </c>
      <c r="BD84" s="62">
        <v>1.62</v>
      </c>
      <c r="BE84" s="62">
        <v>2.76</v>
      </c>
      <c r="BF84" s="62">
        <v>1.46</v>
      </c>
      <c r="BG84" s="62">
        <v>1.67</v>
      </c>
      <c r="BH84" s="62">
        <v>0.84</v>
      </c>
      <c r="BI84" s="62">
        <v>0.95</v>
      </c>
      <c r="BJ84" s="62">
        <v>0.77</v>
      </c>
      <c r="BK84" s="62">
        <v>2.88</v>
      </c>
      <c r="BL84" s="62">
        <v>2.0099999999999998</v>
      </c>
      <c r="BM84" s="62">
        <v>2.21</v>
      </c>
      <c r="BN84" s="62">
        <v>0.73</v>
      </c>
      <c r="BO84" s="62">
        <v>0.99</v>
      </c>
      <c r="BP84" s="62">
        <v>0.46</v>
      </c>
      <c r="BQ84" s="62">
        <v>4.58</v>
      </c>
      <c r="BR84" s="62">
        <v>1.32</v>
      </c>
      <c r="BS84" s="62">
        <v>11.21</v>
      </c>
      <c r="BT84" s="62">
        <v>-0.64</v>
      </c>
      <c r="BU84" s="62">
        <v>1.48</v>
      </c>
      <c r="BV84" s="62">
        <v>6.13</v>
      </c>
      <c r="BW84" s="62">
        <v>3.12</v>
      </c>
      <c r="BX84" s="62">
        <v>1.01</v>
      </c>
      <c r="BY84" s="62">
        <v>2.5</v>
      </c>
      <c r="BZ84" s="62">
        <v>0.94</v>
      </c>
      <c r="CA84" s="62">
        <v>32.979999999999997</v>
      </c>
      <c r="CB84" s="62">
        <v>0.83</v>
      </c>
      <c r="CC84" s="62">
        <v>5.23</v>
      </c>
      <c r="CD84" s="62">
        <v>0.57999999999999996</v>
      </c>
      <c r="CE84" s="62">
        <v>3.29</v>
      </c>
      <c r="CF84" s="62">
        <v>1.19</v>
      </c>
      <c r="CG84" s="62">
        <v>2.63</v>
      </c>
      <c r="CH84" s="62">
        <v>2.36</v>
      </c>
      <c r="CI84" s="62">
        <v>0.92</v>
      </c>
      <c r="CJ84" s="62">
        <v>1</v>
      </c>
      <c r="CK84" s="62">
        <v>29.17</v>
      </c>
      <c r="CL84" s="62">
        <v>2.3199999999999998</v>
      </c>
      <c r="CM84" s="62">
        <v>2.2799999999999998</v>
      </c>
      <c r="CN84" s="62">
        <v>0.86</v>
      </c>
      <c r="CO84" s="62">
        <v>2.0299999999999998</v>
      </c>
      <c r="CP84" s="62">
        <v>0.36</v>
      </c>
      <c r="CQ84" s="62">
        <v>0.82</v>
      </c>
      <c r="CR84" s="62">
        <v>5.63</v>
      </c>
      <c r="CS84" s="62">
        <v>4.8099999999999996</v>
      </c>
      <c r="CT84" s="62">
        <v>0.21</v>
      </c>
      <c r="CU84" s="62">
        <v>4.75</v>
      </c>
      <c r="CV84" s="62">
        <v>0.72</v>
      </c>
      <c r="CW84" s="62">
        <v>1.03</v>
      </c>
      <c r="CX84" s="62">
        <v>1.57</v>
      </c>
      <c r="CY84" s="62">
        <v>3.69</v>
      </c>
      <c r="CZ84" s="62">
        <v>1.07</v>
      </c>
      <c r="DA84" s="62">
        <v>0.78</v>
      </c>
      <c r="DB84" s="62">
        <v>14.09</v>
      </c>
      <c r="DC84" s="62">
        <v>0.93</v>
      </c>
      <c r="DD84" s="62">
        <v>4.92</v>
      </c>
      <c r="DE84" s="62">
        <v>1.42</v>
      </c>
      <c r="DF84" s="62">
        <v>2.42</v>
      </c>
      <c r="DG84" s="62">
        <v>0.94</v>
      </c>
      <c r="DH84" s="62">
        <v>-9.09</v>
      </c>
      <c r="DI84" s="62">
        <v>1.37</v>
      </c>
      <c r="DJ84" s="62">
        <v>1.1000000000000001</v>
      </c>
      <c r="DK84" s="62">
        <v>1.41</v>
      </c>
      <c r="DL84" s="62">
        <v>4.55</v>
      </c>
      <c r="DM84" s="62">
        <v>0.92</v>
      </c>
      <c r="DN84" s="62">
        <v>1.5</v>
      </c>
      <c r="DO84" s="62">
        <v>6.82</v>
      </c>
      <c r="DP84" s="62">
        <v>2.4500000000000002</v>
      </c>
    </row>
    <row r="85" spans="1:120" x14ac:dyDescent="0.3">
      <c r="A85" s="64" t="s">
        <v>9105</v>
      </c>
      <c r="B85" s="62">
        <v>1.1499999999999999</v>
      </c>
      <c r="C85" s="62">
        <v>1.03</v>
      </c>
      <c r="D85" s="62">
        <v>32.28</v>
      </c>
      <c r="E85" s="62">
        <v>1.6</v>
      </c>
      <c r="F85" s="62">
        <v>5.0599999999999996</v>
      </c>
      <c r="G85" s="62">
        <v>8.33</v>
      </c>
      <c r="H85" s="62">
        <v>1.04</v>
      </c>
      <c r="I85" s="62">
        <v>1.05</v>
      </c>
      <c r="J85" s="62">
        <v>0.84</v>
      </c>
      <c r="K85" s="62">
        <v>1.52</v>
      </c>
      <c r="L85" s="62">
        <v>1.1299999999999999</v>
      </c>
      <c r="M85" s="62">
        <v>1.48</v>
      </c>
      <c r="N85" s="62">
        <v>0.88</v>
      </c>
      <c r="O85" s="62">
        <v>2.79</v>
      </c>
      <c r="P85" s="62">
        <v>6.64</v>
      </c>
      <c r="Q85" s="62">
        <v>3.09</v>
      </c>
      <c r="R85" s="62">
        <v>2.97</v>
      </c>
      <c r="S85" s="62">
        <v>0.56999999999999995</v>
      </c>
      <c r="T85" s="62">
        <v>1.2</v>
      </c>
      <c r="U85" s="62">
        <v>2</v>
      </c>
      <c r="V85" s="62">
        <v>1.37</v>
      </c>
      <c r="W85" s="62">
        <v>1.34</v>
      </c>
      <c r="X85" s="62">
        <v>1.55</v>
      </c>
      <c r="Y85" s="62">
        <v>147.06</v>
      </c>
      <c r="Z85" s="62">
        <v>1.26</v>
      </c>
      <c r="AA85" s="62">
        <v>2.88</v>
      </c>
      <c r="AB85" s="62">
        <v>2.8</v>
      </c>
      <c r="AC85" s="62">
        <v>2.74</v>
      </c>
      <c r="AD85" s="62">
        <v>0.4</v>
      </c>
      <c r="AE85" s="62">
        <v>2.5299999999999998</v>
      </c>
      <c r="AF85" s="62">
        <v>9.93</v>
      </c>
      <c r="AG85" s="62">
        <v>0.99</v>
      </c>
      <c r="AH85" s="62">
        <v>0.8</v>
      </c>
      <c r="AI85" s="62">
        <v>1.22</v>
      </c>
      <c r="AJ85" s="62">
        <v>4.3</v>
      </c>
      <c r="AK85" s="62">
        <v>1.93</v>
      </c>
      <c r="AL85" s="62">
        <v>1.85</v>
      </c>
      <c r="AM85" s="62">
        <v>1.29</v>
      </c>
      <c r="AN85" s="62">
        <v>1.38</v>
      </c>
      <c r="AO85" s="62">
        <v>2.65</v>
      </c>
      <c r="AP85" s="62">
        <v>2.17</v>
      </c>
      <c r="AQ85" s="62">
        <v>1.1200000000000001</v>
      </c>
      <c r="AR85" s="62">
        <v>1.54</v>
      </c>
      <c r="AS85" s="62">
        <v>4.72</v>
      </c>
      <c r="AT85" s="62">
        <v>1.28</v>
      </c>
      <c r="AU85" s="62">
        <v>6.61</v>
      </c>
      <c r="AV85" s="62">
        <v>1.05</v>
      </c>
      <c r="AW85" s="62">
        <v>0.92</v>
      </c>
      <c r="AX85" s="62">
        <v>2.37</v>
      </c>
      <c r="AY85" s="62">
        <v>0.97</v>
      </c>
      <c r="AZ85" s="62">
        <v>0.11</v>
      </c>
      <c r="BA85" s="62">
        <v>4.33</v>
      </c>
      <c r="BB85" s="62">
        <v>4.79</v>
      </c>
      <c r="BC85" s="62">
        <v>0.87</v>
      </c>
      <c r="BD85" s="62">
        <v>1.59</v>
      </c>
      <c r="BE85" s="62">
        <v>2.9</v>
      </c>
      <c r="BF85" s="62">
        <v>1.49</v>
      </c>
      <c r="BG85" s="62">
        <v>1.75</v>
      </c>
      <c r="BH85" s="62">
        <v>0.79</v>
      </c>
      <c r="BI85" s="62">
        <v>0.6</v>
      </c>
      <c r="BJ85" s="62">
        <v>0.75</v>
      </c>
      <c r="BK85" s="62">
        <v>3.09</v>
      </c>
      <c r="BL85" s="62">
        <v>1.76</v>
      </c>
      <c r="BM85" s="62">
        <v>2.04</v>
      </c>
      <c r="BN85" s="62">
        <v>0.61</v>
      </c>
      <c r="BO85" s="62">
        <v>1.01</v>
      </c>
      <c r="BP85" s="62">
        <v>0.34</v>
      </c>
      <c r="BQ85" s="62">
        <v>4.41</v>
      </c>
      <c r="BR85" s="62">
        <v>1.31</v>
      </c>
      <c r="BS85" s="62">
        <v>10.09</v>
      </c>
      <c r="BT85" s="62">
        <v>-0.56999999999999995</v>
      </c>
      <c r="BU85" s="62">
        <v>1.46</v>
      </c>
      <c r="BV85" s="62">
        <v>6.27</v>
      </c>
      <c r="BW85" s="62">
        <v>3.07</v>
      </c>
      <c r="BX85" s="62">
        <v>1.04</v>
      </c>
      <c r="BY85" s="62">
        <v>6.25</v>
      </c>
      <c r="BZ85" s="62">
        <v>0.93</v>
      </c>
      <c r="CA85" s="62">
        <v>30.41</v>
      </c>
      <c r="CB85" s="62">
        <v>0.74</v>
      </c>
      <c r="CC85" s="62">
        <v>5.21</v>
      </c>
      <c r="CD85" s="62">
        <v>0.53</v>
      </c>
      <c r="CE85" s="62">
        <v>3.02</v>
      </c>
      <c r="CF85" s="62">
        <v>1.08</v>
      </c>
      <c r="CG85" s="62">
        <v>2.54</v>
      </c>
      <c r="CH85" s="62">
        <v>2.21</v>
      </c>
      <c r="CI85" s="62">
        <v>0.92</v>
      </c>
      <c r="CJ85" s="62">
        <v>0.9</v>
      </c>
      <c r="CK85" s="62">
        <v>27.29</v>
      </c>
      <c r="CL85" s="62">
        <v>2.31</v>
      </c>
      <c r="CM85" s="62">
        <v>2.11</v>
      </c>
      <c r="CN85" s="62">
        <v>0.87</v>
      </c>
      <c r="CO85" s="62">
        <v>2.15</v>
      </c>
      <c r="CP85" s="62">
        <v>0.34</v>
      </c>
      <c r="CQ85" s="62">
        <v>1.29</v>
      </c>
      <c r="CR85" s="62">
        <v>5.81</v>
      </c>
      <c r="CS85" s="62">
        <v>4.57</v>
      </c>
      <c r="CT85" s="62">
        <v>0.21</v>
      </c>
      <c r="CU85" s="62">
        <v>5.09</v>
      </c>
      <c r="CV85" s="62">
        <v>0.7</v>
      </c>
      <c r="CW85" s="62">
        <v>1.02</v>
      </c>
      <c r="CX85" s="62">
        <v>1.5</v>
      </c>
      <c r="CY85" s="62">
        <v>3.92</v>
      </c>
      <c r="CZ85" s="62">
        <v>1.0900000000000001</v>
      </c>
      <c r="DA85" s="62">
        <v>0.72</v>
      </c>
      <c r="DB85" s="62">
        <v>14.36</v>
      </c>
      <c r="DC85" s="62">
        <v>0.93</v>
      </c>
      <c r="DD85" s="62">
        <v>4.92</v>
      </c>
      <c r="DE85" s="62">
        <v>1.42</v>
      </c>
      <c r="DF85" s="62">
        <v>2.46</v>
      </c>
      <c r="DG85" s="62">
        <v>0.94</v>
      </c>
      <c r="DH85" s="62">
        <v>-12.12</v>
      </c>
      <c r="DI85" s="62">
        <v>1.35</v>
      </c>
      <c r="DJ85" s="62">
        <v>1.01</v>
      </c>
      <c r="DK85" s="62">
        <v>1.36</v>
      </c>
      <c r="DL85" s="62">
        <v>4.3899999999999997</v>
      </c>
      <c r="DM85" s="62">
        <v>0.94</v>
      </c>
      <c r="DN85" s="62">
        <v>1.5</v>
      </c>
      <c r="DO85" s="62">
        <v>6.66</v>
      </c>
      <c r="DP85" s="62">
        <v>2.54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5110-F327-4CE7-8635-51ADE2278388}">
  <sheetPr codeName="Sheet6"/>
  <dimension ref="A1:DP85"/>
  <sheetViews>
    <sheetView topLeftCell="A28" workbookViewId="0">
      <selection activeCell="H39" sqref="H39"/>
    </sheetView>
  </sheetViews>
  <sheetFormatPr defaultRowHeight="14.4" x14ac:dyDescent="0.3"/>
  <cols>
    <col min="1" max="16384" width="8.88671875" style="62"/>
  </cols>
  <sheetData>
    <row r="1" spans="1:120" x14ac:dyDescent="0.3">
      <c r="A1" s="62" t="s">
        <v>0</v>
      </c>
      <c r="B1" s="62" t="s">
        <v>9225</v>
      </c>
      <c r="C1" s="62" t="s">
        <v>9226</v>
      </c>
      <c r="D1" s="62" t="s">
        <v>9227</v>
      </c>
      <c r="E1" s="62" t="s">
        <v>9228</v>
      </c>
      <c r="F1" s="62" t="s">
        <v>9229</v>
      </c>
      <c r="G1" s="62" t="s">
        <v>9230</v>
      </c>
      <c r="H1" s="62" t="s">
        <v>9231</v>
      </c>
      <c r="I1" s="62" t="s">
        <v>9232</v>
      </c>
      <c r="J1" s="62" t="s">
        <v>9233</v>
      </c>
      <c r="K1" s="62" t="s">
        <v>9234</v>
      </c>
      <c r="L1" s="62" t="s">
        <v>9235</v>
      </c>
      <c r="M1" s="62" t="s">
        <v>9236</v>
      </c>
      <c r="N1" s="62" t="s">
        <v>9237</v>
      </c>
      <c r="O1" s="62" t="s">
        <v>9238</v>
      </c>
      <c r="P1" s="62" t="s">
        <v>9239</v>
      </c>
      <c r="Q1" s="62" t="s">
        <v>9240</v>
      </c>
      <c r="R1" s="62" t="s">
        <v>9241</v>
      </c>
      <c r="S1" s="62" t="s">
        <v>9242</v>
      </c>
      <c r="T1" s="62" t="s">
        <v>9243</v>
      </c>
      <c r="U1" s="62" t="s">
        <v>9244</v>
      </c>
      <c r="V1" s="62" t="s">
        <v>9245</v>
      </c>
      <c r="W1" s="62" t="s">
        <v>9246</v>
      </c>
      <c r="X1" s="62" t="s">
        <v>9247</v>
      </c>
      <c r="Y1" s="62" t="s">
        <v>9248</v>
      </c>
      <c r="Z1" s="62" t="s">
        <v>9249</v>
      </c>
      <c r="AA1" s="62" t="s">
        <v>9250</v>
      </c>
      <c r="AB1" s="62" t="s">
        <v>9251</v>
      </c>
      <c r="AC1" s="62" t="s">
        <v>9252</v>
      </c>
      <c r="AD1" s="62" t="s">
        <v>9253</v>
      </c>
      <c r="AE1" s="62" t="s">
        <v>9254</v>
      </c>
      <c r="AF1" s="62" t="s">
        <v>9255</v>
      </c>
      <c r="AG1" s="62" t="s">
        <v>9256</v>
      </c>
      <c r="AH1" s="62" t="s">
        <v>9257</v>
      </c>
      <c r="AI1" s="62" t="s">
        <v>9258</v>
      </c>
      <c r="AJ1" s="62" t="s">
        <v>9259</v>
      </c>
      <c r="AK1" s="62" t="s">
        <v>9260</v>
      </c>
      <c r="AL1" s="62" t="s">
        <v>9261</v>
      </c>
      <c r="AM1" s="62" t="s">
        <v>9262</v>
      </c>
      <c r="AN1" s="62" t="s">
        <v>9263</v>
      </c>
      <c r="AO1" s="62" t="s">
        <v>9264</v>
      </c>
      <c r="AP1" s="62" t="s">
        <v>9265</v>
      </c>
      <c r="AQ1" s="62" t="s">
        <v>9266</v>
      </c>
      <c r="AR1" s="62" t="s">
        <v>9267</v>
      </c>
      <c r="AS1" s="62" t="s">
        <v>9268</v>
      </c>
      <c r="AT1" s="62" t="s">
        <v>9269</v>
      </c>
      <c r="AU1" s="62" t="s">
        <v>9270</v>
      </c>
      <c r="AV1" s="62" t="s">
        <v>9271</v>
      </c>
      <c r="AW1" s="62" t="s">
        <v>9272</v>
      </c>
      <c r="AX1" s="62" t="s">
        <v>9273</v>
      </c>
      <c r="AY1" s="62" t="s">
        <v>9274</v>
      </c>
      <c r="AZ1" s="62" t="s">
        <v>9275</v>
      </c>
      <c r="BA1" s="62" t="s">
        <v>9276</v>
      </c>
      <c r="BB1" s="62" t="s">
        <v>9277</v>
      </c>
      <c r="BC1" s="62" t="s">
        <v>9278</v>
      </c>
      <c r="BD1" s="62" t="s">
        <v>9279</v>
      </c>
      <c r="BE1" s="62" t="s">
        <v>9280</v>
      </c>
      <c r="BF1" s="62" t="s">
        <v>9281</v>
      </c>
      <c r="BG1" s="62" t="s">
        <v>9282</v>
      </c>
      <c r="BH1" s="62" t="s">
        <v>9283</v>
      </c>
      <c r="BI1" s="62" t="s">
        <v>9284</v>
      </c>
      <c r="BJ1" s="62" t="s">
        <v>9285</v>
      </c>
      <c r="BK1" s="62" t="s">
        <v>9286</v>
      </c>
      <c r="BL1" s="62" t="s">
        <v>9287</v>
      </c>
      <c r="BM1" s="62" t="s">
        <v>9288</v>
      </c>
      <c r="BN1" s="62" t="s">
        <v>9289</v>
      </c>
      <c r="BO1" s="62" t="s">
        <v>9290</v>
      </c>
      <c r="BP1" s="62" t="s">
        <v>9291</v>
      </c>
      <c r="BQ1" s="62" t="s">
        <v>9292</v>
      </c>
      <c r="BR1" s="62" t="s">
        <v>9293</v>
      </c>
      <c r="BS1" s="62" t="s">
        <v>9294</v>
      </c>
      <c r="BT1" s="62" t="s">
        <v>9295</v>
      </c>
      <c r="BU1" s="62" t="s">
        <v>9296</v>
      </c>
      <c r="BV1" s="62" t="s">
        <v>9297</v>
      </c>
      <c r="BW1" s="62" t="s">
        <v>9298</v>
      </c>
      <c r="BX1" s="62" t="s">
        <v>9299</v>
      </c>
      <c r="BY1" s="62" t="s">
        <v>9300</v>
      </c>
      <c r="BZ1" s="62" t="s">
        <v>9301</v>
      </c>
      <c r="CA1" s="62" t="s">
        <v>9302</v>
      </c>
      <c r="CB1" s="62" t="s">
        <v>9303</v>
      </c>
      <c r="CC1" s="62" t="s">
        <v>9304</v>
      </c>
      <c r="CD1" s="62" t="s">
        <v>9305</v>
      </c>
      <c r="CE1" s="62" t="s">
        <v>9306</v>
      </c>
      <c r="CF1" s="62" t="s">
        <v>9307</v>
      </c>
      <c r="CG1" s="62" t="s">
        <v>9308</v>
      </c>
      <c r="CH1" s="62" t="s">
        <v>9309</v>
      </c>
      <c r="CI1" s="62" t="s">
        <v>9310</v>
      </c>
      <c r="CJ1" s="62" t="s">
        <v>9311</v>
      </c>
      <c r="CK1" s="62" t="s">
        <v>9312</v>
      </c>
      <c r="CL1" s="62" t="s">
        <v>9313</v>
      </c>
      <c r="CM1" s="62" t="s">
        <v>9314</v>
      </c>
      <c r="CN1" s="62" t="s">
        <v>9315</v>
      </c>
      <c r="CO1" s="62" t="s">
        <v>9316</v>
      </c>
      <c r="CP1" s="62" t="s">
        <v>9317</v>
      </c>
      <c r="CQ1" s="62" t="s">
        <v>9318</v>
      </c>
      <c r="CR1" s="62" t="s">
        <v>9319</v>
      </c>
      <c r="CS1" s="62" t="s">
        <v>9320</v>
      </c>
      <c r="CT1" s="62" t="s">
        <v>9321</v>
      </c>
      <c r="CU1" s="62" t="s">
        <v>9322</v>
      </c>
      <c r="CV1" s="62" t="s">
        <v>9323</v>
      </c>
      <c r="CW1" s="62" t="s">
        <v>9324</v>
      </c>
      <c r="CX1" s="62" t="s">
        <v>9325</v>
      </c>
      <c r="CY1" s="62" t="s">
        <v>9326</v>
      </c>
      <c r="CZ1" s="62" t="s">
        <v>9327</v>
      </c>
      <c r="DA1" s="62" t="s">
        <v>9328</v>
      </c>
      <c r="DB1" s="62" t="s">
        <v>9329</v>
      </c>
      <c r="DC1" s="62" t="s">
        <v>9330</v>
      </c>
      <c r="DD1" s="62" t="s">
        <v>9331</v>
      </c>
      <c r="DE1" s="62" t="s">
        <v>9332</v>
      </c>
      <c r="DF1" s="62" t="s">
        <v>9333</v>
      </c>
      <c r="DG1" s="62" t="s">
        <v>9334</v>
      </c>
      <c r="DH1" s="62" t="s">
        <v>9335</v>
      </c>
      <c r="DI1" s="62" t="s">
        <v>9336</v>
      </c>
      <c r="DJ1" s="62" t="s">
        <v>9337</v>
      </c>
      <c r="DK1" s="62" t="s">
        <v>9338</v>
      </c>
      <c r="DL1" s="62" t="s">
        <v>9339</v>
      </c>
      <c r="DM1" s="62" t="s">
        <v>9340</v>
      </c>
      <c r="DN1" s="62" t="s">
        <v>9341</v>
      </c>
      <c r="DO1" s="62" t="s">
        <v>9342</v>
      </c>
      <c r="DP1" s="62" t="s">
        <v>9343</v>
      </c>
    </row>
    <row r="2" spans="1:120" x14ac:dyDescent="0.3">
      <c r="A2" s="62">
        <v>40909</v>
      </c>
      <c r="B2" s="62">
        <v>67.790000000000006</v>
      </c>
      <c r="C2" s="62">
        <v>3.11</v>
      </c>
      <c r="D2" s="62" t="s">
        <v>9344</v>
      </c>
      <c r="E2" s="62">
        <v>986.56</v>
      </c>
      <c r="F2" s="62">
        <v>2.81</v>
      </c>
      <c r="G2" s="62">
        <v>3.76</v>
      </c>
      <c r="H2" s="62">
        <v>439.75</v>
      </c>
      <c r="I2" s="62" t="s">
        <v>9344</v>
      </c>
      <c r="J2" s="62">
        <v>80.150000000000006</v>
      </c>
      <c r="K2" s="62">
        <v>3332.86</v>
      </c>
      <c r="L2" s="62">
        <v>53.64</v>
      </c>
      <c r="M2" s="62">
        <v>50.16</v>
      </c>
      <c r="N2" s="62">
        <v>72.790000000000006</v>
      </c>
      <c r="O2" s="62">
        <v>3.3</v>
      </c>
      <c r="P2" s="62">
        <v>5.47</v>
      </c>
      <c r="Q2" s="62">
        <v>287.45999999999998</v>
      </c>
      <c r="R2" s="62">
        <v>28.41</v>
      </c>
      <c r="S2" s="62">
        <v>131.75</v>
      </c>
      <c r="T2" s="62">
        <v>78.260000000000005</v>
      </c>
      <c r="U2" s="62">
        <v>1201.46</v>
      </c>
      <c r="V2" s="62">
        <v>85.01</v>
      </c>
      <c r="W2" s="62">
        <v>68.27</v>
      </c>
      <c r="X2" s="62">
        <v>3725.23</v>
      </c>
      <c r="Y2" s="62">
        <v>2.21</v>
      </c>
      <c r="Z2" s="62">
        <v>2.0699999999999998</v>
      </c>
      <c r="AA2" s="62">
        <v>204.18</v>
      </c>
      <c r="AB2" s="62">
        <v>341.3</v>
      </c>
      <c r="AC2" s="62" t="s">
        <v>9344</v>
      </c>
      <c r="AD2" s="62" t="s">
        <v>9344</v>
      </c>
      <c r="AE2" s="62">
        <v>2.82</v>
      </c>
      <c r="AF2" s="62">
        <v>1335.68</v>
      </c>
      <c r="AG2" s="62">
        <v>4179.74</v>
      </c>
      <c r="AH2" s="62">
        <v>8.68</v>
      </c>
      <c r="AI2" s="62" t="s">
        <v>9344</v>
      </c>
      <c r="AJ2" s="62" t="s">
        <v>9344</v>
      </c>
      <c r="AK2" s="62">
        <v>566.12</v>
      </c>
      <c r="AL2" s="62">
        <v>14.9</v>
      </c>
      <c r="AM2" s="62" t="s">
        <v>9344</v>
      </c>
      <c r="AN2" s="62" t="s">
        <v>9344</v>
      </c>
      <c r="AO2" s="62">
        <v>2.7</v>
      </c>
      <c r="AP2" s="62" t="s">
        <v>9344</v>
      </c>
      <c r="AQ2" s="62">
        <v>978.8</v>
      </c>
      <c r="AR2" s="62">
        <v>95</v>
      </c>
      <c r="AS2" s="62">
        <v>208.77</v>
      </c>
      <c r="AT2" s="62">
        <v>190.46</v>
      </c>
      <c r="AU2" s="62" t="s">
        <v>9344</v>
      </c>
      <c r="AV2" s="62">
        <v>1110.95</v>
      </c>
      <c r="AW2" s="62" t="s">
        <v>9344</v>
      </c>
      <c r="AX2" s="62">
        <v>9.84</v>
      </c>
      <c r="AY2" s="62">
        <v>991.11</v>
      </c>
      <c r="AZ2" s="62">
        <v>147.63999999999999</v>
      </c>
      <c r="BA2" s="62">
        <v>980.33</v>
      </c>
      <c r="BB2" s="62" t="s">
        <v>9344</v>
      </c>
      <c r="BC2" s="62">
        <v>74.97</v>
      </c>
      <c r="BD2" s="62">
        <v>61.95</v>
      </c>
      <c r="BE2" s="62">
        <v>12.93</v>
      </c>
      <c r="BF2" s="62" t="s">
        <v>9344</v>
      </c>
      <c r="BG2" s="62" t="s">
        <v>9344</v>
      </c>
      <c r="BH2" s="62">
        <v>327.14</v>
      </c>
      <c r="BI2" s="62" t="s">
        <v>9344</v>
      </c>
      <c r="BJ2" s="62">
        <v>136.21</v>
      </c>
      <c r="BK2" s="62" t="s">
        <v>9344</v>
      </c>
      <c r="BL2" s="62">
        <v>7.56</v>
      </c>
      <c r="BM2" s="62" t="s">
        <v>9344</v>
      </c>
      <c r="BN2" s="62">
        <v>277.8</v>
      </c>
      <c r="BO2" s="62">
        <v>43.21</v>
      </c>
      <c r="BP2" s="62" t="s">
        <v>9344</v>
      </c>
      <c r="BQ2" s="62">
        <v>274.24</v>
      </c>
      <c r="BR2" s="62" t="s">
        <v>9344</v>
      </c>
      <c r="BS2" s="62">
        <v>52.11</v>
      </c>
      <c r="BT2" s="62">
        <v>30.2</v>
      </c>
      <c r="BU2" s="62">
        <v>286.83999999999997</v>
      </c>
      <c r="BV2" s="62">
        <v>0.86</v>
      </c>
      <c r="BW2" s="62">
        <v>1334.46</v>
      </c>
      <c r="BX2" s="62">
        <v>817.6</v>
      </c>
      <c r="BY2" s="62">
        <v>2.38</v>
      </c>
      <c r="BZ2" s="62">
        <v>254.05</v>
      </c>
      <c r="CA2" s="62" t="s">
        <v>9344</v>
      </c>
      <c r="CB2" s="62">
        <v>85.97</v>
      </c>
      <c r="CC2" s="62">
        <v>202.46</v>
      </c>
      <c r="CD2" s="62">
        <v>102.52</v>
      </c>
      <c r="CE2" s="62">
        <v>1355</v>
      </c>
      <c r="CF2" s="62">
        <v>382.93</v>
      </c>
      <c r="CG2" s="62" t="s">
        <v>9344</v>
      </c>
      <c r="CH2" s="62">
        <v>62.11</v>
      </c>
      <c r="CI2" s="62">
        <v>4.29</v>
      </c>
      <c r="CJ2" s="62">
        <v>12.99</v>
      </c>
      <c r="CK2" s="62" t="s">
        <v>9344</v>
      </c>
      <c r="CL2" s="62">
        <v>262.22000000000003</v>
      </c>
      <c r="CM2" s="62">
        <v>1984.74</v>
      </c>
      <c r="CN2" s="62">
        <v>2062.44</v>
      </c>
      <c r="CO2" s="62">
        <v>14.08</v>
      </c>
      <c r="CP2" s="62">
        <v>23.3</v>
      </c>
      <c r="CQ2" s="62" t="s">
        <v>9344</v>
      </c>
      <c r="CR2" s="62">
        <v>4.55</v>
      </c>
      <c r="CS2" s="62">
        <v>89.72</v>
      </c>
      <c r="CT2" s="62" t="s">
        <v>9344</v>
      </c>
      <c r="CU2" s="62">
        <v>3985.6</v>
      </c>
      <c r="CV2" s="62">
        <v>186.58</v>
      </c>
      <c r="CW2" s="62">
        <v>309.27</v>
      </c>
      <c r="CX2" s="62">
        <v>287.86</v>
      </c>
      <c r="CY2" s="62" t="s">
        <v>9344</v>
      </c>
      <c r="CZ2" s="62">
        <v>208.28</v>
      </c>
      <c r="DA2" s="62">
        <v>50.68</v>
      </c>
      <c r="DB2" s="62">
        <v>141.76</v>
      </c>
      <c r="DC2" s="62">
        <v>784</v>
      </c>
      <c r="DD2" s="62">
        <v>5.58</v>
      </c>
      <c r="DE2" s="62" t="s">
        <v>9344</v>
      </c>
      <c r="DF2" s="62">
        <v>57.93</v>
      </c>
      <c r="DG2" s="62">
        <v>405.72</v>
      </c>
      <c r="DH2" s="62">
        <v>1.1100000000000001</v>
      </c>
      <c r="DI2" s="62" t="s">
        <v>9344</v>
      </c>
      <c r="DJ2" s="62">
        <v>13.16</v>
      </c>
      <c r="DK2" s="62">
        <v>2459.5100000000002</v>
      </c>
      <c r="DL2" s="62" t="s">
        <v>9344</v>
      </c>
      <c r="DM2" s="62">
        <v>321.27</v>
      </c>
      <c r="DN2" s="62">
        <v>933.59</v>
      </c>
      <c r="DO2" s="62">
        <v>14.15</v>
      </c>
      <c r="DP2" s="62" t="s">
        <v>9344</v>
      </c>
    </row>
    <row r="3" spans="1:120" x14ac:dyDescent="0.3">
      <c r="A3" s="62">
        <v>40940</v>
      </c>
      <c r="B3" s="62">
        <v>67.459999999999994</v>
      </c>
      <c r="C3" s="62">
        <v>2.94</v>
      </c>
      <c r="D3" s="62" t="s">
        <v>9344</v>
      </c>
      <c r="E3" s="62">
        <v>1008.48</v>
      </c>
      <c r="F3" s="62">
        <v>3.36</v>
      </c>
      <c r="G3" s="62">
        <v>3.76</v>
      </c>
      <c r="H3" s="62">
        <v>459.23</v>
      </c>
      <c r="I3" s="62" t="s">
        <v>9344</v>
      </c>
      <c r="J3" s="62">
        <v>80.959999999999994</v>
      </c>
      <c r="K3" s="62">
        <v>3279.96</v>
      </c>
      <c r="L3" s="62">
        <v>52.02</v>
      </c>
      <c r="M3" s="62">
        <v>51.2</v>
      </c>
      <c r="N3" s="62">
        <v>72.709999999999994</v>
      </c>
      <c r="O3" s="62">
        <v>0.66</v>
      </c>
      <c r="P3" s="62">
        <v>6.83</v>
      </c>
      <c r="Q3" s="62">
        <v>302.52999999999997</v>
      </c>
      <c r="R3" s="62">
        <v>30.01</v>
      </c>
      <c r="S3" s="62">
        <v>160.41999999999999</v>
      </c>
      <c r="T3" s="62">
        <v>83.48</v>
      </c>
      <c r="U3" s="62">
        <v>1263.07</v>
      </c>
      <c r="V3" s="62">
        <v>93.18</v>
      </c>
      <c r="W3" s="62">
        <v>75.38</v>
      </c>
      <c r="X3" s="62">
        <v>3393</v>
      </c>
      <c r="Y3" s="62">
        <v>2.21</v>
      </c>
      <c r="Z3" s="62">
        <v>8.2899999999999991</v>
      </c>
      <c r="AA3" s="62">
        <v>227.43</v>
      </c>
      <c r="AB3" s="62">
        <v>371</v>
      </c>
      <c r="AC3" s="62" t="s">
        <v>9344</v>
      </c>
      <c r="AD3" s="62" t="s">
        <v>9344</v>
      </c>
      <c r="AE3" s="62">
        <v>2.82</v>
      </c>
      <c r="AF3" s="62">
        <v>1134.31</v>
      </c>
      <c r="AG3" s="62">
        <v>4383.96</v>
      </c>
      <c r="AH3" s="62">
        <v>7.81</v>
      </c>
      <c r="AI3" s="62" t="s">
        <v>9344</v>
      </c>
      <c r="AJ3" s="62" t="s">
        <v>9344</v>
      </c>
      <c r="AK3" s="62">
        <v>575.35</v>
      </c>
      <c r="AL3" s="62">
        <v>16.14</v>
      </c>
      <c r="AM3" s="62">
        <v>22.17</v>
      </c>
      <c r="AN3" s="62" t="s">
        <v>9344</v>
      </c>
      <c r="AO3" s="62">
        <v>2.34</v>
      </c>
      <c r="AP3" s="62" t="s">
        <v>9344</v>
      </c>
      <c r="AQ3" s="62">
        <v>998.47</v>
      </c>
      <c r="AR3" s="62">
        <v>90.19</v>
      </c>
      <c r="AS3" s="62">
        <v>219.51</v>
      </c>
      <c r="AT3" s="62">
        <v>186.58</v>
      </c>
      <c r="AU3" s="62" t="s">
        <v>9344</v>
      </c>
      <c r="AV3" s="62">
        <v>1103.02</v>
      </c>
      <c r="AW3" s="62" t="s">
        <v>9344</v>
      </c>
      <c r="AX3" s="62">
        <v>8.0500000000000007</v>
      </c>
      <c r="AY3" s="62">
        <v>1030.3599999999999</v>
      </c>
      <c r="AZ3" s="62">
        <v>149.12</v>
      </c>
      <c r="BA3" s="62">
        <v>965.48</v>
      </c>
      <c r="BB3" s="62" t="s">
        <v>9344</v>
      </c>
      <c r="BC3" s="62">
        <v>74.900000000000006</v>
      </c>
      <c r="BD3" s="62">
        <v>61.95</v>
      </c>
      <c r="BE3" s="62">
        <v>14.24</v>
      </c>
      <c r="BF3" s="62" t="s">
        <v>9344</v>
      </c>
      <c r="BG3" s="62" t="s">
        <v>9344</v>
      </c>
      <c r="BH3" s="62">
        <v>331.46</v>
      </c>
      <c r="BI3" s="62" t="s">
        <v>9344</v>
      </c>
      <c r="BJ3" s="62">
        <v>139.71</v>
      </c>
      <c r="BK3" s="62" t="s">
        <v>9344</v>
      </c>
      <c r="BL3" s="62">
        <v>5.5</v>
      </c>
      <c r="BM3" s="62" t="s">
        <v>9344</v>
      </c>
      <c r="BN3" s="62">
        <v>283.44</v>
      </c>
      <c r="BO3" s="62">
        <v>43.21</v>
      </c>
      <c r="BP3" s="62" t="s">
        <v>9344</v>
      </c>
      <c r="BQ3" s="62">
        <v>321.57</v>
      </c>
      <c r="BR3" s="62" t="s">
        <v>9344</v>
      </c>
      <c r="BS3" s="62">
        <v>54.85</v>
      </c>
      <c r="BT3" s="62">
        <v>22.65</v>
      </c>
      <c r="BU3" s="62">
        <v>286.83999999999997</v>
      </c>
      <c r="BV3" s="62">
        <v>0.86</v>
      </c>
      <c r="BW3" s="62">
        <v>1398.83</v>
      </c>
      <c r="BX3" s="62">
        <v>857.48</v>
      </c>
      <c r="BY3" s="62">
        <v>2.38</v>
      </c>
      <c r="BZ3" s="62">
        <v>252.96</v>
      </c>
      <c r="CA3" s="62" t="s">
        <v>9344</v>
      </c>
      <c r="CB3" s="62">
        <v>118.44</v>
      </c>
      <c r="CC3" s="62">
        <v>190.73</v>
      </c>
      <c r="CD3" s="62">
        <v>128.15</v>
      </c>
      <c r="CE3" s="62">
        <v>1415</v>
      </c>
      <c r="CF3" s="62">
        <v>383.87</v>
      </c>
      <c r="CG3" s="62" t="s">
        <v>9344</v>
      </c>
      <c r="CH3" s="62">
        <v>62.92</v>
      </c>
      <c r="CI3" s="62">
        <v>4.5999999999999996</v>
      </c>
      <c r="CJ3" s="62">
        <v>13.28</v>
      </c>
      <c r="CK3" s="62" t="s">
        <v>9344</v>
      </c>
      <c r="CL3" s="62">
        <v>262.22000000000003</v>
      </c>
      <c r="CM3" s="62">
        <v>2025.12</v>
      </c>
      <c r="CN3" s="62">
        <v>2046.87</v>
      </c>
      <c r="CO3" s="62">
        <v>12.12</v>
      </c>
      <c r="CP3" s="62">
        <v>25.95</v>
      </c>
      <c r="CQ3" s="62" t="s">
        <v>9344</v>
      </c>
      <c r="CR3" s="62">
        <v>4.55</v>
      </c>
      <c r="CS3" s="62">
        <v>91.82</v>
      </c>
      <c r="CT3" s="62" t="s">
        <v>9344</v>
      </c>
      <c r="CU3" s="62">
        <v>4149.2700000000004</v>
      </c>
      <c r="CV3" s="62">
        <v>198.96</v>
      </c>
      <c r="CW3" s="62">
        <v>321.57</v>
      </c>
      <c r="CX3" s="62">
        <v>307.19</v>
      </c>
      <c r="CY3" s="62" t="s">
        <v>9344</v>
      </c>
      <c r="CZ3" s="62">
        <v>208.28</v>
      </c>
      <c r="DA3" s="62">
        <v>51.14</v>
      </c>
      <c r="DB3" s="62">
        <v>147.66999999999999</v>
      </c>
      <c r="DC3" s="62">
        <v>784</v>
      </c>
      <c r="DD3" s="62">
        <v>5.58</v>
      </c>
      <c r="DE3" s="62" t="s">
        <v>9344</v>
      </c>
      <c r="DF3" s="62">
        <v>57.93</v>
      </c>
      <c r="DG3" s="62">
        <v>365.94</v>
      </c>
      <c r="DH3" s="62">
        <v>1.1100000000000001</v>
      </c>
      <c r="DI3" s="62" t="s">
        <v>9344</v>
      </c>
      <c r="DJ3" s="62">
        <v>13.51</v>
      </c>
      <c r="DK3" s="62">
        <v>2638.75</v>
      </c>
      <c r="DL3" s="62" t="s">
        <v>9344</v>
      </c>
      <c r="DM3" s="62">
        <v>337.33</v>
      </c>
      <c r="DN3" s="62">
        <v>942.92</v>
      </c>
      <c r="DO3" s="62">
        <v>14.15</v>
      </c>
      <c r="DP3" s="62" t="s">
        <v>9344</v>
      </c>
    </row>
    <row r="4" spans="1:120" x14ac:dyDescent="0.3">
      <c r="A4" s="62">
        <v>40969</v>
      </c>
      <c r="B4" s="62">
        <v>69.41</v>
      </c>
      <c r="C4" s="62">
        <v>4.1500000000000004</v>
      </c>
      <c r="D4" s="62" t="s">
        <v>9344</v>
      </c>
      <c r="E4" s="62">
        <v>948.19</v>
      </c>
      <c r="F4" s="62">
        <v>3.18</v>
      </c>
      <c r="G4" s="62">
        <v>2.58</v>
      </c>
      <c r="H4" s="62">
        <v>470.36</v>
      </c>
      <c r="I4" s="62" t="s">
        <v>9344</v>
      </c>
      <c r="J4" s="62">
        <v>90.68</v>
      </c>
      <c r="K4" s="62">
        <v>3187.38</v>
      </c>
      <c r="L4" s="62">
        <v>52.42</v>
      </c>
      <c r="M4" s="62">
        <v>59.3</v>
      </c>
      <c r="N4" s="62">
        <v>73.78</v>
      </c>
      <c r="O4" s="62">
        <v>0.66</v>
      </c>
      <c r="P4" s="62">
        <v>7.17</v>
      </c>
      <c r="Q4" s="62">
        <v>319.89</v>
      </c>
      <c r="R4" s="62">
        <v>48.24</v>
      </c>
      <c r="S4" s="62">
        <v>143.35</v>
      </c>
      <c r="T4" s="62">
        <v>83.48</v>
      </c>
      <c r="U4" s="62">
        <v>1270.77</v>
      </c>
      <c r="V4" s="62">
        <v>98.08</v>
      </c>
      <c r="W4" s="62">
        <v>71.400000000000006</v>
      </c>
      <c r="X4" s="62">
        <v>3414.21</v>
      </c>
      <c r="Y4" s="62">
        <v>2.4300000000000002</v>
      </c>
      <c r="Z4" s="62">
        <v>8.2899999999999991</v>
      </c>
      <c r="AA4" s="62">
        <v>237.54</v>
      </c>
      <c r="AB4" s="62">
        <v>359.54</v>
      </c>
      <c r="AC4" s="62" t="s">
        <v>9344</v>
      </c>
      <c r="AD4" s="62" t="s">
        <v>9344</v>
      </c>
      <c r="AE4" s="62">
        <v>3.15</v>
      </c>
      <c r="AF4" s="62">
        <v>1123.71</v>
      </c>
      <c r="AG4" s="62">
        <v>4513.3</v>
      </c>
      <c r="AH4" s="62">
        <v>7.38</v>
      </c>
      <c r="AI4" s="62" t="s">
        <v>9344</v>
      </c>
      <c r="AJ4" s="62" t="s">
        <v>9344</v>
      </c>
      <c r="AK4" s="62">
        <v>592.28</v>
      </c>
      <c r="AL4" s="62">
        <v>16.14</v>
      </c>
      <c r="AM4" s="62">
        <v>17.98</v>
      </c>
      <c r="AN4" s="62" t="s">
        <v>9344</v>
      </c>
      <c r="AO4" s="62">
        <v>4.49</v>
      </c>
      <c r="AP4" s="62" t="s">
        <v>9344</v>
      </c>
      <c r="AQ4" s="62">
        <v>998.47</v>
      </c>
      <c r="AR4" s="62">
        <v>87.79</v>
      </c>
      <c r="AS4" s="62">
        <v>229.05</v>
      </c>
      <c r="AT4" s="62">
        <v>171.03</v>
      </c>
      <c r="AU4" s="62" t="s">
        <v>9344</v>
      </c>
      <c r="AV4" s="62">
        <v>1100.06</v>
      </c>
      <c r="AW4" s="62" t="s">
        <v>9344</v>
      </c>
      <c r="AX4" s="62">
        <v>12.53</v>
      </c>
      <c r="AY4" s="62">
        <v>1000.92</v>
      </c>
      <c r="AZ4" s="62">
        <v>152.07</v>
      </c>
      <c r="BA4" s="62">
        <v>940.72</v>
      </c>
      <c r="BB4" s="62" t="s">
        <v>9344</v>
      </c>
      <c r="BC4" s="62">
        <v>81.040000000000006</v>
      </c>
      <c r="BD4" s="62">
        <v>69.39</v>
      </c>
      <c r="BE4" s="62">
        <v>14.24</v>
      </c>
      <c r="BF4" s="62" t="s">
        <v>9344</v>
      </c>
      <c r="BG4" s="62" t="s">
        <v>9344</v>
      </c>
      <c r="BH4" s="62">
        <v>344.43</v>
      </c>
      <c r="BI4" s="62" t="s">
        <v>9344</v>
      </c>
      <c r="BJ4" s="62">
        <v>139.71</v>
      </c>
      <c r="BK4" s="62" t="s">
        <v>9344</v>
      </c>
      <c r="BL4" s="62">
        <v>5.15</v>
      </c>
      <c r="BM4" s="62" t="s">
        <v>9344</v>
      </c>
      <c r="BN4" s="62">
        <v>287.05</v>
      </c>
      <c r="BO4" s="62">
        <v>48.68</v>
      </c>
      <c r="BP4" s="62" t="s">
        <v>9344</v>
      </c>
      <c r="BQ4" s="62">
        <v>323.83999999999997</v>
      </c>
      <c r="BR4" s="62" t="s">
        <v>9344</v>
      </c>
      <c r="BS4" s="62">
        <v>54.85</v>
      </c>
      <c r="BT4" s="62">
        <v>20.76</v>
      </c>
      <c r="BU4" s="62">
        <v>294.39</v>
      </c>
      <c r="BV4" s="62">
        <v>0.86</v>
      </c>
      <c r="BW4" s="62">
        <v>1475.28</v>
      </c>
      <c r="BX4" s="62">
        <v>877.42</v>
      </c>
      <c r="BY4" s="62">
        <v>3.97</v>
      </c>
      <c r="BZ4" s="62">
        <v>254.05</v>
      </c>
      <c r="CA4" s="62" t="s">
        <v>9344</v>
      </c>
      <c r="CB4" s="62">
        <v>110.8</v>
      </c>
      <c r="CC4" s="62">
        <v>191.71</v>
      </c>
      <c r="CD4" s="62">
        <v>111.07</v>
      </c>
      <c r="CE4" s="62">
        <v>1425</v>
      </c>
      <c r="CF4" s="62">
        <v>398.85</v>
      </c>
      <c r="CG4" s="62" t="s">
        <v>9344</v>
      </c>
      <c r="CH4" s="62">
        <v>70.58</v>
      </c>
      <c r="CI4" s="62">
        <v>3.99</v>
      </c>
      <c r="CJ4" s="62">
        <v>15.15</v>
      </c>
      <c r="CK4" s="62" t="s">
        <v>9344</v>
      </c>
      <c r="CL4" s="62">
        <v>279.57</v>
      </c>
      <c r="CM4" s="62">
        <v>2192.44</v>
      </c>
      <c r="CN4" s="62">
        <v>1953.48</v>
      </c>
      <c r="CO4" s="62">
        <v>11.08</v>
      </c>
      <c r="CP4" s="62">
        <v>26.48</v>
      </c>
      <c r="CQ4" s="62" t="s">
        <v>9344</v>
      </c>
      <c r="CR4" s="62">
        <v>4.16</v>
      </c>
      <c r="CS4" s="62">
        <v>93.13</v>
      </c>
      <c r="CT4" s="62" t="s">
        <v>9344</v>
      </c>
      <c r="CU4" s="62">
        <v>4149.29</v>
      </c>
      <c r="CV4" s="62">
        <v>198.08</v>
      </c>
      <c r="CW4" s="62">
        <v>325.27999999999997</v>
      </c>
      <c r="CX4" s="62">
        <v>313.64</v>
      </c>
      <c r="CY4" s="62" t="s">
        <v>9344</v>
      </c>
      <c r="CZ4" s="62">
        <v>209.45</v>
      </c>
      <c r="DA4" s="62">
        <v>53.93</v>
      </c>
      <c r="DB4" s="62">
        <v>218.55</v>
      </c>
      <c r="DC4" s="62">
        <v>884.8</v>
      </c>
      <c r="DD4" s="62">
        <v>5.58</v>
      </c>
      <c r="DE4" s="62" t="s">
        <v>9344</v>
      </c>
      <c r="DF4" s="62">
        <v>61.85</v>
      </c>
      <c r="DG4" s="62">
        <v>415.54</v>
      </c>
      <c r="DH4" s="62">
        <v>1.1100000000000001</v>
      </c>
      <c r="DI4" s="62" t="s">
        <v>9344</v>
      </c>
      <c r="DJ4" s="62">
        <v>13.51</v>
      </c>
      <c r="DK4" s="62">
        <v>2579</v>
      </c>
      <c r="DL4" s="62" t="s">
        <v>9344</v>
      </c>
      <c r="DM4" s="62">
        <v>332.95</v>
      </c>
      <c r="DN4" s="62">
        <v>781.1</v>
      </c>
      <c r="DO4" s="62">
        <v>13.47</v>
      </c>
      <c r="DP4" s="62" t="s">
        <v>9344</v>
      </c>
    </row>
    <row r="5" spans="1:120" x14ac:dyDescent="0.3">
      <c r="A5" s="62">
        <v>41000</v>
      </c>
      <c r="B5" s="62">
        <v>65.349999999999994</v>
      </c>
      <c r="C5" s="62">
        <v>2.59</v>
      </c>
      <c r="D5" s="62" t="s">
        <v>9344</v>
      </c>
      <c r="E5" s="62">
        <v>940.09</v>
      </c>
      <c r="F5" s="62">
        <v>3.81</v>
      </c>
      <c r="G5" s="62">
        <v>3.29</v>
      </c>
      <c r="H5" s="62">
        <v>466.78</v>
      </c>
      <c r="I5" s="62" t="s">
        <v>9344</v>
      </c>
      <c r="J5" s="62">
        <v>91.49</v>
      </c>
      <c r="K5" s="62">
        <v>3220.44</v>
      </c>
      <c r="L5" s="62">
        <v>54.05</v>
      </c>
      <c r="M5" s="62">
        <v>65.31</v>
      </c>
      <c r="N5" s="62">
        <v>74.38</v>
      </c>
      <c r="O5" s="62">
        <v>0.66</v>
      </c>
      <c r="P5" s="62">
        <v>3.59</v>
      </c>
      <c r="Q5" s="62">
        <v>322.67</v>
      </c>
      <c r="R5" s="62">
        <v>45.56</v>
      </c>
      <c r="S5" s="62">
        <v>143.35</v>
      </c>
      <c r="T5" s="62">
        <v>90</v>
      </c>
      <c r="U5" s="62">
        <v>1390.15</v>
      </c>
      <c r="V5" s="62">
        <v>101.35</v>
      </c>
      <c r="W5" s="62">
        <v>75.38</v>
      </c>
      <c r="X5" s="62">
        <v>3339.45</v>
      </c>
      <c r="Y5" s="62">
        <v>2.4300000000000002</v>
      </c>
      <c r="Z5" s="62">
        <v>8.2899999999999991</v>
      </c>
      <c r="AA5" s="62">
        <v>239.56</v>
      </c>
      <c r="AB5" s="62">
        <v>377.78</v>
      </c>
      <c r="AC5" s="62" t="s">
        <v>9344</v>
      </c>
      <c r="AD5" s="62" t="s">
        <v>9344</v>
      </c>
      <c r="AE5" s="62">
        <v>3.15</v>
      </c>
      <c r="AF5" s="62">
        <v>1187.32</v>
      </c>
      <c r="AG5" s="62">
        <v>4513.3</v>
      </c>
      <c r="AH5" s="62">
        <v>7.38</v>
      </c>
      <c r="AI5" s="62" t="s">
        <v>9344</v>
      </c>
      <c r="AJ5" s="62" t="s">
        <v>9344</v>
      </c>
      <c r="AK5" s="62">
        <v>604.58000000000004</v>
      </c>
      <c r="AL5" s="62">
        <v>15.15</v>
      </c>
      <c r="AM5" s="62">
        <v>17.98</v>
      </c>
      <c r="AN5" s="62" t="s">
        <v>9344</v>
      </c>
      <c r="AO5" s="62">
        <v>5.62</v>
      </c>
      <c r="AP5" s="62" t="s">
        <v>9344</v>
      </c>
      <c r="AQ5" s="62">
        <v>1029.02</v>
      </c>
      <c r="AR5" s="62">
        <v>90.19</v>
      </c>
      <c r="AS5" s="62">
        <v>240.98</v>
      </c>
      <c r="AT5" s="62">
        <v>186.58</v>
      </c>
      <c r="AU5" s="62" t="s">
        <v>9344</v>
      </c>
      <c r="AV5" s="62">
        <v>1115.17</v>
      </c>
      <c r="AW5" s="62" t="s">
        <v>9344</v>
      </c>
      <c r="AX5" s="62">
        <v>8.5</v>
      </c>
      <c r="AY5" s="62">
        <v>1045.08</v>
      </c>
      <c r="AZ5" s="62">
        <v>153.55000000000001</v>
      </c>
      <c r="BA5" s="62">
        <v>952.61</v>
      </c>
      <c r="BB5" s="62" t="s">
        <v>9344</v>
      </c>
      <c r="BC5" s="62">
        <v>80.680000000000007</v>
      </c>
      <c r="BD5" s="62">
        <v>78.47</v>
      </c>
      <c r="BE5" s="62">
        <v>23.01</v>
      </c>
      <c r="BF5" s="62" t="s">
        <v>9344</v>
      </c>
      <c r="BG5" s="62" t="s">
        <v>9344</v>
      </c>
      <c r="BH5" s="62">
        <v>350.2</v>
      </c>
      <c r="BI5" s="62" t="s">
        <v>9344</v>
      </c>
      <c r="BJ5" s="62">
        <v>146.69</v>
      </c>
      <c r="BK5" s="62" t="s">
        <v>9344</v>
      </c>
      <c r="BL5" s="62">
        <v>6.87</v>
      </c>
      <c r="BM5" s="62" t="s">
        <v>9344</v>
      </c>
      <c r="BN5" s="62">
        <v>302.62</v>
      </c>
      <c r="BO5" s="62">
        <v>52.72</v>
      </c>
      <c r="BP5" s="62" t="s">
        <v>9344</v>
      </c>
      <c r="BQ5" s="62">
        <v>338.34</v>
      </c>
      <c r="BR5" s="62" t="s">
        <v>9344</v>
      </c>
      <c r="BS5" s="62">
        <v>57.59</v>
      </c>
      <c r="BT5" s="62">
        <v>18.88</v>
      </c>
      <c r="BU5" s="62">
        <v>294.39</v>
      </c>
      <c r="BV5" s="62">
        <v>0.86</v>
      </c>
      <c r="BW5" s="62">
        <v>1455.16</v>
      </c>
      <c r="BX5" s="62">
        <v>927.27</v>
      </c>
      <c r="BY5" s="62">
        <v>4.37</v>
      </c>
      <c r="BZ5" s="62">
        <v>252.85</v>
      </c>
      <c r="CA5" s="62" t="s">
        <v>9344</v>
      </c>
      <c r="CB5" s="62">
        <v>95.52</v>
      </c>
      <c r="CC5" s="62">
        <v>181.92</v>
      </c>
      <c r="CD5" s="62">
        <v>102.52</v>
      </c>
      <c r="CE5" s="62">
        <v>1560</v>
      </c>
      <c r="CF5" s="62">
        <v>387.61</v>
      </c>
      <c r="CG5" s="62" t="s">
        <v>9344</v>
      </c>
      <c r="CH5" s="62">
        <v>68.569999999999993</v>
      </c>
      <c r="CI5" s="62">
        <v>3.07</v>
      </c>
      <c r="CJ5" s="62">
        <v>25.98</v>
      </c>
      <c r="CK5" s="62" t="s">
        <v>9344</v>
      </c>
      <c r="CL5" s="62">
        <v>275.70999999999998</v>
      </c>
      <c r="CM5" s="62">
        <v>2215.52</v>
      </c>
      <c r="CN5" s="62">
        <v>2019.63</v>
      </c>
      <c r="CO5" s="62">
        <v>12.59</v>
      </c>
      <c r="CP5" s="62">
        <v>27.01</v>
      </c>
      <c r="CQ5" s="62" t="s">
        <v>9344</v>
      </c>
      <c r="CR5" s="62">
        <v>3.9</v>
      </c>
      <c r="CS5" s="62">
        <v>93.13</v>
      </c>
      <c r="CT5" s="62" t="s">
        <v>9344</v>
      </c>
      <c r="CU5" s="62">
        <v>4676.95</v>
      </c>
      <c r="CV5" s="62">
        <v>203.38</v>
      </c>
      <c r="CW5" s="62">
        <v>335.18</v>
      </c>
      <c r="CX5" s="62">
        <v>326.52</v>
      </c>
      <c r="CY5" s="62" t="s">
        <v>9344</v>
      </c>
      <c r="CZ5" s="62">
        <v>198.92</v>
      </c>
      <c r="DA5" s="62">
        <v>55.79</v>
      </c>
      <c r="DB5" s="62">
        <v>241.87</v>
      </c>
      <c r="DC5" s="62">
        <v>789.6</v>
      </c>
      <c r="DD5" s="62">
        <v>5.58</v>
      </c>
      <c r="DE5" s="62" t="s">
        <v>9344</v>
      </c>
      <c r="DF5" s="62">
        <v>59.89</v>
      </c>
      <c r="DG5" s="62">
        <v>444.84</v>
      </c>
      <c r="DH5" s="62">
        <v>1.1100000000000001</v>
      </c>
      <c r="DI5" s="62" t="s">
        <v>9344</v>
      </c>
      <c r="DJ5" s="62">
        <v>14.21</v>
      </c>
      <c r="DK5" s="62">
        <v>2588.96</v>
      </c>
      <c r="DL5" s="62" t="s">
        <v>9344</v>
      </c>
      <c r="DM5" s="62">
        <v>349.85</v>
      </c>
      <c r="DN5" s="62">
        <v>871.35</v>
      </c>
      <c r="DO5" s="62">
        <v>13.47</v>
      </c>
      <c r="DP5" s="62" t="s">
        <v>9344</v>
      </c>
    </row>
    <row r="6" spans="1:120" x14ac:dyDescent="0.3">
      <c r="A6" s="62">
        <v>41030</v>
      </c>
      <c r="B6" s="62">
        <v>67.459999999999994</v>
      </c>
      <c r="C6" s="62">
        <v>3.11</v>
      </c>
      <c r="D6" s="62" t="s">
        <v>9344</v>
      </c>
      <c r="E6" s="62">
        <v>967.57</v>
      </c>
      <c r="F6" s="62">
        <v>3.54</v>
      </c>
      <c r="G6" s="62">
        <v>3.76</v>
      </c>
      <c r="H6" s="62">
        <v>471.95</v>
      </c>
      <c r="I6" s="62" t="s">
        <v>9344</v>
      </c>
      <c r="J6" s="62">
        <v>90.68</v>
      </c>
      <c r="K6" s="62">
        <v>3352.7</v>
      </c>
      <c r="L6" s="62">
        <v>55.27</v>
      </c>
      <c r="M6" s="62">
        <v>67.66</v>
      </c>
      <c r="N6" s="62">
        <v>71.92</v>
      </c>
      <c r="O6" s="62">
        <v>0.66</v>
      </c>
      <c r="P6" s="62">
        <v>3.07</v>
      </c>
      <c r="Q6" s="62">
        <v>329.08</v>
      </c>
      <c r="R6" s="62">
        <v>50.99</v>
      </c>
      <c r="S6" s="62">
        <v>122.87</v>
      </c>
      <c r="T6" s="62">
        <v>96.53</v>
      </c>
      <c r="U6" s="62">
        <v>1359.34</v>
      </c>
      <c r="V6" s="62">
        <v>98.74</v>
      </c>
      <c r="W6" s="62">
        <v>81.93</v>
      </c>
      <c r="X6" s="62">
        <v>3483.08</v>
      </c>
      <c r="Y6" s="62">
        <v>2.21</v>
      </c>
      <c r="Z6" s="62">
        <v>6.22</v>
      </c>
      <c r="AA6" s="62">
        <v>237.54</v>
      </c>
      <c r="AB6" s="62">
        <v>396.02</v>
      </c>
      <c r="AC6" s="62" t="s">
        <v>9344</v>
      </c>
      <c r="AD6" s="62" t="s">
        <v>9344</v>
      </c>
      <c r="AE6" s="62">
        <v>3.15</v>
      </c>
      <c r="AF6" s="62">
        <v>1171.42</v>
      </c>
      <c r="AG6" s="62">
        <v>4343.03</v>
      </c>
      <c r="AH6" s="62">
        <v>7.38</v>
      </c>
      <c r="AI6" s="62" t="s">
        <v>9344</v>
      </c>
      <c r="AJ6" s="62" t="s">
        <v>9344</v>
      </c>
      <c r="AK6" s="62">
        <v>638.42999999999995</v>
      </c>
      <c r="AL6" s="62">
        <v>14.28</v>
      </c>
      <c r="AM6" s="62">
        <v>11.38</v>
      </c>
      <c r="AN6" s="62" t="s">
        <v>9344</v>
      </c>
      <c r="AO6" s="62">
        <v>5.62</v>
      </c>
      <c r="AP6" s="62" t="s">
        <v>9344</v>
      </c>
      <c r="AQ6" s="62">
        <v>1044</v>
      </c>
      <c r="AR6" s="62">
        <v>93.82</v>
      </c>
      <c r="AS6" s="62">
        <v>235.61</v>
      </c>
      <c r="AT6" s="62">
        <v>229.34</v>
      </c>
      <c r="AU6" s="62" t="s">
        <v>9344</v>
      </c>
      <c r="AV6" s="62">
        <v>1108.6099999999999</v>
      </c>
      <c r="AW6" s="62" t="s">
        <v>9344</v>
      </c>
      <c r="AX6" s="62">
        <v>9.4</v>
      </c>
      <c r="AY6" s="62">
        <v>1059.8</v>
      </c>
      <c r="AZ6" s="62">
        <v>155.03</v>
      </c>
      <c r="BA6" s="62">
        <v>975.38</v>
      </c>
      <c r="BB6" s="62" t="s">
        <v>9344</v>
      </c>
      <c r="BC6" s="62">
        <v>82.63</v>
      </c>
      <c r="BD6" s="62">
        <v>82.6</v>
      </c>
      <c r="BE6" s="62">
        <v>29.58</v>
      </c>
      <c r="BF6" s="62" t="s">
        <v>9344</v>
      </c>
      <c r="BG6" s="62" t="s">
        <v>9344</v>
      </c>
      <c r="BH6" s="62">
        <v>325.7</v>
      </c>
      <c r="BI6" s="62" t="s">
        <v>9344</v>
      </c>
      <c r="BJ6" s="62">
        <v>146.69</v>
      </c>
      <c r="BK6" s="62" t="s">
        <v>9344</v>
      </c>
      <c r="BL6" s="62">
        <v>6.18</v>
      </c>
      <c r="BM6" s="62" t="s">
        <v>9344</v>
      </c>
      <c r="BN6" s="62">
        <v>306.55</v>
      </c>
      <c r="BO6" s="62">
        <v>53.29</v>
      </c>
      <c r="BP6" s="62" t="s">
        <v>9344</v>
      </c>
      <c r="BQ6" s="62">
        <v>335.93</v>
      </c>
      <c r="BR6" s="62" t="s">
        <v>9344</v>
      </c>
      <c r="BS6" s="62">
        <v>52.11</v>
      </c>
      <c r="BT6" s="62">
        <v>20.010000000000002</v>
      </c>
      <c r="BU6" s="62">
        <v>279.29000000000002</v>
      </c>
      <c r="BV6" s="62">
        <v>0.86</v>
      </c>
      <c r="BW6" s="62">
        <v>1542.34</v>
      </c>
      <c r="BX6" s="62">
        <v>977.13</v>
      </c>
      <c r="BY6" s="62">
        <v>4.37</v>
      </c>
      <c r="BZ6" s="62">
        <v>257.25</v>
      </c>
      <c r="CA6" s="62" t="s">
        <v>9344</v>
      </c>
      <c r="CB6" s="62">
        <v>97.43</v>
      </c>
      <c r="CC6" s="62">
        <v>197.6</v>
      </c>
      <c r="CD6" s="62">
        <v>108.22</v>
      </c>
      <c r="CE6" s="62">
        <v>1620</v>
      </c>
      <c r="CF6" s="62">
        <v>383.87</v>
      </c>
      <c r="CG6" s="62" t="s">
        <v>9344</v>
      </c>
      <c r="CH6" s="62">
        <v>67.739999999999995</v>
      </c>
      <c r="CI6" s="62">
        <v>4.91</v>
      </c>
      <c r="CJ6" s="62">
        <v>25.26</v>
      </c>
      <c r="CK6" s="62" t="s">
        <v>9344</v>
      </c>
      <c r="CL6" s="62">
        <v>287.27999999999997</v>
      </c>
      <c r="CM6" s="62">
        <v>2227.06</v>
      </c>
      <c r="CN6" s="62">
        <v>2151.94</v>
      </c>
      <c r="CO6" s="62">
        <v>13.18</v>
      </c>
      <c r="CP6" s="62">
        <v>25.82</v>
      </c>
      <c r="CQ6" s="62" t="s">
        <v>9344</v>
      </c>
      <c r="CR6" s="62">
        <v>3.51</v>
      </c>
      <c r="CS6" s="62">
        <v>93.13</v>
      </c>
      <c r="CT6" s="62" t="s">
        <v>9344</v>
      </c>
      <c r="CU6" s="62">
        <v>5022.8500000000004</v>
      </c>
      <c r="CV6" s="62">
        <v>205.15</v>
      </c>
      <c r="CW6" s="62">
        <v>346.46</v>
      </c>
      <c r="CX6" s="62">
        <v>371.64</v>
      </c>
      <c r="CY6" s="62" t="s">
        <v>9344</v>
      </c>
      <c r="CZ6" s="62">
        <v>188.39</v>
      </c>
      <c r="DA6" s="62">
        <v>56.02</v>
      </c>
      <c r="DB6" s="62">
        <v>266.05</v>
      </c>
      <c r="DC6" s="62">
        <v>800.8</v>
      </c>
      <c r="DD6" s="62">
        <v>5.0199999999999996</v>
      </c>
      <c r="DE6" s="62" t="s">
        <v>9344</v>
      </c>
      <c r="DF6" s="62">
        <v>59.89</v>
      </c>
      <c r="DG6" s="62">
        <v>439.51</v>
      </c>
      <c r="DH6" s="62">
        <v>1.1100000000000001</v>
      </c>
      <c r="DI6" s="62" t="s">
        <v>9344</v>
      </c>
      <c r="DJ6" s="62">
        <v>14.96</v>
      </c>
      <c r="DK6" s="62">
        <v>2658.66</v>
      </c>
      <c r="DL6" s="62" t="s">
        <v>9344</v>
      </c>
      <c r="DM6" s="62">
        <v>361.56</v>
      </c>
      <c r="DN6" s="62">
        <v>840.23</v>
      </c>
      <c r="DO6" s="62">
        <v>14.82</v>
      </c>
      <c r="DP6" s="62" t="s">
        <v>9344</v>
      </c>
    </row>
    <row r="7" spans="1:120" x14ac:dyDescent="0.3">
      <c r="A7" s="62">
        <v>41061</v>
      </c>
      <c r="B7" s="62">
        <v>66.650000000000006</v>
      </c>
      <c r="C7" s="62">
        <v>1.56</v>
      </c>
      <c r="D7" s="62" t="s">
        <v>9344</v>
      </c>
      <c r="E7" s="62">
        <v>945.75</v>
      </c>
      <c r="F7" s="62">
        <v>2.81</v>
      </c>
      <c r="G7" s="62">
        <v>2.7</v>
      </c>
      <c r="H7" s="62">
        <v>483.12</v>
      </c>
      <c r="I7" s="62" t="s">
        <v>9344</v>
      </c>
      <c r="J7" s="62">
        <v>93.1</v>
      </c>
      <c r="K7" s="62">
        <v>3379.15</v>
      </c>
      <c r="L7" s="62">
        <v>54.46</v>
      </c>
      <c r="M7" s="62">
        <v>65.31</v>
      </c>
      <c r="N7" s="62">
        <v>72.930000000000007</v>
      </c>
      <c r="O7" s="62">
        <v>0.33</v>
      </c>
      <c r="P7" s="62">
        <v>5.78</v>
      </c>
      <c r="Q7" s="62">
        <v>384.64</v>
      </c>
      <c r="R7" s="62">
        <v>54.75</v>
      </c>
      <c r="S7" s="62">
        <v>103.08</v>
      </c>
      <c r="T7" s="62">
        <v>99.38</v>
      </c>
      <c r="U7" s="62">
        <v>1263.07</v>
      </c>
      <c r="V7" s="62">
        <v>102.99</v>
      </c>
      <c r="W7" s="62">
        <v>92.52</v>
      </c>
      <c r="X7" s="62">
        <v>3454.36</v>
      </c>
      <c r="Y7" s="62">
        <v>2.21</v>
      </c>
      <c r="Z7" s="62">
        <v>6.22</v>
      </c>
      <c r="AA7" s="62">
        <v>256.74</v>
      </c>
      <c r="AB7" s="62">
        <v>391.33</v>
      </c>
      <c r="AC7" s="62" t="s">
        <v>9344</v>
      </c>
      <c r="AD7" s="62" t="s">
        <v>9344</v>
      </c>
      <c r="AE7" s="62">
        <v>2.99</v>
      </c>
      <c r="AF7" s="62">
        <v>1081.31</v>
      </c>
      <c r="AG7" s="62">
        <v>4110.8599999999997</v>
      </c>
      <c r="AH7" s="62">
        <v>7.38</v>
      </c>
      <c r="AI7" s="62" t="s">
        <v>9344</v>
      </c>
      <c r="AJ7" s="62" t="s">
        <v>9344</v>
      </c>
      <c r="AK7" s="62">
        <v>586.12</v>
      </c>
      <c r="AL7" s="62">
        <v>14.78</v>
      </c>
      <c r="AM7" s="62">
        <v>11.38</v>
      </c>
      <c r="AN7" s="62" t="s">
        <v>9344</v>
      </c>
      <c r="AO7" s="62">
        <v>5.62</v>
      </c>
      <c r="AP7" s="62" t="s">
        <v>9344</v>
      </c>
      <c r="AQ7" s="62">
        <v>1004.04</v>
      </c>
      <c r="AR7" s="62">
        <v>114.43</v>
      </c>
      <c r="AS7" s="62">
        <v>247.54</v>
      </c>
      <c r="AT7" s="62">
        <v>190.46</v>
      </c>
      <c r="AU7" s="62" t="s">
        <v>9344</v>
      </c>
      <c r="AV7" s="62">
        <v>1166.96</v>
      </c>
      <c r="AW7" s="62" t="s">
        <v>9344</v>
      </c>
      <c r="AX7" s="62">
        <v>8.9499999999999993</v>
      </c>
      <c r="AY7" s="62">
        <v>1030.3599999999999</v>
      </c>
      <c r="AZ7" s="62">
        <v>144.69</v>
      </c>
      <c r="BA7" s="62">
        <v>976.37</v>
      </c>
      <c r="BB7" s="62" t="s">
        <v>9344</v>
      </c>
      <c r="BC7" s="62">
        <v>77.34</v>
      </c>
      <c r="BD7" s="62">
        <v>76.41</v>
      </c>
      <c r="BE7" s="62">
        <v>26.11</v>
      </c>
      <c r="BF7" s="62" t="s">
        <v>9344</v>
      </c>
      <c r="BG7" s="62" t="s">
        <v>9344</v>
      </c>
      <c r="BH7" s="62">
        <v>299.76</v>
      </c>
      <c r="BI7" s="62" t="s">
        <v>9344</v>
      </c>
      <c r="BJ7" s="62">
        <v>143.19999999999999</v>
      </c>
      <c r="BK7" s="62" t="s">
        <v>9344</v>
      </c>
      <c r="BL7" s="62">
        <v>6.83</v>
      </c>
      <c r="BM7" s="62" t="s">
        <v>9344</v>
      </c>
      <c r="BN7" s="62">
        <v>290.66000000000003</v>
      </c>
      <c r="BO7" s="62">
        <v>43.21</v>
      </c>
      <c r="BP7" s="62" t="s">
        <v>9344</v>
      </c>
      <c r="BQ7" s="62">
        <v>309.58</v>
      </c>
      <c r="BR7" s="62" t="s">
        <v>9344</v>
      </c>
      <c r="BS7" s="62">
        <v>52.11</v>
      </c>
      <c r="BT7" s="62">
        <v>19.25</v>
      </c>
      <c r="BU7" s="62">
        <v>234</v>
      </c>
      <c r="BV7" s="62">
        <v>0.86</v>
      </c>
      <c r="BW7" s="62">
        <v>1480.64</v>
      </c>
      <c r="BX7" s="62">
        <v>947.22</v>
      </c>
      <c r="BY7" s="62">
        <v>3.97</v>
      </c>
      <c r="BZ7" s="62">
        <v>253.47</v>
      </c>
      <c r="CA7" s="62" t="s">
        <v>9344</v>
      </c>
      <c r="CB7" s="62">
        <v>95.52</v>
      </c>
      <c r="CC7" s="62">
        <v>208.36</v>
      </c>
      <c r="CD7" s="62">
        <v>111.07</v>
      </c>
      <c r="CE7" s="62">
        <v>1680</v>
      </c>
      <c r="CF7" s="62">
        <v>363.27</v>
      </c>
      <c r="CG7" s="62" t="s">
        <v>9344</v>
      </c>
      <c r="CH7" s="62">
        <v>69.77</v>
      </c>
      <c r="CI7" s="62">
        <v>4.5999999999999996</v>
      </c>
      <c r="CJ7" s="62">
        <v>24.25</v>
      </c>
      <c r="CK7" s="62" t="s">
        <v>9344</v>
      </c>
      <c r="CL7" s="62">
        <v>281.5</v>
      </c>
      <c r="CM7" s="62">
        <v>2036.66</v>
      </c>
      <c r="CN7" s="62">
        <v>1918.46</v>
      </c>
      <c r="CO7" s="62">
        <v>17.03</v>
      </c>
      <c r="CP7" s="62">
        <v>23.71</v>
      </c>
      <c r="CQ7" s="62" t="s">
        <v>9344</v>
      </c>
      <c r="CR7" s="62">
        <v>3.51</v>
      </c>
      <c r="CS7" s="62">
        <v>91.82</v>
      </c>
      <c r="CT7" s="62" t="s">
        <v>9344</v>
      </c>
      <c r="CU7" s="62">
        <v>4811.2</v>
      </c>
      <c r="CV7" s="62">
        <v>185.7</v>
      </c>
      <c r="CW7" s="62">
        <v>358.99</v>
      </c>
      <c r="CX7" s="62">
        <v>354.45</v>
      </c>
      <c r="CY7" s="62" t="s">
        <v>9344</v>
      </c>
      <c r="CZ7" s="62">
        <v>188.39</v>
      </c>
      <c r="DA7" s="62">
        <v>57.29</v>
      </c>
      <c r="DB7" s="62">
        <v>284.19</v>
      </c>
      <c r="DC7" s="62">
        <v>730.8</v>
      </c>
      <c r="DD7" s="62">
        <v>5.0199999999999996</v>
      </c>
      <c r="DE7" s="62" t="s">
        <v>9344</v>
      </c>
      <c r="DF7" s="62">
        <v>56.94</v>
      </c>
      <c r="DG7" s="62">
        <v>428.86</v>
      </c>
      <c r="DH7" s="62">
        <v>1.1100000000000001</v>
      </c>
      <c r="DI7" s="62" t="s">
        <v>9344</v>
      </c>
      <c r="DJ7" s="62">
        <v>15.84</v>
      </c>
      <c r="DK7" s="62">
        <v>2618.83</v>
      </c>
      <c r="DL7" s="62" t="s">
        <v>9344</v>
      </c>
      <c r="DM7" s="62">
        <v>343.99</v>
      </c>
      <c r="DN7" s="62">
        <v>784.21</v>
      </c>
      <c r="DO7" s="62">
        <v>12.8</v>
      </c>
      <c r="DP7" s="62" t="s">
        <v>9344</v>
      </c>
    </row>
    <row r="8" spans="1:120" x14ac:dyDescent="0.3">
      <c r="A8" s="62">
        <v>41091</v>
      </c>
      <c r="B8" s="62">
        <v>74.5</v>
      </c>
      <c r="C8" s="62">
        <v>1.56</v>
      </c>
      <c r="D8" s="62" t="s">
        <v>9344</v>
      </c>
      <c r="E8" s="62">
        <v>967.74</v>
      </c>
      <c r="F8" s="62">
        <v>2.54</v>
      </c>
      <c r="G8" s="62">
        <v>3.05</v>
      </c>
      <c r="H8" s="62">
        <v>488.46</v>
      </c>
      <c r="I8" s="62" t="s">
        <v>9344</v>
      </c>
      <c r="J8" s="62">
        <v>92.29</v>
      </c>
      <c r="K8" s="62">
        <v>3240.28</v>
      </c>
      <c r="L8" s="62">
        <v>57.3</v>
      </c>
      <c r="M8" s="62">
        <v>66.569999999999993</v>
      </c>
      <c r="N8" s="62">
        <v>73.62</v>
      </c>
      <c r="O8" s="62">
        <v>0.33</v>
      </c>
      <c r="P8" s="62">
        <v>5.78</v>
      </c>
      <c r="Q8" s="62">
        <v>369.68</v>
      </c>
      <c r="R8" s="62">
        <v>59.04</v>
      </c>
      <c r="S8" s="62">
        <v>108.54</v>
      </c>
      <c r="T8" s="62">
        <v>96.69</v>
      </c>
      <c r="U8" s="62">
        <v>1209.1600000000001</v>
      </c>
      <c r="V8" s="62">
        <v>102.99</v>
      </c>
      <c r="W8" s="62">
        <v>89.67</v>
      </c>
      <c r="X8" s="62">
        <v>3485.55</v>
      </c>
      <c r="Y8" s="62">
        <v>2.21</v>
      </c>
      <c r="Z8" s="62">
        <v>2.0699999999999998</v>
      </c>
      <c r="AA8" s="62">
        <v>271.91000000000003</v>
      </c>
      <c r="AB8" s="62">
        <v>396.54</v>
      </c>
      <c r="AC8" s="62" t="s">
        <v>9344</v>
      </c>
      <c r="AD8" s="62" t="s">
        <v>9344</v>
      </c>
      <c r="AE8" s="62">
        <v>2.99</v>
      </c>
      <c r="AF8" s="62">
        <v>1049.5</v>
      </c>
      <c r="AG8" s="62">
        <v>4138.17</v>
      </c>
      <c r="AH8" s="62">
        <v>7.38</v>
      </c>
      <c r="AI8" s="62" t="s">
        <v>9344</v>
      </c>
      <c r="AJ8" s="62" t="s">
        <v>9344</v>
      </c>
      <c r="AK8" s="62">
        <v>589.20000000000005</v>
      </c>
      <c r="AL8" s="62">
        <v>12.99</v>
      </c>
      <c r="AM8" s="62">
        <v>14.98</v>
      </c>
      <c r="AN8" s="62" t="s">
        <v>9344</v>
      </c>
      <c r="AO8" s="62">
        <v>5.62</v>
      </c>
      <c r="AP8" s="62" t="s">
        <v>9344</v>
      </c>
      <c r="AQ8" s="62">
        <v>1009.99</v>
      </c>
      <c r="AR8" s="62">
        <v>114.43</v>
      </c>
      <c r="AS8" s="62">
        <v>242.18</v>
      </c>
      <c r="AT8" s="62">
        <v>202.13</v>
      </c>
      <c r="AU8" s="62" t="s">
        <v>9344</v>
      </c>
      <c r="AV8" s="62">
        <v>1186.01</v>
      </c>
      <c r="AW8" s="62" t="s">
        <v>9344</v>
      </c>
      <c r="AX8" s="62">
        <v>9.84</v>
      </c>
      <c r="AY8" s="62">
        <v>1043.04</v>
      </c>
      <c r="AZ8" s="62">
        <v>143.21</v>
      </c>
      <c r="BA8" s="62">
        <v>955.58</v>
      </c>
      <c r="BB8" s="62" t="s">
        <v>9344</v>
      </c>
      <c r="BC8" s="62">
        <v>78.05</v>
      </c>
      <c r="BD8" s="62">
        <v>78.06</v>
      </c>
      <c r="BE8" s="62">
        <v>28.48</v>
      </c>
      <c r="BF8" s="62" t="s">
        <v>9344</v>
      </c>
      <c r="BG8" s="62" t="s">
        <v>9344</v>
      </c>
      <c r="BH8" s="62">
        <v>305.52</v>
      </c>
      <c r="BI8" s="62" t="s">
        <v>9344</v>
      </c>
      <c r="BJ8" s="62">
        <v>157.16999999999999</v>
      </c>
      <c r="BK8" s="62" t="s">
        <v>9344</v>
      </c>
      <c r="BL8" s="62">
        <v>6.47</v>
      </c>
      <c r="BM8" s="62" t="s">
        <v>9344</v>
      </c>
      <c r="BN8" s="62">
        <v>326.01</v>
      </c>
      <c r="BO8" s="62">
        <v>46.38</v>
      </c>
      <c r="BP8" s="62" t="s">
        <v>9344</v>
      </c>
      <c r="BQ8" s="62">
        <v>345.11</v>
      </c>
      <c r="BR8" s="62" t="s">
        <v>9344</v>
      </c>
      <c r="BS8" s="62">
        <v>50.78</v>
      </c>
      <c r="BT8" s="62">
        <v>19.63</v>
      </c>
      <c r="BU8" s="62">
        <v>226.45</v>
      </c>
      <c r="BV8" s="62">
        <v>0.86</v>
      </c>
      <c r="BW8" s="62">
        <v>1492.71</v>
      </c>
      <c r="BX8" s="62">
        <v>937.25</v>
      </c>
      <c r="BY8" s="62">
        <v>1.19</v>
      </c>
      <c r="BZ8" s="62">
        <v>257.88</v>
      </c>
      <c r="CA8" s="62" t="s">
        <v>9344</v>
      </c>
      <c r="CB8" s="62">
        <v>89.79</v>
      </c>
      <c r="CC8" s="62">
        <v>204.44</v>
      </c>
      <c r="CD8" s="62">
        <v>91.13</v>
      </c>
      <c r="CE8" s="62">
        <v>1745</v>
      </c>
      <c r="CF8" s="62">
        <v>360.46</v>
      </c>
      <c r="CG8" s="62" t="s">
        <v>9344</v>
      </c>
      <c r="CH8" s="62">
        <v>67.95</v>
      </c>
      <c r="CI8" s="62">
        <v>4.91</v>
      </c>
      <c r="CJ8" s="62">
        <v>23.09</v>
      </c>
      <c r="CK8" s="62" t="s">
        <v>9344</v>
      </c>
      <c r="CL8" s="62">
        <v>273.77999999999997</v>
      </c>
      <c r="CM8" s="62">
        <v>2007.81</v>
      </c>
      <c r="CN8" s="62">
        <v>1887.33</v>
      </c>
      <c r="CO8" s="62">
        <v>18.170000000000002</v>
      </c>
      <c r="CP8" s="62">
        <v>26.35</v>
      </c>
      <c r="CQ8" s="62" t="s">
        <v>9344</v>
      </c>
      <c r="CR8" s="62">
        <v>3.38</v>
      </c>
      <c r="CS8" s="62">
        <v>80.02</v>
      </c>
      <c r="CT8" s="62" t="s">
        <v>9344</v>
      </c>
      <c r="CU8" s="62">
        <v>4549.0200000000004</v>
      </c>
      <c r="CV8" s="62">
        <v>186.58</v>
      </c>
      <c r="CW8" s="62">
        <v>362.7</v>
      </c>
      <c r="CX8" s="62">
        <v>352.3</v>
      </c>
      <c r="CY8" s="62" t="s">
        <v>9344</v>
      </c>
      <c r="CZ8" s="62">
        <v>189.56</v>
      </c>
      <c r="DA8" s="62">
        <v>57.52</v>
      </c>
      <c r="DB8" s="62">
        <v>290.24</v>
      </c>
      <c r="DC8" s="62">
        <v>666.4</v>
      </c>
      <c r="DD8" s="62">
        <v>4.91</v>
      </c>
      <c r="DE8" s="62" t="s">
        <v>9344</v>
      </c>
      <c r="DF8" s="62">
        <v>54</v>
      </c>
      <c r="DG8" s="62">
        <v>427.85</v>
      </c>
      <c r="DH8" s="62">
        <v>1.1100000000000001</v>
      </c>
      <c r="DI8" s="62" t="s">
        <v>9344</v>
      </c>
      <c r="DJ8" s="62">
        <v>14.43</v>
      </c>
      <c r="DK8" s="62">
        <v>2658.66</v>
      </c>
      <c r="DL8" s="62" t="s">
        <v>9344</v>
      </c>
      <c r="DM8" s="62">
        <v>354.95</v>
      </c>
      <c r="DN8" s="62">
        <v>793.55</v>
      </c>
      <c r="DO8" s="62">
        <v>12.13</v>
      </c>
      <c r="DP8" s="62" t="s">
        <v>9344</v>
      </c>
    </row>
    <row r="9" spans="1:120" x14ac:dyDescent="0.3">
      <c r="A9" s="62">
        <v>41122</v>
      </c>
      <c r="B9" s="62">
        <v>77.010000000000005</v>
      </c>
      <c r="C9" s="62">
        <v>1.56</v>
      </c>
      <c r="D9" s="62" t="s">
        <v>9344</v>
      </c>
      <c r="E9" s="62">
        <v>989.74</v>
      </c>
      <c r="F9" s="62">
        <v>2.54</v>
      </c>
      <c r="G9" s="62">
        <v>2.71</v>
      </c>
      <c r="H9" s="62">
        <v>491.27</v>
      </c>
      <c r="I9" s="62" t="s">
        <v>9344</v>
      </c>
      <c r="J9" s="62">
        <v>92.29</v>
      </c>
      <c r="K9" s="62">
        <v>3306.41</v>
      </c>
      <c r="L9" s="62">
        <v>57.71</v>
      </c>
      <c r="M9" s="62">
        <v>62.7</v>
      </c>
      <c r="N9" s="62">
        <v>71.19</v>
      </c>
      <c r="O9" s="62">
        <v>0.33</v>
      </c>
      <c r="P9" s="62">
        <v>6.75</v>
      </c>
      <c r="Q9" s="62">
        <v>378.23</v>
      </c>
      <c r="R9" s="62">
        <v>54.21</v>
      </c>
      <c r="S9" s="62">
        <v>109.22</v>
      </c>
      <c r="T9" s="62">
        <v>96.69</v>
      </c>
      <c r="U9" s="62">
        <v>1186.05</v>
      </c>
      <c r="V9" s="62">
        <v>103.64</v>
      </c>
      <c r="W9" s="62">
        <v>99.63</v>
      </c>
      <c r="X9" s="62">
        <v>3578.98</v>
      </c>
      <c r="Y9" s="62">
        <v>2.21</v>
      </c>
      <c r="Z9" s="62">
        <v>2.0699999999999998</v>
      </c>
      <c r="AA9" s="62">
        <v>299.2</v>
      </c>
      <c r="AB9" s="62">
        <v>398.62</v>
      </c>
      <c r="AC9" s="62" t="s">
        <v>9344</v>
      </c>
      <c r="AD9" s="62" t="s">
        <v>9344</v>
      </c>
      <c r="AE9" s="62">
        <v>2.99</v>
      </c>
      <c r="AF9" s="62">
        <v>1001.8</v>
      </c>
      <c r="AG9" s="62">
        <v>4138.17</v>
      </c>
      <c r="AH9" s="62">
        <v>7.38</v>
      </c>
      <c r="AI9" s="62" t="s">
        <v>9344</v>
      </c>
      <c r="AJ9" s="62" t="s">
        <v>9344</v>
      </c>
      <c r="AK9" s="62">
        <v>592.28</v>
      </c>
      <c r="AL9" s="62">
        <v>15.45</v>
      </c>
      <c r="AM9" s="62">
        <v>26.96</v>
      </c>
      <c r="AN9" s="62" t="s">
        <v>9344</v>
      </c>
      <c r="AO9" s="62">
        <v>5.17</v>
      </c>
      <c r="AP9" s="62" t="s">
        <v>9344</v>
      </c>
      <c r="AQ9" s="62">
        <v>1015.07</v>
      </c>
      <c r="AR9" s="62">
        <v>139.91999999999999</v>
      </c>
      <c r="AS9" s="62">
        <v>248.14</v>
      </c>
      <c r="AT9" s="62">
        <v>206.01</v>
      </c>
      <c r="AU9" s="62" t="s">
        <v>9344</v>
      </c>
      <c r="AV9" s="62">
        <v>1226.9100000000001</v>
      </c>
      <c r="AW9" s="62" t="s">
        <v>9344</v>
      </c>
      <c r="AX9" s="62">
        <v>8.9499999999999993</v>
      </c>
      <c r="AY9" s="62">
        <v>1067.75</v>
      </c>
      <c r="AZ9" s="62">
        <v>147.63999999999999</v>
      </c>
      <c r="BA9" s="62">
        <v>923.89</v>
      </c>
      <c r="BB9" s="62" t="s">
        <v>9344</v>
      </c>
      <c r="BC9" s="62">
        <v>74.790000000000006</v>
      </c>
      <c r="BD9" s="62">
        <v>80.540000000000006</v>
      </c>
      <c r="BE9" s="62">
        <v>29.67</v>
      </c>
      <c r="BF9" s="62" t="s">
        <v>9344</v>
      </c>
      <c r="BG9" s="62" t="s">
        <v>9344</v>
      </c>
      <c r="BH9" s="62">
        <v>442.66</v>
      </c>
      <c r="BI9" s="62" t="s">
        <v>9344</v>
      </c>
      <c r="BJ9" s="62">
        <v>150.19</v>
      </c>
      <c r="BK9" s="62" t="s">
        <v>9344</v>
      </c>
      <c r="BL9" s="62">
        <v>5.75</v>
      </c>
      <c r="BM9" s="62" t="s">
        <v>9344</v>
      </c>
      <c r="BN9" s="62">
        <v>322.08999999999997</v>
      </c>
      <c r="BO9" s="62">
        <v>46.09</v>
      </c>
      <c r="BP9" s="62" t="s">
        <v>9344</v>
      </c>
      <c r="BQ9" s="62">
        <v>291.82</v>
      </c>
      <c r="BR9" s="62" t="s">
        <v>9344</v>
      </c>
      <c r="BS9" s="62">
        <v>52.15</v>
      </c>
      <c r="BT9" s="62">
        <v>21.52</v>
      </c>
      <c r="BU9" s="62">
        <v>234</v>
      </c>
      <c r="BV9" s="62">
        <v>0.86</v>
      </c>
      <c r="BW9" s="62">
        <v>1518.19</v>
      </c>
      <c r="BX9" s="62">
        <v>987.1</v>
      </c>
      <c r="BY9" s="62">
        <v>9.93</v>
      </c>
      <c r="BZ9" s="62">
        <v>254.57</v>
      </c>
      <c r="CA9" s="62" t="s">
        <v>9344</v>
      </c>
      <c r="CB9" s="62">
        <v>82.15</v>
      </c>
      <c r="CC9" s="62">
        <v>207.41</v>
      </c>
      <c r="CD9" s="62">
        <v>113.92</v>
      </c>
      <c r="CE9" s="62">
        <v>1825</v>
      </c>
      <c r="CF9" s="62">
        <v>355.78</v>
      </c>
      <c r="CG9" s="62" t="s">
        <v>9344</v>
      </c>
      <c r="CH9" s="62">
        <v>70.39</v>
      </c>
      <c r="CI9" s="62">
        <v>4.91</v>
      </c>
      <c r="CJ9" s="62">
        <v>23.09</v>
      </c>
      <c r="CK9" s="62" t="s">
        <v>9344</v>
      </c>
      <c r="CL9" s="62">
        <v>283.42</v>
      </c>
      <c r="CM9" s="62">
        <v>2030.89</v>
      </c>
      <c r="CN9" s="62">
        <v>1918.46</v>
      </c>
      <c r="CO9" s="62">
        <v>35.6</v>
      </c>
      <c r="CP9" s="62">
        <v>27.92</v>
      </c>
      <c r="CQ9" s="62" t="s">
        <v>9344</v>
      </c>
      <c r="CR9" s="62">
        <v>3.51</v>
      </c>
      <c r="CS9" s="62">
        <v>81.33</v>
      </c>
      <c r="CT9" s="62" t="s">
        <v>9344</v>
      </c>
      <c r="CU9" s="62">
        <v>4929.75</v>
      </c>
      <c r="CV9" s="62">
        <v>189.23</v>
      </c>
      <c r="CW9" s="62">
        <v>377.55</v>
      </c>
      <c r="CX9" s="62">
        <v>414.6</v>
      </c>
      <c r="CY9" s="62" t="s">
        <v>9344</v>
      </c>
      <c r="CZ9" s="62">
        <v>198.92</v>
      </c>
      <c r="DA9" s="62">
        <v>62.9</v>
      </c>
      <c r="DB9" s="62">
        <v>278.14999999999998</v>
      </c>
      <c r="DC9" s="62">
        <v>644</v>
      </c>
      <c r="DD9" s="62">
        <v>5.0199999999999996</v>
      </c>
      <c r="DE9" s="62" t="s">
        <v>9344</v>
      </c>
      <c r="DF9" s="62">
        <v>54.98</v>
      </c>
      <c r="DG9" s="62">
        <v>462.84</v>
      </c>
      <c r="DH9" s="62">
        <v>1.1100000000000001</v>
      </c>
      <c r="DI9" s="62" t="s">
        <v>9344</v>
      </c>
      <c r="DJ9" s="62">
        <v>22.57</v>
      </c>
      <c r="DK9" s="62">
        <v>2788.11</v>
      </c>
      <c r="DL9" s="62" t="s">
        <v>9344</v>
      </c>
      <c r="DM9" s="62">
        <v>363.75</v>
      </c>
      <c r="DN9" s="62">
        <v>821.56</v>
      </c>
      <c r="DO9" s="62">
        <v>9.43</v>
      </c>
      <c r="DP9" s="62" t="s">
        <v>9344</v>
      </c>
    </row>
    <row r="10" spans="1:120" x14ac:dyDescent="0.3">
      <c r="A10" s="62">
        <v>41153</v>
      </c>
      <c r="B10" s="62">
        <v>87.54</v>
      </c>
      <c r="C10" s="62">
        <v>1.56</v>
      </c>
      <c r="D10" s="62" t="s">
        <v>9344</v>
      </c>
      <c r="E10" s="62">
        <v>1187.68</v>
      </c>
      <c r="F10" s="62">
        <v>2.27</v>
      </c>
      <c r="G10" s="62">
        <v>4</v>
      </c>
      <c r="H10" s="62">
        <v>496.88</v>
      </c>
      <c r="I10" s="62" t="s">
        <v>9344</v>
      </c>
      <c r="J10" s="62">
        <v>94.72</v>
      </c>
      <c r="K10" s="62">
        <v>3412.22</v>
      </c>
      <c r="L10" s="62">
        <v>57.71</v>
      </c>
      <c r="M10" s="62">
        <v>61.93</v>
      </c>
      <c r="N10" s="62">
        <v>74.62</v>
      </c>
      <c r="O10" s="62">
        <v>0.33</v>
      </c>
      <c r="P10" s="62">
        <v>4.34</v>
      </c>
      <c r="Q10" s="62">
        <v>418.83</v>
      </c>
      <c r="R10" s="62">
        <v>53.68</v>
      </c>
      <c r="S10" s="62">
        <v>122.87</v>
      </c>
      <c r="T10" s="62">
        <v>110.12</v>
      </c>
      <c r="U10" s="62">
        <v>1316.98</v>
      </c>
      <c r="V10" s="62">
        <v>118.35</v>
      </c>
      <c r="W10" s="62">
        <v>105.33</v>
      </c>
      <c r="X10" s="62">
        <v>3521.48</v>
      </c>
      <c r="Y10" s="62">
        <v>2.76</v>
      </c>
      <c r="Z10" s="62">
        <v>10.36</v>
      </c>
      <c r="AA10" s="62">
        <v>317.39</v>
      </c>
      <c r="AB10" s="62">
        <v>430.41</v>
      </c>
      <c r="AC10" s="62" t="s">
        <v>9344</v>
      </c>
      <c r="AD10" s="62" t="s">
        <v>9344</v>
      </c>
      <c r="AE10" s="62">
        <v>2.16</v>
      </c>
      <c r="AF10" s="62">
        <v>1151.51</v>
      </c>
      <c r="AG10" s="62">
        <v>4506.92</v>
      </c>
      <c r="AH10" s="62">
        <v>9.5399999999999991</v>
      </c>
      <c r="AI10" s="62" t="s">
        <v>9344</v>
      </c>
      <c r="AJ10" s="62" t="s">
        <v>9344</v>
      </c>
      <c r="AK10" s="62">
        <v>627.66</v>
      </c>
      <c r="AL10" s="62">
        <v>13.96</v>
      </c>
      <c r="AM10" s="62">
        <v>14.98</v>
      </c>
      <c r="AN10" s="62" t="s">
        <v>9344</v>
      </c>
      <c r="AO10" s="62">
        <v>5.39</v>
      </c>
      <c r="AP10" s="62" t="s">
        <v>9344</v>
      </c>
      <c r="AQ10" s="62">
        <v>1025.22</v>
      </c>
      <c r="AR10" s="62">
        <v>150.78</v>
      </c>
      <c r="AS10" s="62">
        <v>271.39999999999998</v>
      </c>
      <c r="AT10" s="62">
        <v>209.9</v>
      </c>
      <c r="AU10" s="62" t="s">
        <v>9344</v>
      </c>
      <c r="AV10" s="62">
        <v>1221.07</v>
      </c>
      <c r="AW10" s="62" t="s">
        <v>9344</v>
      </c>
      <c r="AX10" s="62">
        <v>10.74</v>
      </c>
      <c r="AY10" s="62">
        <v>1092.47</v>
      </c>
      <c r="AZ10" s="62">
        <v>144.69</v>
      </c>
      <c r="BA10" s="62">
        <v>955.58</v>
      </c>
      <c r="BB10" s="62" t="s">
        <v>9344</v>
      </c>
      <c r="BC10" s="62">
        <v>73.67</v>
      </c>
      <c r="BD10" s="62">
        <v>82.6</v>
      </c>
      <c r="BE10" s="62">
        <v>30.85</v>
      </c>
      <c r="BF10" s="62" t="s">
        <v>9344</v>
      </c>
      <c r="BG10" s="62" t="s">
        <v>9344</v>
      </c>
      <c r="BH10" s="62">
        <v>506.95</v>
      </c>
      <c r="BI10" s="62" t="s">
        <v>9344</v>
      </c>
      <c r="BJ10" s="62">
        <v>157.16999999999999</v>
      </c>
      <c r="BK10" s="62" t="s">
        <v>9344</v>
      </c>
      <c r="BL10" s="62">
        <v>6.11</v>
      </c>
      <c r="BM10" s="62" t="s">
        <v>9344</v>
      </c>
      <c r="BN10" s="62">
        <v>337.8</v>
      </c>
      <c r="BO10" s="62">
        <v>38.020000000000003</v>
      </c>
      <c r="BP10" s="62" t="s">
        <v>9344</v>
      </c>
      <c r="BQ10" s="62">
        <v>274.06</v>
      </c>
      <c r="BR10" s="62" t="s">
        <v>9344</v>
      </c>
      <c r="BS10" s="62">
        <v>60.38</v>
      </c>
      <c r="BT10" s="62">
        <v>21.52</v>
      </c>
      <c r="BU10" s="62">
        <v>264.2</v>
      </c>
      <c r="BV10" s="62">
        <v>54.64</v>
      </c>
      <c r="BW10" s="62">
        <v>1652.31</v>
      </c>
      <c r="BX10" s="62">
        <v>957.19</v>
      </c>
      <c r="BY10" s="62">
        <v>3.18</v>
      </c>
      <c r="BZ10" s="62">
        <v>257.88</v>
      </c>
      <c r="CA10" s="62" t="s">
        <v>9344</v>
      </c>
      <c r="CB10" s="62">
        <v>85.97</v>
      </c>
      <c r="CC10" s="62">
        <v>220.15</v>
      </c>
      <c r="CD10" s="62">
        <v>106.32</v>
      </c>
      <c r="CE10" s="62">
        <v>1910</v>
      </c>
      <c r="CF10" s="62">
        <v>362.33</v>
      </c>
      <c r="CG10" s="62" t="s">
        <v>9344</v>
      </c>
      <c r="CH10" s="62">
        <v>69.989999999999995</v>
      </c>
      <c r="CI10" s="62">
        <v>6.44</v>
      </c>
      <c r="CJ10" s="62">
        <v>14.43</v>
      </c>
      <c r="CK10" s="62" t="s">
        <v>9344</v>
      </c>
      <c r="CL10" s="62">
        <v>318.13</v>
      </c>
      <c r="CM10" s="62">
        <v>2192.44</v>
      </c>
      <c r="CN10" s="62">
        <v>1953.48</v>
      </c>
      <c r="CO10" s="62">
        <v>33.26</v>
      </c>
      <c r="CP10" s="62">
        <v>27.4</v>
      </c>
      <c r="CQ10" s="62" t="s">
        <v>9344</v>
      </c>
      <c r="CR10" s="62">
        <v>3.9</v>
      </c>
      <c r="CS10" s="62">
        <v>83.69</v>
      </c>
      <c r="CT10" s="62" t="s">
        <v>9344</v>
      </c>
      <c r="CU10" s="62">
        <v>4539.82</v>
      </c>
      <c r="CV10" s="62">
        <v>200.73</v>
      </c>
      <c r="CW10" s="62">
        <v>382.5</v>
      </c>
      <c r="CX10" s="62">
        <v>403.86</v>
      </c>
      <c r="CY10" s="62" t="s">
        <v>9344</v>
      </c>
      <c r="CZ10" s="62">
        <v>177.86</v>
      </c>
      <c r="DA10" s="62">
        <v>60.79</v>
      </c>
      <c r="DB10" s="62">
        <v>278.14999999999998</v>
      </c>
      <c r="DC10" s="62">
        <v>784</v>
      </c>
      <c r="DD10" s="62">
        <v>5.0199999999999996</v>
      </c>
      <c r="DE10" s="62" t="s">
        <v>9344</v>
      </c>
      <c r="DF10" s="62">
        <v>66.760000000000005</v>
      </c>
      <c r="DG10" s="62">
        <v>495.13</v>
      </c>
      <c r="DH10" s="62">
        <v>1.1100000000000001</v>
      </c>
      <c r="DI10" s="62" t="s">
        <v>9344</v>
      </c>
      <c r="DJ10" s="62">
        <v>29.44</v>
      </c>
      <c r="DK10" s="62">
        <v>2758.24</v>
      </c>
      <c r="DL10" s="62" t="s">
        <v>9344</v>
      </c>
      <c r="DM10" s="62">
        <v>360.81</v>
      </c>
      <c r="DN10" s="62">
        <v>877.57</v>
      </c>
      <c r="DO10" s="62">
        <v>10.1</v>
      </c>
      <c r="DP10" s="62" t="s">
        <v>9344</v>
      </c>
    </row>
    <row r="11" spans="1:120" x14ac:dyDescent="0.3">
      <c r="A11" s="62">
        <v>41183</v>
      </c>
      <c r="B11" s="62">
        <v>94.68</v>
      </c>
      <c r="C11" s="62">
        <v>0.52</v>
      </c>
      <c r="D11" s="62" t="s">
        <v>9344</v>
      </c>
      <c r="E11" s="62">
        <v>1303.74</v>
      </c>
      <c r="F11" s="62">
        <v>2.91</v>
      </c>
      <c r="G11" s="62">
        <v>4.5</v>
      </c>
      <c r="H11" s="62">
        <v>501.64</v>
      </c>
      <c r="I11" s="62" t="s">
        <v>9344</v>
      </c>
      <c r="J11" s="62">
        <v>93.1</v>
      </c>
      <c r="K11" s="62">
        <v>3471.73</v>
      </c>
      <c r="L11" s="62">
        <v>61.77</v>
      </c>
      <c r="M11" s="62">
        <v>55.48</v>
      </c>
      <c r="N11" s="62">
        <v>76.5</v>
      </c>
      <c r="O11" s="62">
        <v>0.33</v>
      </c>
      <c r="P11" s="62">
        <v>4.6900000000000004</v>
      </c>
      <c r="Q11" s="62">
        <v>429.53</v>
      </c>
      <c r="R11" s="62">
        <v>57.43</v>
      </c>
      <c r="S11" s="62">
        <v>133.80000000000001</v>
      </c>
      <c r="T11" s="62">
        <v>112.81</v>
      </c>
      <c r="U11" s="62">
        <v>1247.67</v>
      </c>
      <c r="V11" s="62">
        <v>121.95</v>
      </c>
      <c r="W11" s="62">
        <v>116.43</v>
      </c>
      <c r="X11" s="62">
        <v>3827.83</v>
      </c>
      <c r="Y11" s="62">
        <v>2.76</v>
      </c>
      <c r="Z11" s="62">
        <v>10.36</v>
      </c>
      <c r="AA11" s="62">
        <v>301.22000000000003</v>
      </c>
      <c r="AB11" s="62">
        <v>429.89</v>
      </c>
      <c r="AC11" s="62" t="s">
        <v>9344</v>
      </c>
      <c r="AD11" s="62" t="s">
        <v>9344</v>
      </c>
      <c r="AE11" s="62">
        <v>1.99</v>
      </c>
      <c r="AF11" s="62">
        <v>1210.7</v>
      </c>
      <c r="AG11" s="62">
        <v>4821.04</v>
      </c>
      <c r="AH11" s="62">
        <v>52.06</v>
      </c>
      <c r="AI11" s="62" t="s">
        <v>9344</v>
      </c>
      <c r="AJ11" s="62" t="s">
        <v>9344</v>
      </c>
      <c r="AK11" s="62">
        <v>646.79</v>
      </c>
      <c r="AL11" s="62">
        <v>15.78</v>
      </c>
      <c r="AM11" s="62">
        <v>23.97</v>
      </c>
      <c r="AN11" s="62" t="s">
        <v>9344</v>
      </c>
      <c r="AO11" s="62">
        <v>5.62</v>
      </c>
      <c r="AP11" s="62" t="s">
        <v>9344</v>
      </c>
      <c r="AQ11" s="62">
        <v>1040.45</v>
      </c>
      <c r="AR11" s="62">
        <v>151.26</v>
      </c>
      <c r="AS11" s="62">
        <v>280.95</v>
      </c>
      <c r="AT11" s="62">
        <v>260.43</v>
      </c>
      <c r="AU11" s="62" t="s">
        <v>9344</v>
      </c>
      <c r="AV11" s="62">
        <v>1259.04</v>
      </c>
      <c r="AW11" s="62" t="s">
        <v>9344</v>
      </c>
      <c r="AX11" s="62">
        <v>11.63</v>
      </c>
      <c r="AY11" s="62">
        <v>1087.53</v>
      </c>
      <c r="AZ11" s="62">
        <v>144.69</v>
      </c>
      <c r="BA11" s="62">
        <v>1016.97</v>
      </c>
      <c r="BB11" s="62" t="s">
        <v>9344</v>
      </c>
      <c r="BC11" s="62">
        <v>74.36</v>
      </c>
      <c r="BD11" s="62">
        <v>83.43</v>
      </c>
      <c r="BE11" s="62">
        <v>42.72</v>
      </c>
      <c r="BF11" s="62" t="s">
        <v>9344</v>
      </c>
      <c r="BG11" s="62" t="s">
        <v>9344</v>
      </c>
      <c r="BH11" s="62">
        <v>536.34</v>
      </c>
      <c r="BI11" s="62" t="s">
        <v>9344</v>
      </c>
      <c r="BJ11" s="62">
        <v>157.16999999999999</v>
      </c>
      <c r="BK11" s="62" t="s">
        <v>9344</v>
      </c>
      <c r="BL11" s="62">
        <v>6.83</v>
      </c>
      <c r="BM11" s="62" t="s">
        <v>9344</v>
      </c>
      <c r="BN11" s="62">
        <v>336.78</v>
      </c>
      <c r="BO11" s="62">
        <v>37.74</v>
      </c>
      <c r="BP11" s="62" t="s">
        <v>9344</v>
      </c>
      <c r="BQ11" s="62">
        <v>286.74</v>
      </c>
      <c r="BR11" s="62" t="s">
        <v>9344</v>
      </c>
      <c r="BS11" s="62">
        <v>87.83</v>
      </c>
      <c r="BT11" s="62">
        <v>21.52</v>
      </c>
      <c r="BU11" s="62">
        <v>264.2</v>
      </c>
      <c r="BV11" s="62">
        <v>54.64</v>
      </c>
      <c r="BW11" s="62">
        <v>1696.57</v>
      </c>
      <c r="BX11" s="62">
        <v>987.1</v>
      </c>
      <c r="BY11" s="62">
        <v>3.18</v>
      </c>
      <c r="BZ11" s="62">
        <v>258.98</v>
      </c>
      <c r="CA11" s="62" t="s">
        <v>9344</v>
      </c>
      <c r="CB11" s="62">
        <v>87.88</v>
      </c>
      <c r="CC11" s="62">
        <v>220.16</v>
      </c>
      <c r="CD11" s="62">
        <v>113.92</v>
      </c>
      <c r="CE11" s="62">
        <v>2040</v>
      </c>
      <c r="CF11" s="62">
        <v>397.91</v>
      </c>
      <c r="CG11" s="62" t="s">
        <v>9344</v>
      </c>
      <c r="CH11" s="62">
        <v>82.19</v>
      </c>
      <c r="CI11" s="62">
        <v>5.52</v>
      </c>
      <c r="CJ11" s="62">
        <v>13.42</v>
      </c>
      <c r="CK11" s="62" t="s">
        <v>9344</v>
      </c>
      <c r="CL11" s="62">
        <v>323.91000000000003</v>
      </c>
      <c r="CM11" s="62">
        <v>2157.8200000000002</v>
      </c>
      <c r="CN11" s="62">
        <v>1976.83</v>
      </c>
      <c r="CO11" s="62">
        <v>46.86</v>
      </c>
      <c r="CP11" s="62">
        <v>26.87</v>
      </c>
      <c r="CQ11" s="62" t="s">
        <v>9344</v>
      </c>
      <c r="CR11" s="62">
        <v>3.9</v>
      </c>
      <c r="CS11" s="62">
        <v>83.95</v>
      </c>
      <c r="CT11" s="62" t="s">
        <v>9344</v>
      </c>
      <c r="CU11" s="62">
        <v>4385.05</v>
      </c>
      <c r="CV11" s="62">
        <v>206.92</v>
      </c>
      <c r="CW11" s="62">
        <v>392.54</v>
      </c>
      <c r="CX11" s="62">
        <v>423.19</v>
      </c>
      <c r="CY11" s="62" t="s">
        <v>9344</v>
      </c>
      <c r="CZ11" s="62">
        <v>188.39</v>
      </c>
      <c r="DA11" s="62">
        <v>63.13</v>
      </c>
      <c r="DB11" s="62">
        <v>374.89</v>
      </c>
      <c r="DC11" s="62">
        <v>764.4</v>
      </c>
      <c r="DD11" s="62">
        <v>4.91</v>
      </c>
      <c r="DE11" s="62" t="s">
        <v>9344</v>
      </c>
      <c r="DF11" s="62">
        <v>69.709999999999994</v>
      </c>
      <c r="DG11" s="62">
        <v>484.36</v>
      </c>
      <c r="DH11" s="62">
        <v>1.1100000000000001</v>
      </c>
      <c r="DI11" s="62" t="s">
        <v>9344</v>
      </c>
      <c r="DJ11" s="62">
        <v>36.06</v>
      </c>
      <c r="DK11" s="62">
        <v>2857.81</v>
      </c>
      <c r="DL11" s="62" t="s">
        <v>9344</v>
      </c>
      <c r="DM11" s="62">
        <v>368.55</v>
      </c>
      <c r="DN11" s="62">
        <v>921.14</v>
      </c>
      <c r="DO11" s="62">
        <v>10.44</v>
      </c>
      <c r="DP11" s="62" t="s">
        <v>9344</v>
      </c>
    </row>
    <row r="12" spans="1:120" x14ac:dyDescent="0.3">
      <c r="A12" s="62">
        <v>41214</v>
      </c>
      <c r="B12" s="62">
        <v>98.42</v>
      </c>
      <c r="C12" s="62">
        <v>1.56</v>
      </c>
      <c r="D12" s="62" t="s">
        <v>9344</v>
      </c>
      <c r="E12" s="62">
        <v>1332.06</v>
      </c>
      <c r="F12" s="62">
        <v>2.63</v>
      </c>
      <c r="G12" s="62">
        <v>6</v>
      </c>
      <c r="H12" s="62">
        <v>518.54999999999995</v>
      </c>
      <c r="I12" s="62" t="s">
        <v>9344</v>
      </c>
      <c r="J12" s="62">
        <v>100.39</v>
      </c>
      <c r="K12" s="62">
        <v>3544.47</v>
      </c>
      <c r="L12" s="62">
        <v>62.18</v>
      </c>
      <c r="M12" s="62">
        <v>61.93</v>
      </c>
      <c r="N12" s="62">
        <v>77.64</v>
      </c>
      <c r="O12" s="62">
        <v>0.33</v>
      </c>
      <c r="P12" s="62">
        <v>6.03</v>
      </c>
      <c r="Q12" s="62">
        <v>448.76</v>
      </c>
      <c r="R12" s="62">
        <v>67.099999999999994</v>
      </c>
      <c r="S12" s="62">
        <v>124.24</v>
      </c>
      <c r="T12" s="62">
        <v>114.15</v>
      </c>
      <c r="U12" s="62">
        <v>1290.02</v>
      </c>
      <c r="V12" s="62">
        <v>122.6</v>
      </c>
      <c r="W12" s="62">
        <v>108.75</v>
      </c>
      <c r="X12" s="62">
        <v>3981.83</v>
      </c>
      <c r="Y12" s="62">
        <v>2.76</v>
      </c>
      <c r="Z12" s="62">
        <v>8.2899999999999991</v>
      </c>
      <c r="AA12" s="62">
        <v>318.39999999999998</v>
      </c>
      <c r="AB12" s="62">
        <v>433.95</v>
      </c>
      <c r="AC12" s="62" t="s">
        <v>9344</v>
      </c>
      <c r="AD12" s="62" t="s">
        <v>9344</v>
      </c>
      <c r="AE12" s="62">
        <v>2.82</v>
      </c>
      <c r="AF12" s="62">
        <v>1259.1400000000001</v>
      </c>
      <c r="AG12" s="62">
        <v>4745.62</v>
      </c>
      <c r="AH12" s="62">
        <v>43.39</v>
      </c>
      <c r="AI12" s="62" t="s">
        <v>9344</v>
      </c>
      <c r="AJ12" s="62" t="s">
        <v>9344</v>
      </c>
      <c r="AK12" s="62">
        <v>662.19</v>
      </c>
      <c r="AL12" s="62">
        <v>16.39</v>
      </c>
      <c r="AM12" s="62">
        <v>20.37</v>
      </c>
      <c r="AN12" s="62" t="s">
        <v>9344</v>
      </c>
      <c r="AO12" s="62">
        <v>5.9</v>
      </c>
      <c r="AP12" s="62" t="s">
        <v>9344</v>
      </c>
      <c r="AQ12" s="62">
        <v>1081.05</v>
      </c>
      <c r="AR12" s="62">
        <v>145.11000000000001</v>
      </c>
      <c r="AS12" s="62">
        <v>298.25</v>
      </c>
      <c r="AT12" s="62">
        <v>264.32</v>
      </c>
      <c r="AU12" s="62" t="s">
        <v>9344</v>
      </c>
      <c r="AV12" s="62">
        <v>1308.7</v>
      </c>
      <c r="AW12" s="62" t="s">
        <v>9344</v>
      </c>
      <c r="AX12" s="62">
        <v>11.18</v>
      </c>
      <c r="AY12" s="62">
        <v>1161.68</v>
      </c>
      <c r="AZ12" s="62">
        <v>147.63999999999999</v>
      </c>
      <c r="BA12" s="62">
        <v>1047.67</v>
      </c>
      <c r="BB12" s="62" t="s">
        <v>9344</v>
      </c>
      <c r="BC12" s="62">
        <v>74.23</v>
      </c>
      <c r="BD12" s="62">
        <v>90.04</v>
      </c>
      <c r="BE12" s="62">
        <v>33.229999999999997</v>
      </c>
      <c r="BF12" s="62" t="s">
        <v>9344</v>
      </c>
      <c r="BG12" s="62" t="s">
        <v>9344</v>
      </c>
      <c r="BH12" s="62">
        <v>582.79</v>
      </c>
      <c r="BI12" s="62" t="s">
        <v>9344</v>
      </c>
      <c r="BJ12" s="62">
        <v>157.16999999999999</v>
      </c>
      <c r="BK12" s="62" t="s">
        <v>9344</v>
      </c>
      <c r="BL12" s="62">
        <v>7.59</v>
      </c>
      <c r="BM12" s="62" t="s">
        <v>9344</v>
      </c>
      <c r="BN12" s="62">
        <v>358.83</v>
      </c>
      <c r="BO12" s="62">
        <v>34.57</v>
      </c>
      <c r="BP12" s="62" t="s">
        <v>9344</v>
      </c>
      <c r="BQ12" s="62">
        <v>314.66000000000003</v>
      </c>
      <c r="BR12" s="62" t="s">
        <v>9344</v>
      </c>
      <c r="BS12" s="62">
        <v>110.19</v>
      </c>
      <c r="BT12" s="62">
        <v>21.52</v>
      </c>
      <c r="BU12" s="62">
        <v>264.2</v>
      </c>
      <c r="BV12" s="62">
        <v>15.61</v>
      </c>
      <c r="BW12" s="62">
        <v>1738.15</v>
      </c>
      <c r="BX12" s="62">
        <v>1031.97</v>
      </c>
      <c r="BY12" s="62">
        <v>1.99</v>
      </c>
      <c r="BZ12" s="62">
        <v>266.7</v>
      </c>
      <c r="CA12" s="62" t="s">
        <v>9344</v>
      </c>
      <c r="CB12" s="62">
        <v>80.239999999999995</v>
      </c>
      <c r="CC12" s="62">
        <v>247.56</v>
      </c>
      <c r="CD12" s="62">
        <v>106.32</v>
      </c>
      <c r="CE12" s="62">
        <v>2020</v>
      </c>
      <c r="CF12" s="62">
        <v>407.28</v>
      </c>
      <c r="CG12" s="62" t="s">
        <v>9344</v>
      </c>
      <c r="CH12" s="62">
        <v>89.52</v>
      </c>
      <c r="CI12" s="62">
        <v>24.63</v>
      </c>
      <c r="CJ12" s="62">
        <v>12.99</v>
      </c>
      <c r="CK12" s="62" t="s">
        <v>9344</v>
      </c>
      <c r="CL12" s="62">
        <v>308.49</v>
      </c>
      <c r="CM12" s="62">
        <v>2221.29</v>
      </c>
      <c r="CN12" s="62">
        <v>2085.79</v>
      </c>
      <c r="CO12" s="62">
        <v>54.42</v>
      </c>
      <c r="CP12" s="62">
        <v>29.51</v>
      </c>
      <c r="CQ12" s="62" t="s">
        <v>9344</v>
      </c>
      <c r="CR12" s="62">
        <v>3.9</v>
      </c>
      <c r="CS12" s="62">
        <v>86.58</v>
      </c>
      <c r="CT12" s="62" t="s">
        <v>9344</v>
      </c>
      <c r="CU12" s="62">
        <v>4458.1099999999997</v>
      </c>
      <c r="CV12" s="62">
        <v>191.89</v>
      </c>
      <c r="CW12" s="62">
        <v>395.02</v>
      </c>
      <c r="CX12" s="62">
        <v>431.79</v>
      </c>
      <c r="CY12" s="62" t="s">
        <v>9344</v>
      </c>
      <c r="CZ12" s="62">
        <v>181.37</v>
      </c>
      <c r="DA12" s="62">
        <v>61.58</v>
      </c>
      <c r="DB12" s="62">
        <v>399.08</v>
      </c>
      <c r="DC12" s="62">
        <v>786.8</v>
      </c>
      <c r="DD12" s="62">
        <v>5.0199999999999996</v>
      </c>
      <c r="DE12" s="62" t="s">
        <v>9344</v>
      </c>
      <c r="DF12" s="62">
        <v>79.34</v>
      </c>
      <c r="DG12" s="62">
        <v>519.35</v>
      </c>
      <c r="DH12" s="62">
        <v>1.1100000000000001</v>
      </c>
      <c r="DI12" s="62" t="s">
        <v>9344</v>
      </c>
      <c r="DJ12" s="62">
        <v>34.25</v>
      </c>
      <c r="DK12" s="62">
        <v>2738.32</v>
      </c>
      <c r="DL12" s="62" t="s">
        <v>9344</v>
      </c>
      <c r="DM12" s="62">
        <v>374.01</v>
      </c>
      <c r="DN12" s="62">
        <v>967.82</v>
      </c>
      <c r="DO12" s="62">
        <v>15.75</v>
      </c>
      <c r="DP12" s="62" t="s">
        <v>9344</v>
      </c>
    </row>
    <row r="13" spans="1:120" x14ac:dyDescent="0.3">
      <c r="A13" s="62">
        <v>41244</v>
      </c>
      <c r="B13" s="62">
        <v>102.84</v>
      </c>
      <c r="C13" s="62">
        <v>3.11</v>
      </c>
      <c r="D13" s="62" t="s">
        <v>9344</v>
      </c>
      <c r="E13" s="62">
        <v>1412.64</v>
      </c>
      <c r="F13" s="62">
        <v>2.09</v>
      </c>
      <c r="G13" s="62">
        <v>6.5</v>
      </c>
      <c r="H13" s="62">
        <v>527.01</v>
      </c>
      <c r="I13" s="62" t="s">
        <v>9344</v>
      </c>
      <c r="J13" s="62">
        <v>98.77</v>
      </c>
      <c r="K13" s="62">
        <v>3558.21</v>
      </c>
      <c r="L13" s="62">
        <v>64.209999999999994</v>
      </c>
      <c r="M13" s="62">
        <v>64.510000000000005</v>
      </c>
      <c r="N13" s="62">
        <v>82.18</v>
      </c>
      <c r="O13" s="62">
        <v>0.33</v>
      </c>
      <c r="P13" s="62">
        <v>6.7</v>
      </c>
      <c r="Q13" s="62">
        <v>463.72</v>
      </c>
      <c r="R13" s="62">
        <v>70.319999999999993</v>
      </c>
      <c r="S13" s="62">
        <v>118.1</v>
      </c>
      <c r="T13" s="62">
        <v>118.18</v>
      </c>
      <c r="U13" s="62">
        <v>1120.5899999999999</v>
      </c>
      <c r="V13" s="62">
        <v>119.34</v>
      </c>
      <c r="W13" s="62">
        <v>106.76</v>
      </c>
      <c r="X13" s="62">
        <v>3952.49</v>
      </c>
      <c r="Y13" s="62">
        <v>2.76</v>
      </c>
      <c r="Z13" s="62">
        <v>9.1199999999999992</v>
      </c>
      <c r="AA13" s="62">
        <v>313.35000000000002</v>
      </c>
      <c r="AB13" s="62">
        <v>436.57</v>
      </c>
      <c r="AC13" s="62" t="s">
        <v>9344</v>
      </c>
      <c r="AD13" s="62" t="s">
        <v>9344</v>
      </c>
      <c r="AE13" s="62">
        <v>2.82</v>
      </c>
      <c r="AF13" s="62">
        <v>1404.43</v>
      </c>
      <c r="AG13" s="62">
        <v>5464.65</v>
      </c>
      <c r="AH13" s="62">
        <v>47.29</v>
      </c>
      <c r="AI13" s="62">
        <v>11159.92</v>
      </c>
      <c r="AJ13" s="62">
        <v>658.64</v>
      </c>
      <c r="AK13" s="62">
        <v>674.51</v>
      </c>
      <c r="AL13" s="62">
        <v>13.96</v>
      </c>
      <c r="AM13" s="62">
        <v>20.37</v>
      </c>
      <c r="AN13" s="62" t="s">
        <v>9344</v>
      </c>
      <c r="AO13" s="62">
        <v>7.02</v>
      </c>
      <c r="AP13" s="62" t="s">
        <v>9344</v>
      </c>
      <c r="AQ13" s="62">
        <v>1095.6300000000001</v>
      </c>
      <c r="AR13" s="62">
        <v>149</v>
      </c>
      <c r="AS13" s="62">
        <v>303.02</v>
      </c>
      <c r="AT13" s="62">
        <v>275.98</v>
      </c>
      <c r="AU13" s="62" t="s">
        <v>9344</v>
      </c>
      <c r="AV13" s="62">
        <v>1349.6</v>
      </c>
      <c r="AW13" s="62" t="s">
        <v>9344</v>
      </c>
      <c r="AX13" s="62">
        <v>11.36</v>
      </c>
      <c r="AY13" s="62">
        <v>1156.73</v>
      </c>
      <c r="AZ13" s="62">
        <v>153.55000000000001</v>
      </c>
      <c r="BA13" s="62">
        <v>1099.1600000000001</v>
      </c>
      <c r="BB13" s="62" t="s">
        <v>9344</v>
      </c>
      <c r="BC13" s="62">
        <v>71.95</v>
      </c>
      <c r="BD13" s="62">
        <v>90.86</v>
      </c>
      <c r="BE13" s="62">
        <v>45.54</v>
      </c>
      <c r="BF13" s="62" t="s">
        <v>9344</v>
      </c>
      <c r="BG13" s="62" t="s">
        <v>9344</v>
      </c>
      <c r="BH13" s="62">
        <v>568.12</v>
      </c>
      <c r="BI13" s="62" t="s">
        <v>9344</v>
      </c>
      <c r="BJ13" s="62">
        <v>160.66</v>
      </c>
      <c r="BK13" s="62">
        <v>37.92</v>
      </c>
      <c r="BL13" s="62">
        <v>5.75</v>
      </c>
      <c r="BM13" s="62" t="s">
        <v>9344</v>
      </c>
      <c r="BN13" s="62">
        <v>359.19</v>
      </c>
      <c r="BO13" s="62">
        <v>30.53</v>
      </c>
      <c r="BP13" s="62" t="s">
        <v>9344</v>
      </c>
      <c r="BQ13" s="62">
        <v>309.58</v>
      </c>
      <c r="BR13" s="62" t="s">
        <v>9344</v>
      </c>
      <c r="BS13" s="62">
        <v>122.65</v>
      </c>
      <c r="BT13" s="62">
        <v>18.88</v>
      </c>
      <c r="BU13" s="62">
        <v>279.29000000000002</v>
      </c>
      <c r="BV13" s="62">
        <v>15.61</v>
      </c>
      <c r="BW13" s="62">
        <v>1763.63</v>
      </c>
      <c r="BX13" s="62">
        <v>992.08</v>
      </c>
      <c r="BY13" s="62">
        <v>3.58</v>
      </c>
      <c r="BZ13" s="62">
        <v>271.10000000000002</v>
      </c>
      <c r="CA13" s="62" t="s">
        <v>9344</v>
      </c>
      <c r="CB13" s="62">
        <v>80.239999999999995</v>
      </c>
      <c r="CC13" s="62">
        <v>264.19</v>
      </c>
      <c r="CD13" s="62">
        <v>94.93</v>
      </c>
      <c r="CE13" s="62">
        <v>2075</v>
      </c>
      <c r="CF13" s="62">
        <v>417.57</v>
      </c>
      <c r="CG13" s="62" t="s">
        <v>9344</v>
      </c>
      <c r="CH13" s="62">
        <v>97.25</v>
      </c>
      <c r="CI13" s="62">
        <v>27.1</v>
      </c>
      <c r="CJ13" s="62">
        <v>13.57</v>
      </c>
      <c r="CK13" s="62" t="s">
        <v>9344</v>
      </c>
      <c r="CL13" s="62">
        <v>298.85000000000002</v>
      </c>
      <c r="CM13" s="62">
        <v>2146.2800000000002</v>
      </c>
      <c r="CN13" s="62">
        <v>2046.87</v>
      </c>
      <c r="CO13" s="62">
        <v>51.4</v>
      </c>
      <c r="CP13" s="62">
        <v>28.45</v>
      </c>
      <c r="CQ13" s="62" t="s">
        <v>9344</v>
      </c>
      <c r="CR13" s="62">
        <v>3.9</v>
      </c>
      <c r="CS13" s="62">
        <v>86.58</v>
      </c>
      <c r="CT13" s="62" t="s">
        <v>9344</v>
      </c>
      <c r="CU13" s="62">
        <v>4274.13</v>
      </c>
      <c r="CV13" s="62">
        <v>203.38</v>
      </c>
      <c r="CW13" s="62">
        <v>402.48</v>
      </c>
      <c r="CX13" s="62">
        <v>487.64</v>
      </c>
      <c r="CY13" s="62" t="s">
        <v>9344</v>
      </c>
      <c r="CZ13" s="62">
        <v>187.22</v>
      </c>
      <c r="DA13" s="62">
        <v>62.99</v>
      </c>
      <c r="DB13" s="62">
        <v>405.13</v>
      </c>
      <c r="DC13" s="62">
        <v>767.2</v>
      </c>
      <c r="DD13" s="62">
        <v>5.35</v>
      </c>
      <c r="DE13" s="62" t="s">
        <v>9344</v>
      </c>
      <c r="DF13" s="62">
        <v>81.55</v>
      </c>
      <c r="DG13" s="62">
        <v>519.35</v>
      </c>
      <c r="DH13" s="62">
        <v>1.1100000000000001</v>
      </c>
      <c r="DI13" s="62" t="s">
        <v>9344</v>
      </c>
      <c r="DJ13" s="62">
        <v>56.24</v>
      </c>
      <c r="DK13" s="62">
        <v>2638.75</v>
      </c>
      <c r="DL13" s="62" t="s">
        <v>9344</v>
      </c>
      <c r="DM13" s="62">
        <v>375.5</v>
      </c>
      <c r="DN13" s="62">
        <v>974.04</v>
      </c>
      <c r="DO13" s="62">
        <v>12.11</v>
      </c>
      <c r="DP13" s="62" t="s">
        <v>9344</v>
      </c>
    </row>
    <row r="14" spans="1:120" x14ac:dyDescent="0.3">
      <c r="A14" s="62">
        <v>41275</v>
      </c>
      <c r="B14" s="62">
        <v>105.56</v>
      </c>
      <c r="C14" s="62">
        <v>3.11</v>
      </c>
      <c r="D14" s="62" t="s">
        <v>9344</v>
      </c>
      <c r="E14" s="62">
        <v>1415.41</v>
      </c>
      <c r="F14" s="62">
        <v>2.72</v>
      </c>
      <c r="G14" s="62">
        <v>6</v>
      </c>
      <c r="H14" s="62">
        <v>512.91999999999996</v>
      </c>
      <c r="I14" s="62" t="s">
        <v>9344</v>
      </c>
      <c r="J14" s="62">
        <v>96.34</v>
      </c>
      <c r="K14" s="62">
        <v>3531.75</v>
      </c>
      <c r="L14" s="62">
        <v>64.209999999999994</v>
      </c>
      <c r="M14" s="62">
        <v>61.93</v>
      </c>
      <c r="N14" s="62">
        <v>79.28</v>
      </c>
      <c r="O14" s="62">
        <v>0.33</v>
      </c>
      <c r="P14" s="62">
        <v>10.039999999999999</v>
      </c>
      <c r="Q14" s="62">
        <v>468</v>
      </c>
      <c r="R14" s="62">
        <v>85.68</v>
      </c>
      <c r="S14" s="62">
        <v>114.68</v>
      </c>
      <c r="T14" s="62">
        <v>122.21</v>
      </c>
      <c r="U14" s="62">
        <v>1132.1400000000001</v>
      </c>
      <c r="V14" s="62">
        <v>124.24</v>
      </c>
      <c r="W14" s="62">
        <v>108.24</v>
      </c>
      <c r="X14" s="62">
        <v>3813.17</v>
      </c>
      <c r="Y14" s="62">
        <v>2.76</v>
      </c>
      <c r="Z14" s="62">
        <v>9.1199999999999992</v>
      </c>
      <c r="AA14" s="62">
        <v>298.19</v>
      </c>
      <c r="AB14" s="62">
        <v>437.1</v>
      </c>
      <c r="AC14" s="62" t="s">
        <v>9344</v>
      </c>
      <c r="AD14" s="62" t="s">
        <v>9344</v>
      </c>
      <c r="AE14" s="62">
        <v>3.15</v>
      </c>
      <c r="AF14" s="62">
        <v>1340.23</v>
      </c>
      <c r="AG14" s="62">
        <v>5745.41</v>
      </c>
      <c r="AH14" s="62">
        <v>52.06</v>
      </c>
      <c r="AI14" s="62">
        <v>11515.74</v>
      </c>
      <c r="AJ14" s="62">
        <v>688.82</v>
      </c>
      <c r="AK14" s="62">
        <v>654.49</v>
      </c>
      <c r="AL14" s="62">
        <v>19.420000000000002</v>
      </c>
      <c r="AM14" s="62">
        <v>19.77</v>
      </c>
      <c r="AN14" s="62" t="s">
        <v>9344</v>
      </c>
      <c r="AO14" s="62">
        <v>7.3</v>
      </c>
      <c r="AP14" s="62" t="s">
        <v>9344</v>
      </c>
      <c r="AQ14" s="62">
        <v>1179.1400000000001</v>
      </c>
      <c r="AR14" s="62">
        <v>145.80000000000001</v>
      </c>
      <c r="AS14" s="62">
        <v>312.56</v>
      </c>
      <c r="AT14" s="62">
        <v>268.20999999999998</v>
      </c>
      <c r="AU14" s="62" t="s">
        <v>9344</v>
      </c>
      <c r="AV14" s="62">
        <v>1328.51</v>
      </c>
      <c r="AW14" s="62" t="s">
        <v>9344</v>
      </c>
      <c r="AX14" s="62">
        <v>10.74</v>
      </c>
      <c r="AY14" s="62">
        <v>1145.93</v>
      </c>
      <c r="AZ14" s="62">
        <v>159.44999999999999</v>
      </c>
      <c r="BA14" s="62">
        <v>1158.58</v>
      </c>
      <c r="BB14" s="62" t="s">
        <v>9344</v>
      </c>
      <c r="BC14" s="62">
        <v>71.459999999999994</v>
      </c>
      <c r="BD14" s="62">
        <v>99.53</v>
      </c>
      <c r="BE14" s="62">
        <v>47.94</v>
      </c>
      <c r="BF14" s="62" t="s">
        <v>9344</v>
      </c>
      <c r="BG14" s="62" t="s">
        <v>9344</v>
      </c>
      <c r="BH14" s="62">
        <v>571.80999999999995</v>
      </c>
      <c r="BI14" s="62" t="s">
        <v>9344</v>
      </c>
      <c r="BJ14" s="62">
        <v>167.65</v>
      </c>
      <c r="BK14" s="62">
        <v>37.92</v>
      </c>
      <c r="BL14" s="62">
        <v>5.75</v>
      </c>
      <c r="BM14" s="62" t="s">
        <v>9344</v>
      </c>
      <c r="BN14" s="62">
        <v>353.4</v>
      </c>
      <c r="BO14" s="62">
        <v>29.67</v>
      </c>
      <c r="BP14" s="62" t="s">
        <v>9344</v>
      </c>
      <c r="BQ14" s="62">
        <v>307.04000000000002</v>
      </c>
      <c r="BR14" s="62" t="s">
        <v>9344</v>
      </c>
      <c r="BS14" s="62">
        <v>150.53</v>
      </c>
      <c r="BT14" s="62">
        <v>18.79</v>
      </c>
      <c r="BU14" s="62">
        <v>332.13</v>
      </c>
      <c r="BV14" s="62">
        <v>15.61</v>
      </c>
      <c r="BW14" s="62">
        <v>1764.97</v>
      </c>
      <c r="BX14" s="62">
        <v>987.1</v>
      </c>
      <c r="BY14" s="62">
        <v>3.66</v>
      </c>
      <c r="BZ14" s="62">
        <v>268.89999999999998</v>
      </c>
      <c r="CA14" s="62" t="s">
        <v>9344</v>
      </c>
      <c r="CB14" s="62">
        <v>70.680000000000007</v>
      </c>
      <c r="CC14" s="62">
        <v>258.32</v>
      </c>
      <c r="CD14" s="62">
        <v>110.12</v>
      </c>
      <c r="CE14" s="62">
        <v>2275</v>
      </c>
      <c r="CF14" s="62">
        <v>400.72</v>
      </c>
      <c r="CG14" s="62" t="s">
        <v>9344</v>
      </c>
      <c r="CH14" s="62">
        <v>104.1</v>
      </c>
      <c r="CI14" s="62">
        <v>33.26</v>
      </c>
      <c r="CJ14" s="62">
        <v>12.99</v>
      </c>
      <c r="CK14" s="62" t="s">
        <v>9344</v>
      </c>
      <c r="CL14" s="62">
        <v>306.56</v>
      </c>
      <c r="CM14" s="62">
        <v>2180.9</v>
      </c>
      <c r="CN14" s="62">
        <v>1906.78</v>
      </c>
      <c r="CO14" s="62">
        <v>52</v>
      </c>
      <c r="CP14" s="62">
        <v>31.61</v>
      </c>
      <c r="CQ14" s="62" t="s">
        <v>9344</v>
      </c>
      <c r="CR14" s="62">
        <v>2.6</v>
      </c>
      <c r="CS14" s="62">
        <v>83.69</v>
      </c>
      <c r="CT14" s="62" t="s">
        <v>9344</v>
      </c>
      <c r="CU14" s="62">
        <v>4133.54</v>
      </c>
      <c r="CV14" s="62">
        <v>215.76</v>
      </c>
      <c r="CW14" s="62">
        <v>395.17</v>
      </c>
      <c r="CX14" s="62">
        <v>481.19</v>
      </c>
      <c r="CY14" s="62" t="s">
        <v>9344</v>
      </c>
      <c r="CZ14" s="62">
        <v>193.07</v>
      </c>
      <c r="DA14" s="62">
        <v>79.95</v>
      </c>
      <c r="DB14" s="62">
        <v>341.94</v>
      </c>
      <c r="DC14" s="62">
        <v>711.2</v>
      </c>
      <c r="DD14" s="62">
        <v>5.58</v>
      </c>
      <c r="DE14" s="62" t="s">
        <v>9344</v>
      </c>
      <c r="DF14" s="62">
        <v>76.040000000000006</v>
      </c>
      <c r="DG14" s="62">
        <v>519.35</v>
      </c>
      <c r="DH14" s="62">
        <v>1.1100000000000001</v>
      </c>
      <c r="DI14" s="62" t="s">
        <v>9344</v>
      </c>
      <c r="DJ14" s="62">
        <v>68.73</v>
      </c>
      <c r="DK14" s="62">
        <v>2708.45</v>
      </c>
      <c r="DL14" s="62" t="s">
        <v>9344</v>
      </c>
      <c r="DM14" s="62">
        <v>381.33</v>
      </c>
      <c r="DN14" s="62">
        <v>930.47</v>
      </c>
      <c r="DO14" s="62">
        <v>12.92</v>
      </c>
      <c r="DP14" s="62" t="s">
        <v>9344</v>
      </c>
    </row>
    <row r="15" spans="1:120" x14ac:dyDescent="0.3">
      <c r="A15" s="62">
        <v>41306</v>
      </c>
      <c r="B15" s="62">
        <v>109.44</v>
      </c>
      <c r="C15" s="62">
        <v>2.0699999999999998</v>
      </c>
      <c r="D15" s="62" t="s">
        <v>9344</v>
      </c>
      <c r="E15" s="62">
        <v>1377.16</v>
      </c>
      <c r="F15" s="62">
        <v>2.63</v>
      </c>
      <c r="G15" s="62">
        <v>6</v>
      </c>
      <c r="H15" s="62">
        <v>608.73</v>
      </c>
      <c r="I15" s="62" t="s">
        <v>9344</v>
      </c>
      <c r="J15" s="62">
        <v>97.96</v>
      </c>
      <c r="K15" s="62">
        <v>3750.01</v>
      </c>
      <c r="L15" s="62">
        <v>64.62</v>
      </c>
      <c r="M15" s="62">
        <v>67.09</v>
      </c>
      <c r="N15" s="62">
        <v>85.05</v>
      </c>
      <c r="O15" s="62">
        <v>0.33</v>
      </c>
      <c r="P15" s="62">
        <v>18.079999999999998</v>
      </c>
      <c r="Q15" s="62">
        <v>534.24</v>
      </c>
      <c r="R15" s="62">
        <v>105.02</v>
      </c>
      <c r="S15" s="62">
        <v>127.65</v>
      </c>
      <c r="T15" s="62">
        <v>136.97999999999999</v>
      </c>
      <c r="U15" s="62">
        <v>1097.48</v>
      </c>
      <c r="V15" s="62">
        <v>130.78</v>
      </c>
      <c r="W15" s="62">
        <v>107.37</v>
      </c>
      <c r="X15" s="62">
        <v>3813.17</v>
      </c>
      <c r="Y15" s="62">
        <v>2.76</v>
      </c>
      <c r="Z15" s="62">
        <v>9.1199999999999992</v>
      </c>
      <c r="AA15" s="62">
        <v>326.49</v>
      </c>
      <c r="AB15" s="62">
        <v>447.09</v>
      </c>
      <c r="AC15" s="62" t="s">
        <v>9344</v>
      </c>
      <c r="AD15" s="62" t="s">
        <v>9344</v>
      </c>
      <c r="AE15" s="62">
        <v>3.15</v>
      </c>
      <c r="AF15" s="62">
        <v>1291.42</v>
      </c>
      <c r="AG15" s="62">
        <v>6437.05</v>
      </c>
      <c r="AH15" s="62">
        <v>52.06</v>
      </c>
      <c r="AI15" s="62">
        <v>11370.18</v>
      </c>
      <c r="AJ15" s="62">
        <v>677.48</v>
      </c>
      <c r="AK15" s="62">
        <v>688.37</v>
      </c>
      <c r="AL15" s="62">
        <v>15.29</v>
      </c>
      <c r="AM15" s="62">
        <v>15.58</v>
      </c>
      <c r="AN15" s="62" t="s">
        <v>9344</v>
      </c>
      <c r="AO15" s="62">
        <v>5.62</v>
      </c>
      <c r="AP15" s="62" t="s">
        <v>9344</v>
      </c>
      <c r="AQ15" s="62">
        <v>1227.4100000000001</v>
      </c>
      <c r="AR15" s="62">
        <v>144.55000000000001</v>
      </c>
      <c r="AS15" s="62">
        <v>313.75</v>
      </c>
      <c r="AT15" s="62">
        <v>260.43</v>
      </c>
      <c r="AU15" s="62" t="s">
        <v>9344</v>
      </c>
      <c r="AV15" s="62">
        <v>1439.71</v>
      </c>
      <c r="AW15" s="62" t="s">
        <v>9344</v>
      </c>
      <c r="AX15" s="62">
        <v>13.42</v>
      </c>
      <c r="AY15" s="62">
        <v>1130.98</v>
      </c>
      <c r="AZ15" s="62">
        <v>163.88</v>
      </c>
      <c r="BA15" s="62">
        <v>1207.0999999999999</v>
      </c>
      <c r="BB15" s="62" t="s">
        <v>9344</v>
      </c>
      <c r="BC15" s="62">
        <v>73.180000000000007</v>
      </c>
      <c r="BD15" s="62">
        <v>103.25</v>
      </c>
      <c r="BE15" s="62">
        <v>69.510000000000005</v>
      </c>
      <c r="BF15" s="62" t="s">
        <v>9344</v>
      </c>
      <c r="BG15" s="62" t="s">
        <v>9344</v>
      </c>
      <c r="BH15" s="62">
        <v>595.79</v>
      </c>
      <c r="BI15" s="62" t="s">
        <v>9344</v>
      </c>
      <c r="BJ15" s="62">
        <v>195.59</v>
      </c>
      <c r="BK15" s="62">
        <v>38.22</v>
      </c>
      <c r="BL15" s="62">
        <v>5.75</v>
      </c>
      <c r="BM15" s="62" t="s">
        <v>9344</v>
      </c>
      <c r="BN15" s="62">
        <v>373.6</v>
      </c>
      <c r="BO15" s="62">
        <v>29.09</v>
      </c>
      <c r="BP15" s="62" t="s">
        <v>9344</v>
      </c>
      <c r="BQ15" s="62">
        <v>340.03</v>
      </c>
      <c r="BR15" s="62" t="s">
        <v>9344</v>
      </c>
      <c r="BS15" s="62">
        <v>175.62</v>
      </c>
      <c r="BT15" s="62">
        <v>15.99</v>
      </c>
      <c r="BU15" s="62">
        <v>324.58</v>
      </c>
      <c r="BV15" s="62">
        <v>7.81</v>
      </c>
      <c r="BW15" s="62">
        <v>1864.21</v>
      </c>
      <c r="BX15" s="62">
        <v>1017.01</v>
      </c>
      <c r="BY15" s="62">
        <v>4.07</v>
      </c>
      <c r="BZ15" s="62">
        <v>271.10000000000002</v>
      </c>
      <c r="CA15" s="62" t="s">
        <v>9344</v>
      </c>
      <c r="CB15" s="62">
        <v>68.77</v>
      </c>
      <c r="CC15" s="62">
        <v>276.91000000000003</v>
      </c>
      <c r="CD15" s="62">
        <v>113.92</v>
      </c>
      <c r="CE15" s="62">
        <v>2315</v>
      </c>
      <c r="CF15" s="62">
        <v>407.28</v>
      </c>
      <c r="CG15" s="62" t="s">
        <v>9344</v>
      </c>
      <c r="CH15" s="62">
        <v>114.75</v>
      </c>
      <c r="CI15" s="62">
        <v>30.79</v>
      </c>
      <c r="CJ15" s="62">
        <v>13.71</v>
      </c>
      <c r="CK15" s="62" t="s">
        <v>9344</v>
      </c>
      <c r="CL15" s="62">
        <v>318.13</v>
      </c>
      <c r="CM15" s="62">
        <v>2273.2199999999998</v>
      </c>
      <c r="CN15" s="62">
        <v>2011.85</v>
      </c>
      <c r="CO15" s="62">
        <v>52.43</v>
      </c>
      <c r="CP15" s="62">
        <v>32.14</v>
      </c>
      <c r="CQ15" s="62" t="s">
        <v>9344</v>
      </c>
      <c r="CR15" s="62">
        <v>2.08</v>
      </c>
      <c r="CS15" s="62">
        <v>86.58</v>
      </c>
      <c r="CT15" s="62" t="s">
        <v>9344</v>
      </c>
      <c r="CU15" s="62">
        <v>4415.17</v>
      </c>
      <c r="CV15" s="62">
        <v>220.18</v>
      </c>
      <c r="CW15" s="62">
        <v>405.14</v>
      </c>
      <c r="CX15" s="62">
        <v>528.45000000000005</v>
      </c>
      <c r="CY15" s="62" t="s">
        <v>9344</v>
      </c>
      <c r="CZ15" s="62">
        <v>193.07</v>
      </c>
      <c r="DA15" s="62">
        <v>83.03</v>
      </c>
      <c r="DB15" s="62">
        <v>329.67</v>
      </c>
      <c r="DC15" s="62">
        <v>786.8</v>
      </c>
      <c r="DD15" s="62">
        <v>5.13</v>
      </c>
      <c r="DE15" s="62" t="s">
        <v>9344</v>
      </c>
      <c r="DF15" s="62">
        <v>80.45</v>
      </c>
      <c r="DG15" s="62">
        <v>519.35</v>
      </c>
      <c r="DH15" s="62">
        <v>1.1100000000000001</v>
      </c>
      <c r="DI15" s="62" t="s">
        <v>9344</v>
      </c>
      <c r="DJ15" s="62">
        <v>68.73</v>
      </c>
      <c r="DK15" s="62">
        <v>2788.11</v>
      </c>
      <c r="DL15" s="62" t="s">
        <v>9344</v>
      </c>
      <c r="DM15" s="62">
        <v>379.82</v>
      </c>
      <c r="DN15" s="62">
        <v>1042.51</v>
      </c>
      <c r="DO15" s="62">
        <v>12.92</v>
      </c>
      <c r="DP15" s="62" t="s">
        <v>9344</v>
      </c>
    </row>
    <row r="16" spans="1:120" x14ac:dyDescent="0.3">
      <c r="A16" s="62">
        <v>41334</v>
      </c>
      <c r="B16" s="62">
        <v>113.21</v>
      </c>
      <c r="C16" s="62">
        <v>2.0699999999999998</v>
      </c>
      <c r="D16" s="62" t="s">
        <v>9344</v>
      </c>
      <c r="E16" s="62">
        <v>1546.57</v>
      </c>
      <c r="F16" s="62">
        <v>1.73</v>
      </c>
      <c r="G16" s="62">
        <v>5.5</v>
      </c>
      <c r="H16" s="62">
        <v>650.19000000000005</v>
      </c>
      <c r="I16" s="62" t="s">
        <v>9344</v>
      </c>
      <c r="J16" s="62">
        <v>100.39</v>
      </c>
      <c r="K16" s="62">
        <v>3723.55</v>
      </c>
      <c r="L16" s="62">
        <v>63.4</v>
      </c>
      <c r="M16" s="62">
        <v>62.45</v>
      </c>
      <c r="N16" s="62">
        <v>87.26</v>
      </c>
      <c r="O16" s="62">
        <v>0.22</v>
      </c>
      <c r="P16" s="62">
        <v>13.39</v>
      </c>
      <c r="Q16" s="62">
        <v>502.19</v>
      </c>
      <c r="R16" s="62">
        <v>96.73</v>
      </c>
      <c r="S16" s="62">
        <v>131.07</v>
      </c>
      <c r="T16" s="62">
        <v>147.72999999999999</v>
      </c>
      <c r="U16" s="62">
        <v>1116.74</v>
      </c>
      <c r="V16" s="62">
        <v>137.32</v>
      </c>
      <c r="W16" s="62">
        <v>106.2</v>
      </c>
      <c r="X16" s="62">
        <v>3996.49</v>
      </c>
      <c r="Y16" s="62">
        <v>2.76</v>
      </c>
      <c r="Z16" s="62">
        <v>9.1199999999999992</v>
      </c>
      <c r="AA16" s="62">
        <v>340.64</v>
      </c>
      <c r="AB16" s="62">
        <v>486.54</v>
      </c>
      <c r="AC16" s="62" t="s">
        <v>9344</v>
      </c>
      <c r="AD16" s="62" t="s">
        <v>9344</v>
      </c>
      <c r="AE16" s="62">
        <v>3.15</v>
      </c>
      <c r="AF16" s="62">
        <v>1394.51</v>
      </c>
      <c r="AG16" s="62">
        <v>6252.16</v>
      </c>
      <c r="AH16" s="62">
        <v>45.56</v>
      </c>
      <c r="AI16" s="62">
        <v>11208.44</v>
      </c>
      <c r="AJ16" s="62">
        <v>665</v>
      </c>
      <c r="AK16" s="62">
        <v>686.83</v>
      </c>
      <c r="AL16" s="62">
        <v>13.35</v>
      </c>
      <c r="AM16" s="62">
        <v>17.98</v>
      </c>
      <c r="AN16" s="62" t="s">
        <v>9344</v>
      </c>
      <c r="AO16" s="62">
        <v>14.04</v>
      </c>
      <c r="AP16" s="62" t="s">
        <v>9344</v>
      </c>
      <c r="AQ16" s="62">
        <v>1263.33</v>
      </c>
      <c r="AR16" s="62">
        <v>157.01</v>
      </c>
      <c r="AS16" s="62">
        <v>331.05</v>
      </c>
      <c r="AT16" s="62">
        <v>275.98</v>
      </c>
      <c r="AU16" s="62" t="s">
        <v>9344</v>
      </c>
      <c r="AV16" s="62">
        <v>1394.14</v>
      </c>
      <c r="AW16" s="62" t="s">
        <v>9344</v>
      </c>
      <c r="AX16" s="62">
        <v>12.53</v>
      </c>
      <c r="AY16" s="62">
        <v>1160.8800000000001</v>
      </c>
      <c r="AZ16" s="62">
        <v>168.31</v>
      </c>
      <c r="BA16" s="62">
        <v>1187.29</v>
      </c>
      <c r="BB16" s="62" t="s">
        <v>9344</v>
      </c>
      <c r="BC16" s="62">
        <v>75.05</v>
      </c>
      <c r="BD16" s="62">
        <v>115.64</v>
      </c>
      <c r="BE16" s="62">
        <v>52.73</v>
      </c>
      <c r="BF16" s="62" t="s">
        <v>9344</v>
      </c>
      <c r="BG16" s="62" t="s">
        <v>9344</v>
      </c>
      <c r="BH16" s="62">
        <v>595.79</v>
      </c>
      <c r="BI16" s="62" t="s">
        <v>9344</v>
      </c>
      <c r="BJ16" s="62">
        <v>213.05</v>
      </c>
      <c r="BK16" s="62">
        <v>37.619999999999997</v>
      </c>
      <c r="BL16" s="62">
        <v>6.23</v>
      </c>
      <c r="BM16" s="62" t="s">
        <v>9344</v>
      </c>
      <c r="BN16" s="62">
        <v>372.04</v>
      </c>
      <c r="BO16" s="62">
        <v>28.81</v>
      </c>
      <c r="BP16" s="62" t="s">
        <v>9344</v>
      </c>
      <c r="BQ16" s="62">
        <v>334.48</v>
      </c>
      <c r="BR16" s="62" t="s">
        <v>9344</v>
      </c>
      <c r="BS16" s="62">
        <v>175.62</v>
      </c>
      <c r="BT16" s="62">
        <v>13.99</v>
      </c>
      <c r="BU16" s="62">
        <v>301.94</v>
      </c>
      <c r="BV16" s="62">
        <v>8.42</v>
      </c>
      <c r="BW16" s="62">
        <v>1876.29</v>
      </c>
      <c r="BX16" s="62">
        <v>1036.95</v>
      </c>
      <c r="BY16" s="62">
        <v>5.09</v>
      </c>
      <c r="BZ16" s="62">
        <v>276.61</v>
      </c>
      <c r="CA16" s="62" t="s">
        <v>9344</v>
      </c>
      <c r="CB16" s="62">
        <v>40.119999999999997</v>
      </c>
      <c r="CC16" s="62">
        <v>284.74</v>
      </c>
      <c r="CD16" s="62">
        <v>117.71</v>
      </c>
      <c r="CE16" s="62">
        <v>2305</v>
      </c>
      <c r="CF16" s="62">
        <v>406.34</v>
      </c>
      <c r="CG16" s="62" t="s">
        <v>9344</v>
      </c>
      <c r="CH16" s="62">
        <v>108.61</v>
      </c>
      <c r="CI16" s="62">
        <v>29.56</v>
      </c>
      <c r="CJ16" s="62">
        <v>21.65</v>
      </c>
      <c r="CK16" s="62" t="s">
        <v>9344</v>
      </c>
      <c r="CL16" s="62">
        <v>306.56</v>
      </c>
      <c r="CM16" s="62">
        <v>2469.38</v>
      </c>
      <c r="CN16" s="62">
        <v>2011.85</v>
      </c>
      <c r="CO16" s="62">
        <v>54.96</v>
      </c>
      <c r="CP16" s="62">
        <v>32.67</v>
      </c>
      <c r="CQ16" s="62" t="s">
        <v>9344</v>
      </c>
      <c r="CR16" s="62">
        <v>2.08</v>
      </c>
      <c r="CS16" s="62">
        <v>86.58</v>
      </c>
      <c r="CT16" s="62" t="s">
        <v>9344</v>
      </c>
      <c r="CU16" s="62">
        <v>4306.28</v>
      </c>
      <c r="CV16" s="62">
        <v>245.83</v>
      </c>
      <c r="CW16" s="62">
        <v>416.36</v>
      </c>
      <c r="CX16" s="62">
        <v>547.79</v>
      </c>
      <c r="CY16" s="62" t="s">
        <v>9344</v>
      </c>
      <c r="CZ16" s="62">
        <v>179.03</v>
      </c>
      <c r="DA16" s="62">
        <v>78.540000000000006</v>
      </c>
      <c r="DB16" s="62">
        <v>355.53</v>
      </c>
      <c r="DC16" s="62">
        <v>714</v>
      </c>
      <c r="DD16" s="62">
        <v>5.58</v>
      </c>
      <c r="DE16" s="62" t="s">
        <v>9344</v>
      </c>
      <c r="DF16" s="62">
        <v>71.63</v>
      </c>
      <c r="DG16" s="62">
        <v>516.65</v>
      </c>
      <c r="DH16" s="62">
        <v>1.1100000000000001</v>
      </c>
      <c r="DI16" s="62" t="s">
        <v>9344</v>
      </c>
      <c r="DJ16" s="62">
        <v>64.569999999999993</v>
      </c>
      <c r="DK16" s="62">
        <v>2837.9</v>
      </c>
      <c r="DL16" s="62" t="s">
        <v>9344</v>
      </c>
      <c r="DM16" s="62">
        <v>402.52</v>
      </c>
      <c r="DN16" s="62">
        <v>1064.29</v>
      </c>
      <c r="DO16" s="62">
        <v>11.71</v>
      </c>
      <c r="DP16" s="62" t="s">
        <v>9344</v>
      </c>
    </row>
    <row r="17" spans="1:120" x14ac:dyDescent="0.3">
      <c r="A17" s="62">
        <v>41365</v>
      </c>
      <c r="B17" s="62">
        <v>108.08</v>
      </c>
      <c r="C17" s="62">
        <v>1.56</v>
      </c>
      <c r="D17" s="62" t="s">
        <v>9344</v>
      </c>
      <c r="E17" s="62">
        <v>1679.72</v>
      </c>
      <c r="F17" s="62">
        <v>1.36</v>
      </c>
      <c r="G17" s="62">
        <v>5.5</v>
      </c>
      <c r="H17" s="62">
        <v>670.72</v>
      </c>
      <c r="I17" s="62" t="s">
        <v>9344</v>
      </c>
      <c r="J17" s="62">
        <v>96.34</v>
      </c>
      <c r="K17" s="62">
        <v>3895.51</v>
      </c>
      <c r="L17" s="62">
        <v>67.459999999999994</v>
      </c>
      <c r="M17" s="62">
        <v>61.93</v>
      </c>
      <c r="N17" s="62">
        <v>87.94</v>
      </c>
      <c r="O17" s="62">
        <v>0.22</v>
      </c>
      <c r="P17" s="62">
        <v>11.38</v>
      </c>
      <c r="Q17" s="62">
        <v>515.29</v>
      </c>
      <c r="R17" s="62">
        <v>85.68</v>
      </c>
      <c r="S17" s="62">
        <v>129.69999999999999</v>
      </c>
      <c r="T17" s="62">
        <v>153.1</v>
      </c>
      <c r="U17" s="62">
        <v>1082.08</v>
      </c>
      <c r="V17" s="62">
        <v>137.97</v>
      </c>
      <c r="W17" s="62">
        <v>110.57</v>
      </c>
      <c r="X17" s="62">
        <v>4179.82</v>
      </c>
      <c r="Y17" s="62">
        <v>2.76</v>
      </c>
      <c r="Z17" s="62">
        <v>9.1199999999999992</v>
      </c>
      <c r="AA17" s="62">
        <v>363.89</v>
      </c>
      <c r="AB17" s="62">
        <v>490.75</v>
      </c>
      <c r="AC17" s="62" t="s">
        <v>9344</v>
      </c>
      <c r="AD17" s="62" t="s">
        <v>9344</v>
      </c>
      <c r="AE17" s="62">
        <v>3.15</v>
      </c>
      <c r="AF17" s="62">
        <v>1421.64</v>
      </c>
      <c r="AG17" s="62">
        <v>5868.68</v>
      </c>
      <c r="AH17" s="62">
        <v>53.8</v>
      </c>
      <c r="AI17" s="62">
        <v>12130.34</v>
      </c>
      <c r="AJ17" s="62">
        <v>717.59</v>
      </c>
      <c r="AK17" s="62">
        <v>697.61</v>
      </c>
      <c r="AL17" s="62">
        <v>14.57</v>
      </c>
      <c r="AM17" s="62">
        <v>14.98</v>
      </c>
      <c r="AN17" s="62" t="s">
        <v>9344</v>
      </c>
      <c r="AO17" s="62">
        <v>8.43</v>
      </c>
      <c r="AP17" s="62" t="s">
        <v>9344</v>
      </c>
      <c r="AQ17" s="62">
        <v>1256.48</v>
      </c>
      <c r="AR17" s="62">
        <v>152.07</v>
      </c>
      <c r="AS17" s="62">
        <v>342.98</v>
      </c>
      <c r="AT17" s="62">
        <v>295.41000000000003</v>
      </c>
      <c r="AU17" s="62" t="s">
        <v>9344</v>
      </c>
      <c r="AV17" s="62">
        <v>1405.8</v>
      </c>
      <c r="AW17" s="62" t="s">
        <v>9344</v>
      </c>
      <c r="AX17" s="62">
        <v>10.74</v>
      </c>
      <c r="AY17" s="62">
        <v>1165.8599999999999</v>
      </c>
      <c r="AZ17" s="62">
        <v>168.31</v>
      </c>
      <c r="BA17" s="62">
        <v>1118.97</v>
      </c>
      <c r="BB17" s="62" t="s">
        <v>9344</v>
      </c>
      <c r="BC17" s="62">
        <v>75.650000000000006</v>
      </c>
      <c r="BD17" s="62">
        <v>113.99</v>
      </c>
      <c r="BE17" s="62">
        <v>47.94</v>
      </c>
      <c r="BF17" s="62" t="s">
        <v>9344</v>
      </c>
      <c r="BG17" s="62" t="s">
        <v>9344</v>
      </c>
      <c r="BH17" s="62">
        <v>590.26</v>
      </c>
      <c r="BI17" s="62" t="s">
        <v>9344</v>
      </c>
      <c r="BJ17" s="62">
        <v>227.02</v>
      </c>
      <c r="BK17" s="62">
        <v>36.119999999999997</v>
      </c>
      <c r="BL17" s="62">
        <v>10.07</v>
      </c>
      <c r="BM17" s="62" t="s">
        <v>9344</v>
      </c>
      <c r="BN17" s="62">
        <v>345.75</v>
      </c>
      <c r="BO17" s="62">
        <v>25.93</v>
      </c>
      <c r="BP17" s="62" t="s">
        <v>9344</v>
      </c>
      <c r="BQ17" s="62">
        <v>342.14</v>
      </c>
      <c r="BR17" s="62" t="s">
        <v>9344</v>
      </c>
      <c r="BS17" s="62">
        <v>189.55</v>
      </c>
      <c r="BT17" s="62">
        <v>17.559999999999999</v>
      </c>
      <c r="BU17" s="62">
        <v>279.29000000000002</v>
      </c>
      <c r="BV17" s="62">
        <v>8.42</v>
      </c>
      <c r="BW17" s="62">
        <v>1849.46</v>
      </c>
      <c r="BX17" s="62">
        <v>1031.97</v>
      </c>
      <c r="BY17" s="62">
        <v>4.41</v>
      </c>
      <c r="BZ17" s="62">
        <v>287.64</v>
      </c>
      <c r="CA17" s="62" t="s">
        <v>9344</v>
      </c>
      <c r="CB17" s="62">
        <v>45.85</v>
      </c>
      <c r="CC17" s="62">
        <v>273</v>
      </c>
      <c r="CD17" s="62">
        <v>117.71</v>
      </c>
      <c r="CE17" s="62">
        <v>2520</v>
      </c>
      <c r="CF17" s="62">
        <v>417.57</v>
      </c>
      <c r="CG17" s="62" t="s">
        <v>9344</v>
      </c>
      <c r="CH17" s="62">
        <v>96.31</v>
      </c>
      <c r="CI17" s="62">
        <v>28.33</v>
      </c>
      <c r="CJ17" s="62">
        <v>23.09</v>
      </c>
      <c r="CK17" s="62" t="s">
        <v>9344</v>
      </c>
      <c r="CL17" s="62">
        <v>285.35000000000002</v>
      </c>
      <c r="CM17" s="62">
        <v>2544.39</v>
      </c>
      <c r="CN17" s="62">
        <v>2062.44</v>
      </c>
      <c r="CO17" s="62">
        <v>51.53</v>
      </c>
      <c r="CP17" s="62">
        <v>34.25</v>
      </c>
      <c r="CQ17" s="62">
        <v>32.03</v>
      </c>
      <c r="CR17" s="62">
        <v>2.34</v>
      </c>
      <c r="CS17" s="62">
        <v>86.58</v>
      </c>
      <c r="CT17" s="62" t="s">
        <v>9344</v>
      </c>
      <c r="CU17" s="62">
        <v>4244.05</v>
      </c>
      <c r="CV17" s="62">
        <v>236.99</v>
      </c>
      <c r="CW17" s="62">
        <v>432.02</v>
      </c>
      <c r="CX17" s="62">
        <v>565.71</v>
      </c>
      <c r="CY17" s="62" t="s">
        <v>9344</v>
      </c>
      <c r="CZ17" s="62">
        <v>180.2</v>
      </c>
      <c r="DA17" s="62">
        <v>81.349999999999994</v>
      </c>
      <c r="DB17" s="62">
        <v>374.92</v>
      </c>
      <c r="DC17" s="62">
        <v>702.8</v>
      </c>
      <c r="DD17" s="62">
        <v>5.58</v>
      </c>
      <c r="DE17" s="62" t="s">
        <v>9344</v>
      </c>
      <c r="DF17" s="62">
        <v>70.53</v>
      </c>
      <c r="DG17" s="62">
        <v>516.65</v>
      </c>
      <c r="DH17" s="62">
        <v>1.1100000000000001</v>
      </c>
      <c r="DI17" s="62" t="s">
        <v>9344</v>
      </c>
      <c r="DJ17" s="62">
        <v>58.31</v>
      </c>
      <c r="DK17" s="62">
        <v>2837.9</v>
      </c>
      <c r="DL17" s="62" t="s">
        <v>9344</v>
      </c>
      <c r="DM17" s="62">
        <v>416.04</v>
      </c>
      <c r="DN17" s="62">
        <v>1086.07</v>
      </c>
      <c r="DO17" s="62">
        <v>14.51</v>
      </c>
      <c r="DP17" s="62" t="s">
        <v>9344</v>
      </c>
    </row>
    <row r="18" spans="1:120" x14ac:dyDescent="0.3">
      <c r="A18" s="62">
        <v>41395</v>
      </c>
      <c r="B18" s="62">
        <v>95.59</v>
      </c>
      <c r="C18" s="62">
        <v>1.6</v>
      </c>
      <c r="D18" s="62" t="s">
        <v>9344</v>
      </c>
      <c r="E18" s="62">
        <v>1635.95</v>
      </c>
      <c r="F18" s="62">
        <v>1.63</v>
      </c>
      <c r="G18" s="62">
        <v>5</v>
      </c>
      <c r="H18" s="62">
        <v>711.57</v>
      </c>
      <c r="I18" s="62" t="s">
        <v>9344</v>
      </c>
      <c r="J18" s="62">
        <v>98.77</v>
      </c>
      <c r="K18" s="62">
        <v>4087.31</v>
      </c>
      <c r="L18" s="62">
        <v>67.459999999999994</v>
      </c>
      <c r="M18" s="62">
        <v>79.989999999999995</v>
      </c>
      <c r="N18" s="62">
        <v>82.92</v>
      </c>
      <c r="O18" s="62">
        <v>0.22</v>
      </c>
      <c r="P18" s="62">
        <v>9.3699999999999992</v>
      </c>
      <c r="Q18" s="62">
        <v>543.53</v>
      </c>
      <c r="R18" s="62">
        <v>77.39</v>
      </c>
      <c r="S18" s="62">
        <v>124.24</v>
      </c>
      <c r="T18" s="62">
        <v>155.79</v>
      </c>
      <c r="U18" s="62">
        <v>1066.68</v>
      </c>
      <c r="V18" s="62">
        <v>138.94999999999999</v>
      </c>
      <c r="W18" s="62">
        <v>106.23</v>
      </c>
      <c r="X18" s="62">
        <v>3849.83</v>
      </c>
      <c r="Y18" s="62">
        <v>2.76</v>
      </c>
      <c r="Z18" s="62">
        <v>9.1199999999999992</v>
      </c>
      <c r="AA18" s="62">
        <v>384.1</v>
      </c>
      <c r="AB18" s="62">
        <v>516.33000000000004</v>
      </c>
      <c r="AC18" s="62" t="s">
        <v>9344</v>
      </c>
      <c r="AD18" s="62" t="s">
        <v>9344</v>
      </c>
      <c r="AE18" s="62">
        <v>3.32</v>
      </c>
      <c r="AF18" s="62">
        <v>1459.65</v>
      </c>
      <c r="AG18" s="62">
        <v>5921.01</v>
      </c>
      <c r="AH18" s="62">
        <v>52.93</v>
      </c>
      <c r="AI18" s="62">
        <v>13345.34</v>
      </c>
      <c r="AJ18" s="62">
        <v>795.4</v>
      </c>
      <c r="AK18" s="62">
        <v>700.69</v>
      </c>
      <c r="AL18" s="62">
        <v>14.57</v>
      </c>
      <c r="AM18" s="62">
        <v>22.77</v>
      </c>
      <c r="AN18" s="62" t="s">
        <v>9344</v>
      </c>
      <c r="AO18" s="62">
        <v>7.58</v>
      </c>
      <c r="AP18" s="62" t="s">
        <v>9344</v>
      </c>
      <c r="AQ18" s="62">
        <v>1370.71</v>
      </c>
      <c r="AR18" s="62">
        <v>159.55000000000001</v>
      </c>
      <c r="AS18" s="62">
        <v>337.02</v>
      </c>
      <c r="AT18" s="62">
        <v>299.3</v>
      </c>
      <c r="AU18" s="62" t="s">
        <v>9344</v>
      </c>
      <c r="AV18" s="62">
        <v>1347.47</v>
      </c>
      <c r="AW18" s="62" t="s">
        <v>9344</v>
      </c>
      <c r="AX18" s="62">
        <v>10.74</v>
      </c>
      <c r="AY18" s="62">
        <v>1175.83</v>
      </c>
      <c r="AZ18" s="62">
        <v>174.22</v>
      </c>
      <c r="BA18" s="62">
        <v>1037.77</v>
      </c>
      <c r="BB18" s="62" t="s">
        <v>9344</v>
      </c>
      <c r="BC18" s="62">
        <v>75.39</v>
      </c>
      <c r="BD18" s="62">
        <v>117.71</v>
      </c>
      <c r="BE18" s="62">
        <v>38.35</v>
      </c>
      <c r="BF18" s="62" t="s">
        <v>9344</v>
      </c>
      <c r="BG18" s="62" t="s">
        <v>9344</v>
      </c>
      <c r="BH18" s="62">
        <v>672.14</v>
      </c>
      <c r="BI18" s="62" t="s">
        <v>9344</v>
      </c>
      <c r="BJ18" s="62">
        <v>244.49</v>
      </c>
      <c r="BK18" s="62">
        <v>35.81</v>
      </c>
      <c r="BL18" s="62">
        <v>9.59</v>
      </c>
      <c r="BM18" s="62" t="s">
        <v>9344</v>
      </c>
      <c r="BN18" s="62">
        <v>338.02</v>
      </c>
      <c r="BO18" s="62">
        <v>22.18</v>
      </c>
      <c r="BP18" s="62" t="s">
        <v>9344</v>
      </c>
      <c r="BQ18" s="62">
        <v>344.7</v>
      </c>
      <c r="BR18" s="62" t="s">
        <v>9344</v>
      </c>
      <c r="BS18" s="62">
        <v>183.98</v>
      </c>
      <c r="BT18" s="62">
        <v>18.53</v>
      </c>
      <c r="BU18" s="62">
        <v>286.83999999999997</v>
      </c>
      <c r="BV18" s="62">
        <v>12.63</v>
      </c>
      <c r="BW18" s="62">
        <v>2065.39</v>
      </c>
      <c r="BX18" s="62">
        <v>1071.8499999999999</v>
      </c>
      <c r="BY18" s="62">
        <v>4.41</v>
      </c>
      <c r="BZ18" s="62">
        <v>299.76</v>
      </c>
      <c r="CA18" s="62" t="s">
        <v>9344</v>
      </c>
      <c r="CB18" s="62">
        <v>43.94</v>
      </c>
      <c r="CC18" s="62">
        <v>289.64999999999998</v>
      </c>
      <c r="CD18" s="62">
        <v>110.12</v>
      </c>
      <c r="CE18" s="62">
        <v>3000</v>
      </c>
      <c r="CF18" s="62">
        <v>432.56</v>
      </c>
      <c r="CG18" s="62" t="s">
        <v>9344</v>
      </c>
      <c r="CH18" s="62">
        <v>106.89</v>
      </c>
      <c r="CI18" s="62">
        <v>30.79</v>
      </c>
      <c r="CJ18" s="62">
        <v>24.39</v>
      </c>
      <c r="CK18" s="62" t="s">
        <v>9344</v>
      </c>
      <c r="CL18" s="62">
        <v>285.35000000000002</v>
      </c>
      <c r="CM18" s="62">
        <v>2613.62</v>
      </c>
      <c r="CN18" s="62">
        <v>2257.0100000000002</v>
      </c>
      <c r="CO18" s="62">
        <v>53.24</v>
      </c>
      <c r="CP18" s="62">
        <v>31.09</v>
      </c>
      <c r="CQ18" s="62">
        <v>33.06</v>
      </c>
      <c r="CR18" s="62">
        <v>1.95</v>
      </c>
      <c r="CS18" s="62">
        <v>85.26</v>
      </c>
      <c r="CT18" s="62" t="s">
        <v>9344</v>
      </c>
      <c r="CU18" s="62">
        <v>4696.93</v>
      </c>
      <c r="CV18" s="62">
        <v>225.49</v>
      </c>
      <c r="CW18" s="62">
        <v>444.54</v>
      </c>
      <c r="CX18" s="62">
        <v>682.3</v>
      </c>
      <c r="CY18" s="62" t="s">
        <v>9344</v>
      </c>
      <c r="CZ18" s="62">
        <v>181.37</v>
      </c>
      <c r="DA18" s="62">
        <v>80.36</v>
      </c>
      <c r="DB18" s="62">
        <v>477.42</v>
      </c>
      <c r="DC18" s="62">
        <v>655.20000000000005</v>
      </c>
      <c r="DD18" s="62">
        <v>5.58</v>
      </c>
      <c r="DE18" s="62" t="s">
        <v>9344</v>
      </c>
      <c r="DF18" s="62">
        <v>65.02</v>
      </c>
      <c r="DG18" s="62">
        <v>356.03</v>
      </c>
      <c r="DH18" s="62">
        <v>1.1100000000000001</v>
      </c>
      <c r="DI18" s="62" t="s">
        <v>9344</v>
      </c>
      <c r="DJ18" s="62">
        <v>70.81</v>
      </c>
      <c r="DK18" s="62">
        <v>2798.07</v>
      </c>
      <c r="DL18" s="62" t="s">
        <v>9344</v>
      </c>
      <c r="DM18" s="62">
        <v>429.85</v>
      </c>
      <c r="DN18" s="62">
        <v>1247.8900000000001</v>
      </c>
      <c r="DO18" s="62">
        <v>12.19</v>
      </c>
      <c r="DP18" s="62" t="s">
        <v>9344</v>
      </c>
    </row>
    <row r="19" spans="1:120" x14ac:dyDescent="0.3">
      <c r="A19" s="62">
        <v>41426</v>
      </c>
      <c r="B19" s="62">
        <v>94.05</v>
      </c>
      <c r="C19" s="62">
        <v>1.6</v>
      </c>
      <c r="D19" s="62" t="s">
        <v>9344</v>
      </c>
      <c r="E19" s="62">
        <v>1603.9</v>
      </c>
      <c r="F19" s="62">
        <v>1.63</v>
      </c>
      <c r="G19" s="62">
        <v>4.55</v>
      </c>
      <c r="H19" s="62">
        <v>694.55</v>
      </c>
      <c r="I19" s="62" t="s">
        <v>9344</v>
      </c>
      <c r="J19" s="62">
        <v>109.3</v>
      </c>
      <c r="K19" s="62">
        <v>3981.49</v>
      </c>
      <c r="L19" s="62">
        <v>71.53</v>
      </c>
      <c r="M19" s="62">
        <v>81.28</v>
      </c>
      <c r="N19" s="62">
        <v>82.76</v>
      </c>
      <c r="O19" s="62">
        <v>0.22</v>
      </c>
      <c r="P19" s="62">
        <v>8.6999999999999993</v>
      </c>
      <c r="Q19" s="62">
        <v>562.87</v>
      </c>
      <c r="R19" s="62">
        <v>82.91</v>
      </c>
      <c r="S19" s="62">
        <v>114</v>
      </c>
      <c r="T19" s="62">
        <v>162.06</v>
      </c>
      <c r="U19" s="62">
        <v>969.35</v>
      </c>
      <c r="V19" s="62">
        <v>132.41</v>
      </c>
      <c r="W19" s="62">
        <v>109.14</v>
      </c>
      <c r="X19" s="62">
        <v>3783.84</v>
      </c>
      <c r="Y19" s="62">
        <v>2.76</v>
      </c>
      <c r="Z19" s="62">
        <v>7.88</v>
      </c>
      <c r="AA19" s="62">
        <v>406.34</v>
      </c>
      <c r="AB19" s="62">
        <v>571.92999999999995</v>
      </c>
      <c r="AC19" s="62" t="s">
        <v>9344</v>
      </c>
      <c r="AD19" s="62" t="s">
        <v>9344</v>
      </c>
      <c r="AE19" s="62">
        <v>3.49</v>
      </c>
      <c r="AF19" s="62">
        <v>1692.97</v>
      </c>
      <c r="AG19" s="62">
        <v>5742.63</v>
      </c>
      <c r="AH19" s="62">
        <v>55.1</v>
      </c>
      <c r="AI19" s="62">
        <v>12143.53</v>
      </c>
      <c r="AJ19" s="62">
        <v>767.35</v>
      </c>
      <c r="AK19" s="62">
        <v>656.03</v>
      </c>
      <c r="AL19" s="62">
        <v>19.420000000000002</v>
      </c>
      <c r="AM19" s="62">
        <v>14.98</v>
      </c>
      <c r="AN19" s="62" t="s">
        <v>9344</v>
      </c>
      <c r="AO19" s="62">
        <v>11.23</v>
      </c>
      <c r="AP19" s="62" t="s">
        <v>9344</v>
      </c>
      <c r="AQ19" s="62">
        <v>1334.64</v>
      </c>
      <c r="AR19" s="62">
        <v>164.53</v>
      </c>
      <c r="AS19" s="62">
        <v>328.07</v>
      </c>
      <c r="AT19" s="62">
        <v>307.08</v>
      </c>
      <c r="AU19" s="62" t="s">
        <v>9344</v>
      </c>
      <c r="AV19" s="62">
        <v>1329.97</v>
      </c>
      <c r="AW19" s="62" t="s">
        <v>9344</v>
      </c>
      <c r="AX19" s="62">
        <v>10.74</v>
      </c>
      <c r="AY19" s="62">
        <v>1195.76</v>
      </c>
      <c r="AZ19" s="62">
        <v>171.27</v>
      </c>
      <c r="BA19" s="62">
        <v>1021.92</v>
      </c>
      <c r="BB19" s="62" t="s">
        <v>9344</v>
      </c>
      <c r="BC19" s="62">
        <v>77.260000000000005</v>
      </c>
      <c r="BD19" s="62">
        <v>121.84</v>
      </c>
      <c r="BE19" s="62">
        <v>43.15</v>
      </c>
      <c r="BF19" s="62">
        <v>3360</v>
      </c>
      <c r="BG19" s="62" t="s">
        <v>9344</v>
      </c>
      <c r="BH19" s="62">
        <v>601.98</v>
      </c>
      <c r="BI19" s="62" t="s">
        <v>9344</v>
      </c>
      <c r="BJ19" s="62">
        <v>251.47</v>
      </c>
      <c r="BK19" s="62">
        <v>36.72</v>
      </c>
      <c r="BL19" s="62">
        <v>6.23</v>
      </c>
      <c r="BM19" s="62" t="s">
        <v>9344</v>
      </c>
      <c r="BN19" s="62">
        <v>327.84</v>
      </c>
      <c r="BO19" s="62">
        <v>20.16</v>
      </c>
      <c r="BP19" s="62" t="s">
        <v>9344</v>
      </c>
      <c r="BQ19" s="62">
        <v>360.32</v>
      </c>
      <c r="BR19" s="62" t="s">
        <v>9344</v>
      </c>
      <c r="BS19" s="62">
        <v>164.47</v>
      </c>
      <c r="BT19" s="62">
        <v>13.79</v>
      </c>
      <c r="BU19" s="62">
        <v>188.71</v>
      </c>
      <c r="BV19" s="62">
        <v>12.63</v>
      </c>
      <c r="BW19" s="62">
        <v>1916.52</v>
      </c>
      <c r="BX19" s="62">
        <v>1086.8</v>
      </c>
      <c r="BY19" s="62">
        <v>8.0500000000000007</v>
      </c>
      <c r="BZ19" s="62">
        <v>292.04000000000002</v>
      </c>
      <c r="CA19" s="62" t="s">
        <v>9344</v>
      </c>
      <c r="CB19" s="62">
        <v>38.21</v>
      </c>
      <c r="CC19" s="62">
        <v>293.57</v>
      </c>
      <c r="CD19" s="62">
        <v>113.92</v>
      </c>
      <c r="CE19" s="62">
        <v>3295</v>
      </c>
      <c r="CF19" s="62">
        <v>435.36</v>
      </c>
      <c r="CG19" s="62" t="s">
        <v>9344</v>
      </c>
      <c r="CH19" s="62">
        <v>100.73</v>
      </c>
      <c r="CI19" s="62">
        <v>35.72</v>
      </c>
      <c r="CJ19" s="62">
        <v>26.7</v>
      </c>
      <c r="CK19" s="62" t="s">
        <v>9344</v>
      </c>
      <c r="CL19" s="62">
        <v>260.29000000000002</v>
      </c>
      <c r="CM19" s="62">
        <v>2417.4499999999998</v>
      </c>
      <c r="CN19" s="62">
        <v>2276.4699999999998</v>
      </c>
      <c r="CO19" s="62">
        <v>58.05</v>
      </c>
      <c r="CP19" s="62">
        <v>32.14</v>
      </c>
      <c r="CQ19" s="62">
        <v>34.4</v>
      </c>
      <c r="CR19" s="62">
        <v>1.95</v>
      </c>
      <c r="CS19" s="62">
        <v>89.2</v>
      </c>
      <c r="CT19" s="62" t="s">
        <v>9344</v>
      </c>
      <c r="CU19" s="62">
        <v>4197.47</v>
      </c>
      <c r="CV19" s="62">
        <v>224.61</v>
      </c>
      <c r="CW19" s="62">
        <v>481.93</v>
      </c>
      <c r="CX19" s="62">
        <v>656.39</v>
      </c>
      <c r="CY19" s="62" t="s">
        <v>9344</v>
      </c>
      <c r="CZ19" s="62">
        <v>187.22</v>
      </c>
      <c r="DA19" s="62">
        <v>76.98</v>
      </c>
      <c r="DB19" s="62">
        <v>451.62</v>
      </c>
      <c r="DC19" s="62">
        <v>616</v>
      </c>
      <c r="DD19" s="62">
        <v>5.58</v>
      </c>
      <c r="DE19" s="62" t="s">
        <v>9344</v>
      </c>
      <c r="DF19" s="62">
        <v>68.319999999999993</v>
      </c>
      <c r="DG19" s="62">
        <v>395.74</v>
      </c>
      <c r="DH19" s="62">
        <v>1.1100000000000001</v>
      </c>
      <c r="DI19" s="62" t="s">
        <v>9344</v>
      </c>
      <c r="DJ19" s="62">
        <v>60.4</v>
      </c>
      <c r="DK19" s="62">
        <v>2907.6</v>
      </c>
      <c r="DL19" s="62" t="s">
        <v>9344</v>
      </c>
      <c r="DM19" s="62">
        <v>432.92</v>
      </c>
      <c r="DN19" s="62">
        <v>1198.0999999999999</v>
      </c>
      <c r="DO19" s="62">
        <v>15.1</v>
      </c>
      <c r="DP19" s="62" t="s">
        <v>9344</v>
      </c>
    </row>
    <row r="20" spans="1:120" x14ac:dyDescent="0.3">
      <c r="A20" s="62">
        <v>41456</v>
      </c>
      <c r="B20" s="62">
        <v>98.33</v>
      </c>
      <c r="C20" s="62">
        <v>1.07</v>
      </c>
      <c r="D20" s="62" t="s">
        <v>9344</v>
      </c>
      <c r="E20" s="62">
        <v>1609.88</v>
      </c>
      <c r="F20" s="62">
        <v>1.63</v>
      </c>
      <c r="G20" s="62">
        <v>4.55</v>
      </c>
      <c r="H20" s="62">
        <v>656.25</v>
      </c>
      <c r="I20" s="62" t="s">
        <v>9344</v>
      </c>
      <c r="J20" s="62">
        <v>108.49</v>
      </c>
      <c r="K20" s="62">
        <v>3908.74</v>
      </c>
      <c r="L20" s="62">
        <v>71.53</v>
      </c>
      <c r="M20" s="62">
        <v>73.540000000000006</v>
      </c>
      <c r="N20" s="62">
        <v>81.11</v>
      </c>
      <c r="O20" s="62">
        <v>1.32</v>
      </c>
      <c r="P20" s="62">
        <v>6.7</v>
      </c>
      <c r="Q20" s="62">
        <v>537.14</v>
      </c>
      <c r="R20" s="62">
        <v>99.5</v>
      </c>
      <c r="S20" s="62">
        <v>113.32</v>
      </c>
      <c r="T20" s="62">
        <v>162.06</v>
      </c>
      <c r="U20" s="62">
        <v>942.1</v>
      </c>
      <c r="V20" s="62">
        <v>130.78</v>
      </c>
      <c r="W20" s="62">
        <v>110.89</v>
      </c>
      <c r="X20" s="62">
        <v>3732.5</v>
      </c>
      <c r="Y20" s="62">
        <v>4.6900000000000004</v>
      </c>
      <c r="Z20" s="62">
        <v>7.88</v>
      </c>
      <c r="AA20" s="62">
        <v>419.48</v>
      </c>
      <c r="AB20" s="62">
        <v>849.48</v>
      </c>
      <c r="AC20" s="62" t="s">
        <v>9344</v>
      </c>
      <c r="AD20" s="62" t="s">
        <v>9344</v>
      </c>
      <c r="AE20" s="62">
        <v>3.49</v>
      </c>
      <c r="AF20" s="62">
        <v>1828.63</v>
      </c>
      <c r="AG20" s="62">
        <v>5770.07</v>
      </c>
      <c r="AH20" s="62">
        <v>58.57</v>
      </c>
      <c r="AI20" s="62">
        <v>11504.39</v>
      </c>
      <c r="AJ20" s="62">
        <v>751.24</v>
      </c>
      <c r="AK20" s="62">
        <v>686.83</v>
      </c>
      <c r="AL20" s="62">
        <v>18.21</v>
      </c>
      <c r="AM20" s="62">
        <v>16.78</v>
      </c>
      <c r="AN20" s="62" t="s">
        <v>9344</v>
      </c>
      <c r="AO20" s="62">
        <v>13.48</v>
      </c>
      <c r="AP20" s="62" t="s">
        <v>9344</v>
      </c>
      <c r="AQ20" s="62">
        <v>1242.71</v>
      </c>
      <c r="AR20" s="62">
        <v>161.9</v>
      </c>
      <c r="AS20" s="62">
        <v>295.86</v>
      </c>
      <c r="AT20" s="62">
        <v>322.62</v>
      </c>
      <c r="AU20" s="62" t="s">
        <v>9344</v>
      </c>
      <c r="AV20" s="62">
        <v>1307.3</v>
      </c>
      <c r="AW20" s="62" t="s">
        <v>9344</v>
      </c>
      <c r="AX20" s="62">
        <v>11.63</v>
      </c>
      <c r="AY20" s="62">
        <v>1086.6500000000001</v>
      </c>
      <c r="AZ20" s="62">
        <v>171.27</v>
      </c>
      <c r="BA20" s="62">
        <v>1071.43</v>
      </c>
      <c r="BB20" s="62" t="s">
        <v>9344</v>
      </c>
      <c r="BC20" s="62">
        <v>75.8</v>
      </c>
      <c r="BD20" s="62">
        <v>113.99</v>
      </c>
      <c r="BE20" s="62">
        <v>28.76</v>
      </c>
      <c r="BF20" s="62">
        <v>3108</v>
      </c>
      <c r="BG20" s="62" t="s">
        <v>9344</v>
      </c>
      <c r="BH20" s="62">
        <v>673.52</v>
      </c>
      <c r="BI20" s="62" t="s">
        <v>9344</v>
      </c>
      <c r="BJ20" s="62">
        <v>237.5</v>
      </c>
      <c r="BK20" s="62">
        <v>34.31</v>
      </c>
      <c r="BL20" s="62">
        <v>6.23</v>
      </c>
      <c r="BM20" s="62" t="s">
        <v>9344</v>
      </c>
      <c r="BN20" s="62">
        <v>350.24</v>
      </c>
      <c r="BO20" s="62">
        <v>22.47</v>
      </c>
      <c r="BP20" s="62" t="s">
        <v>9344</v>
      </c>
      <c r="BQ20" s="62">
        <v>337.32</v>
      </c>
      <c r="BR20" s="62" t="s">
        <v>9344</v>
      </c>
      <c r="BS20" s="62">
        <v>170.04</v>
      </c>
      <c r="BT20" s="62">
        <v>12.93</v>
      </c>
      <c r="BU20" s="62">
        <v>226.45</v>
      </c>
      <c r="BV20" s="62">
        <v>14.19</v>
      </c>
      <c r="BW20" s="62">
        <v>1837.39</v>
      </c>
      <c r="BX20" s="62">
        <v>1026.98</v>
      </c>
      <c r="BY20" s="62">
        <v>9.1999999999999993</v>
      </c>
      <c r="BZ20" s="62">
        <v>304.17</v>
      </c>
      <c r="CA20" s="62" t="s">
        <v>9344</v>
      </c>
      <c r="CB20" s="62">
        <v>38.21</v>
      </c>
      <c r="CC20" s="62">
        <v>273.02</v>
      </c>
      <c r="CD20" s="62">
        <v>125.31</v>
      </c>
      <c r="CE20" s="62">
        <v>3185</v>
      </c>
      <c r="CF20" s="62">
        <v>444.73</v>
      </c>
      <c r="CG20" s="62" t="s">
        <v>9344</v>
      </c>
      <c r="CH20" s="62">
        <v>90.45</v>
      </c>
      <c r="CI20" s="62">
        <v>30.79</v>
      </c>
      <c r="CJ20" s="62">
        <v>25.98</v>
      </c>
      <c r="CK20" s="62" t="s">
        <v>9344</v>
      </c>
      <c r="CL20" s="62">
        <v>252.58</v>
      </c>
      <c r="CM20" s="62">
        <v>2509.77</v>
      </c>
      <c r="CN20" s="62">
        <v>2101.35</v>
      </c>
      <c r="CO20" s="62">
        <v>51.53</v>
      </c>
      <c r="CP20" s="62">
        <v>34.25</v>
      </c>
      <c r="CQ20" s="62">
        <v>26.29</v>
      </c>
      <c r="CR20" s="62">
        <v>1.95</v>
      </c>
      <c r="CS20" s="62">
        <v>81.33</v>
      </c>
      <c r="CT20" s="62" t="s">
        <v>9344</v>
      </c>
      <c r="CU20" s="62">
        <v>4006.68</v>
      </c>
      <c r="CV20" s="62">
        <v>213.11</v>
      </c>
      <c r="CW20" s="62">
        <v>467.59</v>
      </c>
      <c r="CX20" s="62">
        <v>613.21</v>
      </c>
      <c r="CY20" s="62" t="s">
        <v>9344</v>
      </c>
      <c r="CZ20" s="62">
        <v>187.22</v>
      </c>
      <c r="DA20" s="62">
        <v>71.900000000000006</v>
      </c>
      <c r="DB20" s="62">
        <v>400</v>
      </c>
      <c r="DC20" s="62">
        <v>582.4</v>
      </c>
      <c r="DD20" s="62">
        <v>5.58</v>
      </c>
      <c r="DE20" s="62" t="s">
        <v>9344</v>
      </c>
      <c r="DF20" s="62">
        <v>63.92</v>
      </c>
      <c r="DG20" s="62">
        <v>404.03</v>
      </c>
      <c r="DH20" s="62">
        <v>1.1100000000000001</v>
      </c>
      <c r="DI20" s="62" t="s">
        <v>9344</v>
      </c>
      <c r="DJ20" s="62">
        <v>82.51</v>
      </c>
      <c r="DK20" s="62">
        <v>2668.62</v>
      </c>
      <c r="DL20" s="62" t="s">
        <v>9344</v>
      </c>
      <c r="DM20" s="62">
        <v>423.71</v>
      </c>
      <c r="DN20" s="62">
        <v>1120.3</v>
      </c>
      <c r="DO20" s="62">
        <v>15.01</v>
      </c>
      <c r="DP20" s="62" t="s">
        <v>9344</v>
      </c>
    </row>
    <row r="21" spans="1:120" x14ac:dyDescent="0.3">
      <c r="A21" s="62">
        <v>41487</v>
      </c>
      <c r="B21" s="62">
        <v>98.33</v>
      </c>
      <c r="C21" s="62">
        <v>1.07</v>
      </c>
      <c r="D21" s="62" t="s">
        <v>9344</v>
      </c>
      <c r="E21" s="62">
        <v>1560.6</v>
      </c>
      <c r="F21" s="62">
        <v>1.27</v>
      </c>
      <c r="G21" s="62">
        <v>4.55</v>
      </c>
      <c r="H21" s="62">
        <v>761.72</v>
      </c>
      <c r="I21" s="62" t="s">
        <v>9344</v>
      </c>
      <c r="J21" s="62">
        <v>104.44</v>
      </c>
      <c r="K21" s="62">
        <v>4199.74</v>
      </c>
      <c r="L21" s="62">
        <v>69.09</v>
      </c>
      <c r="M21" s="62">
        <v>80.77</v>
      </c>
      <c r="N21" s="62">
        <v>82.09</v>
      </c>
      <c r="O21" s="62">
        <v>1.32</v>
      </c>
      <c r="P21" s="62">
        <v>8.0399999999999991</v>
      </c>
      <c r="Q21" s="62">
        <v>507.1</v>
      </c>
      <c r="R21" s="62">
        <v>96.73</v>
      </c>
      <c r="S21" s="62">
        <v>107.17</v>
      </c>
      <c r="T21" s="62">
        <v>159.31</v>
      </c>
      <c r="U21" s="62">
        <v>1051.1099999999999</v>
      </c>
      <c r="V21" s="62">
        <v>142.22</v>
      </c>
      <c r="W21" s="62">
        <v>113.81</v>
      </c>
      <c r="X21" s="62">
        <v>3967.16</v>
      </c>
      <c r="Y21" s="62">
        <v>4.41</v>
      </c>
      <c r="Z21" s="62">
        <v>8.2899999999999991</v>
      </c>
      <c r="AA21" s="62">
        <v>404.32</v>
      </c>
      <c r="AB21" s="62">
        <v>1436.82</v>
      </c>
      <c r="AC21" s="62" t="s">
        <v>9344</v>
      </c>
      <c r="AD21" s="62" t="s">
        <v>9344</v>
      </c>
      <c r="AE21" s="62">
        <v>3.49</v>
      </c>
      <c r="AF21" s="62">
        <v>1929.2</v>
      </c>
      <c r="AG21" s="62">
        <v>5660.29</v>
      </c>
      <c r="AH21" s="62">
        <v>58.57</v>
      </c>
      <c r="AI21" s="62">
        <v>11472.44</v>
      </c>
      <c r="AJ21" s="62">
        <v>776.49</v>
      </c>
      <c r="AK21" s="62">
        <v>625.23</v>
      </c>
      <c r="AL21" s="62">
        <v>20.63</v>
      </c>
      <c r="AM21" s="62">
        <v>14.98</v>
      </c>
      <c r="AN21" s="62" t="s">
        <v>9344</v>
      </c>
      <c r="AO21" s="62">
        <v>14.04</v>
      </c>
      <c r="AP21" s="62" t="s">
        <v>9344</v>
      </c>
      <c r="AQ21" s="62">
        <v>1242.71</v>
      </c>
      <c r="AR21" s="62">
        <v>164.45</v>
      </c>
      <c r="AS21" s="62">
        <v>283.33</v>
      </c>
      <c r="AT21" s="62">
        <v>338.17</v>
      </c>
      <c r="AU21" s="62" t="s">
        <v>9344</v>
      </c>
      <c r="AV21" s="62">
        <v>1459.72</v>
      </c>
      <c r="AW21" s="62" t="s">
        <v>9344</v>
      </c>
      <c r="AX21" s="62">
        <v>8.9499999999999993</v>
      </c>
      <c r="AY21" s="62">
        <v>1147.01</v>
      </c>
      <c r="AZ21" s="62">
        <v>178.65</v>
      </c>
      <c r="BA21" s="62">
        <v>1034.8</v>
      </c>
      <c r="BB21" s="62" t="s">
        <v>9344</v>
      </c>
      <c r="BC21" s="62">
        <v>77.709999999999994</v>
      </c>
      <c r="BD21" s="62">
        <v>114.4</v>
      </c>
      <c r="BE21" s="62">
        <v>47.94</v>
      </c>
      <c r="BF21" s="62">
        <v>3290</v>
      </c>
      <c r="BG21" s="62" t="s">
        <v>9344</v>
      </c>
      <c r="BH21" s="62">
        <v>690.32</v>
      </c>
      <c r="BI21" s="62" t="s">
        <v>9344</v>
      </c>
      <c r="BJ21" s="62">
        <v>244.49</v>
      </c>
      <c r="BK21" s="62">
        <v>37.619999999999997</v>
      </c>
      <c r="BL21" s="62">
        <v>5.75</v>
      </c>
      <c r="BM21" s="62" t="s">
        <v>9344</v>
      </c>
      <c r="BN21" s="62">
        <v>342.09</v>
      </c>
      <c r="BO21" s="62">
        <v>21.6</v>
      </c>
      <c r="BP21" s="62" t="s">
        <v>9344</v>
      </c>
      <c r="BQ21" s="62">
        <v>342.43</v>
      </c>
      <c r="BR21" s="62" t="s">
        <v>9344</v>
      </c>
      <c r="BS21" s="62">
        <v>167.62</v>
      </c>
      <c r="BT21" s="62">
        <v>12.93</v>
      </c>
      <c r="BU21" s="62">
        <v>241.55</v>
      </c>
      <c r="BV21" s="62">
        <v>14.19</v>
      </c>
      <c r="BW21" s="62">
        <v>1917.86</v>
      </c>
      <c r="BX21" s="62">
        <v>1026.98</v>
      </c>
      <c r="BY21" s="62">
        <v>8.0500000000000007</v>
      </c>
      <c r="BZ21" s="62">
        <v>571.99</v>
      </c>
      <c r="CA21" s="62" t="s">
        <v>9344</v>
      </c>
      <c r="CB21" s="62">
        <v>45.85</v>
      </c>
      <c r="CC21" s="62">
        <v>276.95</v>
      </c>
      <c r="CD21" s="62">
        <v>132.9</v>
      </c>
      <c r="CE21" s="62">
        <v>3542.76</v>
      </c>
      <c r="CF21" s="62">
        <v>438.17</v>
      </c>
      <c r="CG21" s="62" t="s">
        <v>9344</v>
      </c>
      <c r="CH21" s="62">
        <v>94.56</v>
      </c>
      <c r="CI21" s="62">
        <v>37.04</v>
      </c>
      <c r="CJ21" s="62">
        <v>27.42</v>
      </c>
      <c r="CK21" s="62" t="s">
        <v>9344</v>
      </c>
      <c r="CL21" s="62">
        <v>260.29000000000002</v>
      </c>
      <c r="CM21" s="62">
        <v>2428.9899999999998</v>
      </c>
      <c r="CN21" s="62">
        <v>2089.6799999999998</v>
      </c>
      <c r="CO21" s="62">
        <v>49.12</v>
      </c>
      <c r="CP21" s="62">
        <v>33.72</v>
      </c>
      <c r="CQ21" s="62">
        <v>31.54</v>
      </c>
      <c r="CR21" s="62">
        <v>2.34</v>
      </c>
      <c r="CS21" s="62">
        <v>83.95</v>
      </c>
      <c r="CT21" s="62" t="s">
        <v>9344</v>
      </c>
      <c r="CU21" s="62">
        <v>4124.79</v>
      </c>
      <c r="CV21" s="62">
        <v>229.96</v>
      </c>
      <c r="CW21" s="62">
        <v>484.64</v>
      </c>
      <c r="CX21" s="62">
        <v>660.71</v>
      </c>
      <c r="CY21" s="62">
        <v>383.41</v>
      </c>
      <c r="CZ21" s="62">
        <v>193.07</v>
      </c>
      <c r="DA21" s="62">
        <v>77.540000000000006</v>
      </c>
      <c r="DB21" s="62">
        <v>433.94</v>
      </c>
      <c r="DC21" s="62">
        <v>674.8</v>
      </c>
      <c r="DD21" s="62">
        <v>5.58</v>
      </c>
      <c r="DE21" s="62" t="s">
        <v>9344</v>
      </c>
      <c r="DF21" s="62">
        <v>68.319999999999993</v>
      </c>
      <c r="DG21" s="62">
        <v>387.45</v>
      </c>
      <c r="DH21" s="62">
        <v>1.1100000000000001</v>
      </c>
      <c r="DI21" s="62" t="s">
        <v>9344</v>
      </c>
      <c r="DJ21" s="62">
        <v>86.24</v>
      </c>
      <c r="DK21" s="62">
        <v>2738.32</v>
      </c>
      <c r="DL21" s="62" t="s">
        <v>9344</v>
      </c>
      <c r="DM21" s="62">
        <v>466.08</v>
      </c>
      <c r="DN21" s="62">
        <v>1210.55</v>
      </c>
      <c r="DO21" s="62">
        <v>13.86</v>
      </c>
      <c r="DP21" s="62" t="s">
        <v>9344</v>
      </c>
    </row>
    <row r="22" spans="1:120" x14ac:dyDescent="0.3">
      <c r="A22" s="62">
        <v>41518</v>
      </c>
      <c r="B22" s="62">
        <v>114.19</v>
      </c>
      <c r="C22" s="62">
        <v>1.07</v>
      </c>
      <c r="D22" s="62" t="s">
        <v>9344</v>
      </c>
      <c r="E22" s="62">
        <v>1566.07</v>
      </c>
      <c r="F22" s="62">
        <v>2.1800000000000002</v>
      </c>
      <c r="G22" s="62">
        <v>4.57</v>
      </c>
      <c r="H22" s="62">
        <v>765.62</v>
      </c>
      <c r="I22" s="62" t="s">
        <v>9344</v>
      </c>
      <c r="J22" s="62">
        <v>102.01</v>
      </c>
      <c r="K22" s="62">
        <v>4093.92</v>
      </c>
      <c r="L22" s="62">
        <v>65.02</v>
      </c>
      <c r="M22" s="62">
        <v>75.09</v>
      </c>
      <c r="N22" s="62">
        <v>84.49</v>
      </c>
      <c r="O22" s="62">
        <v>1.32</v>
      </c>
      <c r="P22" s="62">
        <v>7.37</v>
      </c>
      <c r="Q22" s="62">
        <v>520.04</v>
      </c>
      <c r="R22" s="62">
        <v>92.86</v>
      </c>
      <c r="S22" s="62">
        <v>113.32</v>
      </c>
      <c r="T22" s="62">
        <v>153.82</v>
      </c>
      <c r="U22" s="62">
        <v>1148.43</v>
      </c>
      <c r="V22" s="62">
        <v>150.4</v>
      </c>
      <c r="W22" s="62">
        <v>113.81</v>
      </c>
      <c r="X22" s="62">
        <v>3849.83</v>
      </c>
      <c r="Y22" s="62">
        <v>4.1399999999999997</v>
      </c>
      <c r="Z22" s="62">
        <v>5.8</v>
      </c>
      <c r="AA22" s="62">
        <v>404.32</v>
      </c>
      <c r="AB22" s="62">
        <v>1413.36</v>
      </c>
      <c r="AC22" s="62" t="s">
        <v>9344</v>
      </c>
      <c r="AD22" s="62" t="s">
        <v>9344</v>
      </c>
      <c r="AE22" s="62">
        <v>3.49</v>
      </c>
      <c r="AF22" s="62">
        <v>2011.3</v>
      </c>
      <c r="AG22" s="62">
        <v>6181.73</v>
      </c>
      <c r="AH22" s="62">
        <v>69.849999999999994</v>
      </c>
      <c r="AI22" s="62">
        <v>11232.76</v>
      </c>
      <c r="AJ22" s="62">
        <v>741.26</v>
      </c>
      <c r="AK22" s="62">
        <v>649.87</v>
      </c>
      <c r="AL22" s="62">
        <v>18.21</v>
      </c>
      <c r="AM22" s="62">
        <v>14.98</v>
      </c>
      <c r="AN22" s="62" t="s">
        <v>9344</v>
      </c>
      <c r="AO22" s="62">
        <v>12.64</v>
      </c>
      <c r="AP22" s="62" t="s">
        <v>9344</v>
      </c>
      <c r="AQ22" s="62">
        <v>1266.8399999999999</v>
      </c>
      <c r="AR22" s="62">
        <v>163.16999999999999</v>
      </c>
      <c r="AS22" s="62">
        <v>283.33</v>
      </c>
      <c r="AT22" s="62">
        <v>342.06</v>
      </c>
      <c r="AU22" s="62" t="s">
        <v>9344</v>
      </c>
      <c r="AV22" s="62">
        <v>1430.41</v>
      </c>
      <c r="AW22" s="62" t="s">
        <v>9344</v>
      </c>
      <c r="AX22" s="62">
        <v>11.63</v>
      </c>
      <c r="AY22" s="62">
        <v>1167.1400000000001</v>
      </c>
      <c r="AZ22" s="62">
        <v>168.31</v>
      </c>
      <c r="BA22" s="62">
        <v>1079.3599999999999</v>
      </c>
      <c r="BB22" s="62" t="s">
        <v>9344</v>
      </c>
      <c r="BC22" s="62">
        <v>79.61</v>
      </c>
      <c r="BD22" s="62">
        <v>113.58</v>
      </c>
      <c r="BE22" s="62">
        <v>52.73</v>
      </c>
      <c r="BF22" s="62">
        <v>3136</v>
      </c>
      <c r="BG22" s="62" t="s">
        <v>9344</v>
      </c>
      <c r="BH22" s="62">
        <v>684</v>
      </c>
      <c r="BI22" s="62" t="s">
        <v>9344</v>
      </c>
      <c r="BJ22" s="62">
        <v>237.5</v>
      </c>
      <c r="BK22" s="62">
        <v>23.48</v>
      </c>
      <c r="BL22" s="62">
        <v>5.27</v>
      </c>
      <c r="BM22" s="62" t="s">
        <v>9344</v>
      </c>
      <c r="BN22" s="62">
        <v>348.2</v>
      </c>
      <c r="BO22" s="62">
        <v>20.16</v>
      </c>
      <c r="BP22" s="62" t="s">
        <v>9344</v>
      </c>
      <c r="BQ22" s="62">
        <v>324.55</v>
      </c>
      <c r="BR22" s="62" t="s">
        <v>9344</v>
      </c>
      <c r="BS22" s="62">
        <v>140.22</v>
      </c>
      <c r="BT22" s="62">
        <v>13.36</v>
      </c>
      <c r="BU22" s="62">
        <v>256.64999999999998</v>
      </c>
      <c r="BV22" s="62">
        <v>12.46</v>
      </c>
      <c r="BW22" s="62">
        <v>1971.51</v>
      </c>
      <c r="BX22" s="62">
        <v>1041.94</v>
      </c>
      <c r="BY22" s="62">
        <v>8.0500000000000007</v>
      </c>
      <c r="BZ22" s="62">
        <v>549.35</v>
      </c>
      <c r="CA22" s="62" t="s">
        <v>9344</v>
      </c>
      <c r="CB22" s="62">
        <v>40.119999999999997</v>
      </c>
      <c r="CC22" s="62">
        <v>274.04000000000002</v>
      </c>
      <c r="CD22" s="62">
        <v>129.1</v>
      </c>
      <c r="CE22" s="62">
        <v>3433.29</v>
      </c>
      <c r="CF22" s="62">
        <v>430.68</v>
      </c>
      <c r="CG22" s="62" t="s">
        <v>9344</v>
      </c>
      <c r="CH22" s="62">
        <v>94.56</v>
      </c>
      <c r="CI22" s="62">
        <v>31.12</v>
      </c>
      <c r="CJ22" s="62">
        <v>26.7</v>
      </c>
      <c r="CK22" s="62" t="s">
        <v>9344</v>
      </c>
      <c r="CL22" s="62">
        <v>308.49</v>
      </c>
      <c r="CM22" s="62">
        <v>2278.98</v>
      </c>
      <c r="CN22" s="62">
        <v>2233.66</v>
      </c>
      <c r="CO22" s="62">
        <v>51.53</v>
      </c>
      <c r="CP22" s="62">
        <v>35.299999999999997</v>
      </c>
      <c r="CQ22" s="62">
        <v>24.45</v>
      </c>
      <c r="CR22" s="62">
        <v>2.34</v>
      </c>
      <c r="CS22" s="62">
        <v>89.2</v>
      </c>
      <c r="CT22" s="62" t="s">
        <v>9344</v>
      </c>
      <c r="CU22" s="62">
        <v>4079.36</v>
      </c>
      <c r="CV22" s="62">
        <v>247.64</v>
      </c>
      <c r="CW22" s="62">
        <v>489.03</v>
      </c>
      <c r="CX22" s="62">
        <v>649.91</v>
      </c>
      <c r="CY22" s="62">
        <v>474.14</v>
      </c>
      <c r="CZ22" s="62">
        <v>193.07</v>
      </c>
      <c r="DA22" s="62">
        <v>71.900000000000006</v>
      </c>
      <c r="DB22" s="62">
        <v>481.05</v>
      </c>
      <c r="DC22" s="62">
        <v>644</v>
      </c>
      <c r="DD22" s="62">
        <v>5.58</v>
      </c>
      <c r="DE22" s="62" t="s">
        <v>9344</v>
      </c>
      <c r="DF22" s="62">
        <v>76.040000000000006</v>
      </c>
      <c r="DG22" s="62">
        <v>358.44</v>
      </c>
      <c r="DH22" s="62">
        <v>1.1100000000000001</v>
      </c>
      <c r="DI22" s="62" t="s">
        <v>9344</v>
      </c>
      <c r="DJ22" s="62">
        <v>105.46</v>
      </c>
      <c r="DK22" s="62">
        <v>2738.32</v>
      </c>
      <c r="DL22" s="62" t="s">
        <v>9344</v>
      </c>
      <c r="DM22" s="62">
        <v>466.08</v>
      </c>
      <c r="DN22" s="62">
        <v>1163.8699999999999</v>
      </c>
      <c r="DO22" s="62">
        <v>21.94</v>
      </c>
      <c r="DP22" s="62">
        <v>1448</v>
      </c>
    </row>
    <row r="23" spans="1:120" x14ac:dyDescent="0.3">
      <c r="A23" s="62">
        <v>41548</v>
      </c>
      <c r="B23" s="62">
        <v>124.64</v>
      </c>
      <c r="C23" s="62">
        <v>1.07</v>
      </c>
      <c r="D23" s="62" t="s">
        <v>9344</v>
      </c>
      <c r="E23" s="62">
        <v>1635.66</v>
      </c>
      <c r="F23" s="62">
        <v>4.72</v>
      </c>
      <c r="G23" s="62">
        <v>3.55</v>
      </c>
      <c r="H23" s="62">
        <v>732.95</v>
      </c>
      <c r="I23" s="62" t="s">
        <v>9344</v>
      </c>
      <c r="J23" s="62">
        <v>100.39</v>
      </c>
      <c r="K23" s="62">
        <v>4431.2299999999996</v>
      </c>
      <c r="L23" s="62">
        <v>63.4</v>
      </c>
      <c r="M23" s="62">
        <v>75.61</v>
      </c>
      <c r="N23" s="62">
        <v>86.29</v>
      </c>
      <c r="O23" s="62">
        <v>1.32</v>
      </c>
      <c r="P23" s="62">
        <v>8.93</v>
      </c>
      <c r="Q23" s="62">
        <v>524.37</v>
      </c>
      <c r="R23" s="62">
        <v>88.44</v>
      </c>
      <c r="S23" s="62">
        <v>124.24</v>
      </c>
      <c r="T23" s="62">
        <v>156.56</v>
      </c>
      <c r="U23" s="62">
        <v>1043.32</v>
      </c>
      <c r="V23" s="62">
        <v>153.66</v>
      </c>
      <c r="W23" s="62">
        <v>132.43</v>
      </c>
      <c r="X23" s="62">
        <v>3952.49</v>
      </c>
      <c r="Y23" s="62">
        <v>4.6900000000000004</v>
      </c>
      <c r="Z23" s="62">
        <v>5.8</v>
      </c>
      <c r="AA23" s="62">
        <v>389.16</v>
      </c>
      <c r="AB23" s="62">
        <v>1483.74</v>
      </c>
      <c r="AC23" s="62" t="s">
        <v>9344</v>
      </c>
      <c r="AD23" s="62" t="s">
        <v>9344</v>
      </c>
      <c r="AE23" s="62">
        <v>3.49</v>
      </c>
      <c r="AF23" s="62">
        <v>1974.07</v>
      </c>
      <c r="AG23" s="62">
        <v>6517.91</v>
      </c>
      <c r="AH23" s="62">
        <v>65.08</v>
      </c>
      <c r="AI23" s="62">
        <v>11232.76</v>
      </c>
      <c r="AJ23" s="62">
        <v>744.15</v>
      </c>
      <c r="AK23" s="62">
        <v>650.87</v>
      </c>
      <c r="AL23" s="62">
        <v>21.85</v>
      </c>
      <c r="AM23" s="62">
        <v>14.38</v>
      </c>
      <c r="AN23" s="62" t="s">
        <v>9344</v>
      </c>
      <c r="AO23" s="62">
        <v>11.23</v>
      </c>
      <c r="AP23" s="62" t="s">
        <v>9344</v>
      </c>
      <c r="AQ23" s="62">
        <v>1234.58</v>
      </c>
      <c r="AR23" s="62">
        <v>161.9</v>
      </c>
      <c r="AS23" s="62">
        <v>287.51</v>
      </c>
      <c r="AT23" s="62">
        <v>322.62</v>
      </c>
      <c r="AU23" s="62" t="s">
        <v>9344</v>
      </c>
      <c r="AV23" s="62">
        <v>1456.79</v>
      </c>
      <c r="AW23" s="62" t="s">
        <v>9344</v>
      </c>
      <c r="AX23" s="62">
        <v>9.84</v>
      </c>
      <c r="AY23" s="62">
        <v>1106.77</v>
      </c>
      <c r="AZ23" s="62">
        <v>177.17</v>
      </c>
      <c r="BA23" s="62">
        <v>1133.82</v>
      </c>
      <c r="BB23" s="62" t="s">
        <v>9344</v>
      </c>
      <c r="BC23" s="62">
        <v>77.989999999999995</v>
      </c>
      <c r="BD23" s="62">
        <v>117.71</v>
      </c>
      <c r="BE23" s="62">
        <v>55.13</v>
      </c>
      <c r="BF23" s="62">
        <v>3136</v>
      </c>
      <c r="BG23" s="62" t="s">
        <v>9344</v>
      </c>
      <c r="BH23" s="62">
        <v>658.75</v>
      </c>
      <c r="BI23" s="62" t="s">
        <v>9344</v>
      </c>
      <c r="BJ23" s="62">
        <v>237.5</v>
      </c>
      <c r="BK23" s="62">
        <v>24.08</v>
      </c>
      <c r="BL23" s="62">
        <v>4.79</v>
      </c>
      <c r="BM23" s="62" t="s">
        <v>9344</v>
      </c>
      <c r="BN23" s="62">
        <v>321.97000000000003</v>
      </c>
      <c r="BO23" s="62">
        <v>21.03</v>
      </c>
      <c r="BP23" s="62" t="s">
        <v>9344</v>
      </c>
      <c r="BQ23" s="62">
        <v>321.99</v>
      </c>
      <c r="BR23" s="62" t="s">
        <v>9344</v>
      </c>
      <c r="BS23" s="62">
        <v>148.63999999999999</v>
      </c>
      <c r="BT23" s="62">
        <v>13.79</v>
      </c>
      <c r="BU23" s="62">
        <v>286.83999999999997</v>
      </c>
      <c r="BV23" s="62">
        <v>14.38</v>
      </c>
      <c r="BW23" s="62">
        <v>1853.49</v>
      </c>
      <c r="BX23" s="62">
        <v>1041.83</v>
      </c>
      <c r="BY23" s="62">
        <v>9.1999999999999993</v>
      </c>
      <c r="BZ23" s="62">
        <v>547.29999999999995</v>
      </c>
      <c r="CA23" s="62" t="s">
        <v>9344</v>
      </c>
      <c r="CB23" s="62">
        <v>42.03</v>
      </c>
      <c r="CC23" s="62">
        <v>278.93</v>
      </c>
      <c r="CD23" s="62">
        <v>129.1</v>
      </c>
      <c r="CE23" s="62">
        <v>3478.07</v>
      </c>
      <c r="CF23" s="62">
        <v>412.89</v>
      </c>
      <c r="CG23" s="62" t="s">
        <v>9344</v>
      </c>
      <c r="CH23" s="62">
        <v>91.27</v>
      </c>
      <c r="CI23" s="62">
        <v>26.67</v>
      </c>
      <c r="CJ23" s="62">
        <v>25.29</v>
      </c>
      <c r="CK23" s="62" t="s">
        <v>9344</v>
      </c>
      <c r="CL23" s="62">
        <v>320.06</v>
      </c>
      <c r="CM23" s="62">
        <v>2336.6799999999998</v>
      </c>
      <c r="CN23" s="62">
        <v>2288.14</v>
      </c>
      <c r="CO23" s="62">
        <v>46.37</v>
      </c>
      <c r="CP23" s="62">
        <v>32.67</v>
      </c>
      <c r="CQ23" s="62">
        <v>18.399999999999999</v>
      </c>
      <c r="CR23" s="62">
        <v>2.6</v>
      </c>
      <c r="CS23" s="62">
        <v>90.51</v>
      </c>
      <c r="CT23" s="62" t="s">
        <v>9344</v>
      </c>
      <c r="CU23" s="62">
        <v>4179.6400000000003</v>
      </c>
      <c r="CV23" s="62">
        <v>259.14</v>
      </c>
      <c r="CW23" s="62">
        <v>472.92</v>
      </c>
      <c r="CX23" s="62">
        <v>669.35</v>
      </c>
      <c r="CY23" s="62">
        <v>475.61</v>
      </c>
      <c r="CZ23" s="62">
        <v>196.58</v>
      </c>
      <c r="DA23" s="62">
        <v>72.180000000000007</v>
      </c>
      <c r="DB23" s="62">
        <v>448.55</v>
      </c>
      <c r="DC23" s="62">
        <v>646.79999999999995</v>
      </c>
      <c r="DD23" s="62">
        <v>4.46</v>
      </c>
      <c r="DE23" s="62" t="s">
        <v>9344</v>
      </c>
      <c r="DF23" s="62">
        <v>82.65</v>
      </c>
      <c r="DG23" s="62">
        <v>372.95</v>
      </c>
      <c r="DH23" s="62">
        <v>1.1100000000000001</v>
      </c>
      <c r="DI23" s="62" t="s">
        <v>9344</v>
      </c>
      <c r="DJ23" s="62">
        <v>105.46</v>
      </c>
      <c r="DK23" s="62">
        <v>2648.71</v>
      </c>
      <c r="DL23" s="62" t="s">
        <v>9344</v>
      </c>
      <c r="DM23" s="62">
        <v>459.97</v>
      </c>
      <c r="DN23" s="62">
        <v>1142.0899999999999</v>
      </c>
      <c r="DO23" s="62">
        <v>22.82</v>
      </c>
      <c r="DP23" s="62">
        <v>1552</v>
      </c>
    </row>
    <row r="24" spans="1:120" x14ac:dyDescent="0.3">
      <c r="A24" s="62">
        <v>41579</v>
      </c>
      <c r="B24" s="62">
        <v>139.81</v>
      </c>
      <c r="C24" s="62">
        <v>1.07</v>
      </c>
      <c r="D24" s="62" t="s">
        <v>9344</v>
      </c>
      <c r="E24" s="62">
        <v>1816.97</v>
      </c>
      <c r="F24" s="62">
        <v>4.54</v>
      </c>
      <c r="G24" s="62">
        <v>4.08</v>
      </c>
      <c r="H24" s="62">
        <v>729.03</v>
      </c>
      <c r="I24" s="62" t="s">
        <v>9344</v>
      </c>
      <c r="J24" s="62">
        <v>97.96</v>
      </c>
      <c r="K24" s="62">
        <v>4629.6400000000003</v>
      </c>
      <c r="L24" s="62">
        <v>61.77</v>
      </c>
      <c r="M24" s="62">
        <v>78.7</v>
      </c>
      <c r="N24" s="62">
        <v>86.11</v>
      </c>
      <c r="O24" s="62">
        <v>1.32</v>
      </c>
      <c r="P24" s="62">
        <v>15.35</v>
      </c>
      <c r="Q24" s="62">
        <v>511.56</v>
      </c>
      <c r="R24" s="62">
        <v>86.23</v>
      </c>
      <c r="S24" s="62">
        <v>125.3</v>
      </c>
      <c r="T24" s="62">
        <v>151.07</v>
      </c>
      <c r="U24" s="62">
        <v>1038.49</v>
      </c>
      <c r="V24" s="62">
        <v>161.51</v>
      </c>
      <c r="W24" s="62">
        <v>114.82</v>
      </c>
      <c r="X24" s="62">
        <v>3813.17</v>
      </c>
      <c r="Y24" s="62">
        <v>47.92</v>
      </c>
      <c r="Z24" s="62">
        <v>4.97</v>
      </c>
      <c r="AA24" s="62">
        <v>379.05</v>
      </c>
      <c r="AB24" s="62">
        <v>1422.96</v>
      </c>
      <c r="AC24" s="62" t="s">
        <v>9344</v>
      </c>
      <c r="AD24" s="62" t="s">
        <v>9344</v>
      </c>
      <c r="AE24" s="62">
        <v>3.49</v>
      </c>
      <c r="AF24" s="62">
        <v>2028.77</v>
      </c>
      <c r="AG24" s="62">
        <v>6761.61</v>
      </c>
      <c r="AH24" s="62">
        <v>69.42</v>
      </c>
      <c r="AI24" s="62">
        <v>11025.04</v>
      </c>
      <c r="AJ24" s="62">
        <v>735.93</v>
      </c>
      <c r="AK24" s="62">
        <v>678.63</v>
      </c>
      <c r="AL24" s="62">
        <v>21.85</v>
      </c>
      <c r="AM24" s="62">
        <v>14.38</v>
      </c>
      <c r="AN24" s="62" t="s">
        <v>9344</v>
      </c>
      <c r="AO24" s="62">
        <v>13.48</v>
      </c>
      <c r="AP24" s="62">
        <v>68.180000000000007</v>
      </c>
      <c r="AQ24" s="62">
        <v>1240.6300000000001</v>
      </c>
      <c r="AR24" s="62">
        <v>160.62</v>
      </c>
      <c r="AS24" s="62">
        <v>293.47000000000003</v>
      </c>
      <c r="AT24" s="62">
        <v>330.4</v>
      </c>
      <c r="AU24" s="62" t="s">
        <v>9344</v>
      </c>
      <c r="AV24" s="62">
        <v>1465.59</v>
      </c>
      <c r="AW24" s="62" t="s">
        <v>9344</v>
      </c>
      <c r="AX24" s="62">
        <v>10.74</v>
      </c>
      <c r="AY24" s="62">
        <v>1096.71</v>
      </c>
      <c r="AZ24" s="62">
        <v>183.08</v>
      </c>
      <c r="BA24" s="62">
        <v>1158.58</v>
      </c>
      <c r="BB24" s="62" t="s">
        <v>9344</v>
      </c>
      <c r="BC24" s="62">
        <v>83.02</v>
      </c>
      <c r="BD24" s="62">
        <v>117.71</v>
      </c>
      <c r="BE24" s="62">
        <v>57.53</v>
      </c>
      <c r="BF24" s="62">
        <v>3128.38</v>
      </c>
      <c r="BG24" s="62">
        <v>2003.11</v>
      </c>
      <c r="BH24" s="62">
        <v>859.23</v>
      </c>
      <c r="BI24" s="62" t="s">
        <v>9344</v>
      </c>
      <c r="BJ24" s="62">
        <v>234.01</v>
      </c>
      <c r="BK24" s="62">
        <v>24.08</v>
      </c>
      <c r="BL24" s="62">
        <v>6.2</v>
      </c>
      <c r="BM24" s="62" t="s">
        <v>9344</v>
      </c>
      <c r="BN24" s="62">
        <v>341.76</v>
      </c>
      <c r="BO24" s="62">
        <v>19.3</v>
      </c>
      <c r="BP24" s="62" t="s">
        <v>9344</v>
      </c>
      <c r="BQ24" s="62">
        <v>327.10000000000002</v>
      </c>
      <c r="BR24" s="62" t="s">
        <v>9344</v>
      </c>
      <c r="BS24" s="62">
        <v>347.44</v>
      </c>
      <c r="BT24" s="62">
        <v>12.93</v>
      </c>
      <c r="BU24" s="62">
        <v>324.58</v>
      </c>
      <c r="BV24" s="62">
        <v>33.56</v>
      </c>
      <c r="BW24" s="62">
        <v>1844.1</v>
      </c>
      <c r="BX24" s="62">
        <v>1054.43</v>
      </c>
      <c r="BY24" s="62">
        <v>4.83</v>
      </c>
      <c r="BZ24" s="62">
        <v>539.07000000000005</v>
      </c>
      <c r="CA24" s="62" t="s">
        <v>9344</v>
      </c>
      <c r="CB24" s="62">
        <v>42.03</v>
      </c>
      <c r="CC24" s="62">
        <v>290.68</v>
      </c>
      <c r="CD24" s="62">
        <v>132.9</v>
      </c>
      <c r="CE24" s="62">
        <v>3766.67</v>
      </c>
      <c r="CF24" s="62">
        <v>427.87</v>
      </c>
      <c r="CG24" s="62" t="s">
        <v>9344</v>
      </c>
      <c r="CH24" s="62">
        <v>90.45</v>
      </c>
      <c r="CI24" s="62">
        <v>44.45</v>
      </c>
      <c r="CJ24" s="62">
        <v>26.01</v>
      </c>
      <c r="CK24" s="62" t="s">
        <v>9344</v>
      </c>
      <c r="CL24" s="62">
        <v>329.7</v>
      </c>
      <c r="CM24" s="62">
        <v>2256.2600000000002</v>
      </c>
      <c r="CN24" s="62">
        <v>2397.1</v>
      </c>
      <c r="CO24" s="62">
        <v>60.11</v>
      </c>
      <c r="CP24" s="62">
        <v>33.72</v>
      </c>
      <c r="CQ24" s="62">
        <v>26.29</v>
      </c>
      <c r="CR24" s="62">
        <v>3.8</v>
      </c>
      <c r="CS24" s="62">
        <v>86.58</v>
      </c>
      <c r="CT24" s="62" t="s">
        <v>9344</v>
      </c>
      <c r="CU24" s="62">
        <v>4282.41</v>
      </c>
      <c r="CV24" s="62">
        <v>282.14</v>
      </c>
      <c r="CW24" s="62">
        <v>467.13</v>
      </c>
      <c r="CX24" s="62">
        <v>699.58</v>
      </c>
      <c r="CY24" s="62">
        <v>534.14</v>
      </c>
      <c r="CZ24" s="62">
        <v>198.92</v>
      </c>
      <c r="DA24" s="62">
        <v>68.09</v>
      </c>
      <c r="DB24" s="62">
        <v>455.05</v>
      </c>
      <c r="DC24" s="62">
        <v>644</v>
      </c>
      <c r="DD24" s="62">
        <v>5.58</v>
      </c>
      <c r="DE24" s="62" t="s">
        <v>9344</v>
      </c>
      <c r="DF24" s="62">
        <v>88.16</v>
      </c>
      <c r="DG24" s="62">
        <v>379.16</v>
      </c>
      <c r="DH24" s="62">
        <v>1.1100000000000001</v>
      </c>
      <c r="DI24" s="62" t="s">
        <v>9344</v>
      </c>
      <c r="DJ24" s="62">
        <v>115.04</v>
      </c>
      <c r="DK24" s="62">
        <v>2608.88</v>
      </c>
      <c r="DL24" s="62" t="s">
        <v>9344</v>
      </c>
      <c r="DM24" s="62">
        <v>439.68</v>
      </c>
      <c r="DN24" s="62">
        <v>1138.98</v>
      </c>
      <c r="DO24" s="62">
        <v>30.25</v>
      </c>
      <c r="DP24" s="62">
        <v>1544</v>
      </c>
    </row>
    <row r="25" spans="1:120" x14ac:dyDescent="0.3">
      <c r="A25" s="62">
        <v>41609</v>
      </c>
      <c r="B25" s="62">
        <v>133.69</v>
      </c>
      <c r="C25" s="62">
        <v>1.6</v>
      </c>
      <c r="D25" s="62" t="s">
        <v>9344</v>
      </c>
      <c r="E25" s="62">
        <v>1774.28</v>
      </c>
      <c r="F25" s="62">
        <v>2.72</v>
      </c>
      <c r="G25" s="62">
        <v>5.61</v>
      </c>
      <c r="H25" s="62">
        <v>740.79</v>
      </c>
      <c r="I25" s="62" t="s">
        <v>9344</v>
      </c>
      <c r="J25" s="62">
        <v>98.77</v>
      </c>
      <c r="K25" s="62">
        <v>4722.3</v>
      </c>
      <c r="L25" s="62">
        <v>62.58</v>
      </c>
      <c r="M25" s="62">
        <v>74.83</v>
      </c>
      <c r="N25" s="62">
        <v>87.1</v>
      </c>
      <c r="O25" s="62">
        <v>1.32</v>
      </c>
      <c r="P25" s="62">
        <v>25.35</v>
      </c>
      <c r="Q25" s="62">
        <v>519.12</v>
      </c>
      <c r="R25" s="62">
        <v>82.91</v>
      </c>
      <c r="S25" s="62">
        <v>115.03</v>
      </c>
      <c r="T25" s="62">
        <v>153.82</v>
      </c>
      <c r="U25" s="62">
        <v>570.77</v>
      </c>
      <c r="V25" s="62">
        <v>147.13</v>
      </c>
      <c r="W25" s="62">
        <v>114.15</v>
      </c>
      <c r="X25" s="62">
        <v>3527.18</v>
      </c>
      <c r="Y25" s="62">
        <v>45.52</v>
      </c>
      <c r="Z25" s="62">
        <v>5.39</v>
      </c>
      <c r="AA25" s="62">
        <v>382.08</v>
      </c>
      <c r="AB25" s="62">
        <v>1380.16</v>
      </c>
      <c r="AC25" s="62" t="s">
        <v>9344</v>
      </c>
      <c r="AD25" s="62" t="s">
        <v>9344</v>
      </c>
      <c r="AE25" s="62">
        <v>3.49</v>
      </c>
      <c r="AF25" s="62">
        <v>2111.12</v>
      </c>
      <c r="AG25" s="62">
        <v>6348.89</v>
      </c>
      <c r="AH25" s="62">
        <v>69.42</v>
      </c>
      <c r="AI25" s="62">
        <v>10385.91</v>
      </c>
      <c r="AJ25" s="62">
        <v>702.51</v>
      </c>
      <c r="AK25" s="62">
        <v>701.77</v>
      </c>
      <c r="AL25" s="62">
        <v>22.45</v>
      </c>
      <c r="AM25" s="62">
        <v>12.58</v>
      </c>
      <c r="AN25" s="62" t="s">
        <v>9344</v>
      </c>
      <c r="AO25" s="62">
        <v>14.04</v>
      </c>
      <c r="AP25" s="62">
        <v>54.54</v>
      </c>
      <c r="AQ25" s="62">
        <v>1234.58</v>
      </c>
      <c r="AR25" s="62">
        <v>161.9</v>
      </c>
      <c r="AS25" s="62">
        <v>248.74</v>
      </c>
      <c r="AT25" s="62">
        <v>338.17</v>
      </c>
      <c r="AU25" s="62" t="s">
        <v>9344</v>
      </c>
      <c r="AV25" s="62">
        <v>1406.96</v>
      </c>
      <c r="AW25" s="62" t="s">
        <v>9344</v>
      </c>
      <c r="AX25" s="62">
        <v>10.74</v>
      </c>
      <c r="AY25" s="62">
        <v>1111.8</v>
      </c>
      <c r="AZ25" s="62">
        <v>191.94</v>
      </c>
      <c r="BA25" s="62">
        <v>1148.67</v>
      </c>
      <c r="BB25" s="62" t="s">
        <v>9344</v>
      </c>
      <c r="BC25" s="62">
        <v>83.74</v>
      </c>
      <c r="BD25" s="62">
        <v>121.01</v>
      </c>
      <c r="BE25" s="62">
        <v>52.53</v>
      </c>
      <c r="BF25" s="62">
        <v>2915.01</v>
      </c>
      <c r="BG25" s="62">
        <v>1846.13</v>
      </c>
      <c r="BH25" s="62">
        <v>901.34</v>
      </c>
      <c r="BI25" s="62" t="s">
        <v>9344</v>
      </c>
      <c r="BJ25" s="62">
        <v>234.01</v>
      </c>
      <c r="BK25" s="62">
        <v>20.16</v>
      </c>
      <c r="BL25" s="62">
        <v>7.33</v>
      </c>
      <c r="BM25" s="62" t="s">
        <v>9344</v>
      </c>
      <c r="BN25" s="62">
        <v>337.81</v>
      </c>
      <c r="BO25" s="62">
        <v>19.3</v>
      </c>
      <c r="BP25" s="62" t="s">
        <v>9344</v>
      </c>
      <c r="BQ25" s="62">
        <v>311.77</v>
      </c>
      <c r="BR25" s="62" t="s">
        <v>9344</v>
      </c>
      <c r="BS25" s="62">
        <v>448.73</v>
      </c>
      <c r="BT25" s="62">
        <v>10.34</v>
      </c>
      <c r="BU25" s="62">
        <v>301.94</v>
      </c>
      <c r="BV25" s="62">
        <v>33.770000000000003</v>
      </c>
      <c r="BW25" s="62">
        <v>1802.52</v>
      </c>
      <c r="BX25" s="62">
        <v>1043.8399999999999</v>
      </c>
      <c r="BY25" s="62">
        <v>11.82</v>
      </c>
      <c r="BZ25" s="62">
        <v>541.13</v>
      </c>
      <c r="CA25" s="62" t="s">
        <v>9344</v>
      </c>
      <c r="CB25" s="62">
        <v>38.21</v>
      </c>
      <c r="CC25" s="62">
        <v>278.93</v>
      </c>
      <c r="CD25" s="62">
        <v>136.69999999999999</v>
      </c>
      <c r="CE25" s="62">
        <v>3856.23</v>
      </c>
      <c r="CF25" s="62">
        <v>413.83</v>
      </c>
      <c r="CG25" s="62" t="s">
        <v>9344</v>
      </c>
      <c r="CH25" s="62">
        <v>86.34</v>
      </c>
      <c r="CI25" s="62">
        <v>29.63</v>
      </c>
      <c r="CJ25" s="62">
        <v>25.29</v>
      </c>
      <c r="CK25" s="62" t="s">
        <v>9344</v>
      </c>
      <c r="CL25" s="62">
        <v>320.06</v>
      </c>
      <c r="CM25" s="62">
        <v>2105.46</v>
      </c>
      <c r="CN25" s="62">
        <v>2229.77</v>
      </c>
      <c r="CO25" s="62">
        <v>51.53</v>
      </c>
      <c r="CP25" s="62">
        <v>35.83</v>
      </c>
      <c r="CQ25" s="62">
        <v>38.380000000000003</v>
      </c>
      <c r="CR25" s="62">
        <v>4.22</v>
      </c>
      <c r="CS25" s="62">
        <v>88.15</v>
      </c>
      <c r="CT25" s="62" t="s">
        <v>9344</v>
      </c>
      <c r="CU25" s="62">
        <v>4195.41</v>
      </c>
      <c r="CV25" s="62">
        <v>265.33</v>
      </c>
      <c r="CW25" s="62">
        <v>446.56</v>
      </c>
      <c r="CX25" s="62">
        <v>701.74</v>
      </c>
      <c r="CY25" s="62">
        <v>560.49</v>
      </c>
      <c r="CZ25" s="62">
        <v>204.77</v>
      </c>
      <c r="DA25" s="62">
        <v>60.99</v>
      </c>
      <c r="DB25" s="62">
        <v>504.4</v>
      </c>
      <c r="DC25" s="62">
        <v>616</v>
      </c>
      <c r="DD25" s="62">
        <v>7.14</v>
      </c>
      <c r="DE25" s="62" t="s">
        <v>9344</v>
      </c>
      <c r="DF25" s="62">
        <v>105.79</v>
      </c>
      <c r="DG25" s="62">
        <v>352.23</v>
      </c>
      <c r="DH25" s="62">
        <v>1.1100000000000001</v>
      </c>
      <c r="DI25" s="62" t="s">
        <v>9344</v>
      </c>
      <c r="DJ25" s="62">
        <v>103.73</v>
      </c>
      <c r="DK25" s="62">
        <v>2608.88</v>
      </c>
      <c r="DL25" s="62" t="s">
        <v>9344</v>
      </c>
      <c r="DM25" s="62">
        <v>429.53</v>
      </c>
      <c r="DN25" s="62">
        <v>1151.42</v>
      </c>
      <c r="DO25" s="62">
        <v>31.51</v>
      </c>
      <c r="DP25" s="62">
        <v>1480</v>
      </c>
    </row>
    <row r="26" spans="1:120" x14ac:dyDescent="0.3">
      <c r="A26" s="62">
        <v>41640</v>
      </c>
      <c r="B26" s="62">
        <v>130.02000000000001</v>
      </c>
      <c r="C26" s="62">
        <v>1.07</v>
      </c>
      <c r="D26" s="62" t="s">
        <v>9344</v>
      </c>
      <c r="E26" s="62">
        <v>1801.74</v>
      </c>
      <c r="F26" s="62">
        <v>4.72</v>
      </c>
      <c r="G26" s="62">
        <v>5.0999999999999996</v>
      </c>
      <c r="H26" s="62">
        <v>719.91</v>
      </c>
      <c r="I26" s="62" t="s">
        <v>9344</v>
      </c>
      <c r="J26" s="62">
        <v>97.15</v>
      </c>
      <c r="K26" s="62">
        <v>4669.38</v>
      </c>
      <c r="L26" s="62">
        <v>61.77</v>
      </c>
      <c r="M26" s="62">
        <v>74.83</v>
      </c>
      <c r="N26" s="62">
        <v>83</v>
      </c>
      <c r="O26" s="62">
        <v>1.1000000000000001</v>
      </c>
      <c r="P26" s="62">
        <v>19.84</v>
      </c>
      <c r="Q26" s="62">
        <v>517.11</v>
      </c>
      <c r="R26" s="62">
        <v>88.44</v>
      </c>
      <c r="S26" s="62">
        <v>117.77</v>
      </c>
      <c r="T26" s="62">
        <v>153.82</v>
      </c>
      <c r="U26" s="62">
        <v>570.77</v>
      </c>
      <c r="V26" s="62">
        <v>150.4</v>
      </c>
      <c r="W26" s="62">
        <v>115.1</v>
      </c>
      <c r="X26" s="62">
        <v>3761.87</v>
      </c>
      <c r="Y26" s="62">
        <v>40.729999999999997</v>
      </c>
      <c r="Z26" s="62">
        <v>4.1500000000000004</v>
      </c>
      <c r="AA26" s="62">
        <v>379.05</v>
      </c>
      <c r="AB26" s="62">
        <v>1431.82</v>
      </c>
      <c r="AC26" s="62" t="s">
        <v>9344</v>
      </c>
      <c r="AD26" s="62" t="s">
        <v>9344</v>
      </c>
      <c r="AE26" s="62">
        <v>3.49</v>
      </c>
      <c r="AF26" s="62">
        <v>2120.23</v>
      </c>
      <c r="AG26" s="62">
        <v>5853.64</v>
      </c>
      <c r="AH26" s="62">
        <v>71.59</v>
      </c>
      <c r="AI26" s="62">
        <v>9251.4500000000007</v>
      </c>
      <c r="AJ26" s="62">
        <v>619.19000000000005</v>
      </c>
      <c r="AK26" s="62">
        <v>727.99</v>
      </c>
      <c r="AL26" s="62">
        <v>18.670000000000002</v>
      </c>
      <c r="AM26" s="62">
        <v>11.38</v>
      </c>
      <c r="AN26" s="62" t="s">
        <v>9344</v>
      </c>
      <c r="AO26" s="62">
        <v>12.64</v>
      </c>
      <c r="AP26" s="62">
        <v>50.72</v>
      </c>
      <c r="AQ26" s="62">
        <v>1196.3499999999999</v>
      </c>
      <c r="AR26" s="62">
        <v>162.78</v>
      </c>
      <c r="AS26" s="62">
        <v>230.84</v>
      </c>
      <c r="AT26" s="62">
        <v>330.4</v>
      </c>
      <c r="AU26" s="62" t="s">
        <v>9344</v>
      </c>
      <c r="AV26" s="62">
        <v>1274.75</v>
      </c>
      <c r="AW26" s="62" t="s">
        <v>9344</v>
      </c>
      <c r="AX26" s="62">
        <v>8.23</v>
      </c>
      <c r="AY26" s="62">
        <v>1095.95</v>
      </c>
      <c r="AZ26" s="62">
        <v>206.7</v>
      </c>
      <c r="BA26" s="62">
        <v>1185.31</v>
      </c>
      <c r="BB26" s="62" t="s">
        <v>9344</v>
      </c>
      <c r="BC26" s="62">
        <v>86.47</v>
      </c>
      <c r="BD26" s="62">
        <v>116.05</v>
      </c>
      <c r="BE26" s="62">
        <v>44.23</v>
      </c>
      <c r="BF26" s="62">
        <v>2956.68</v>
      </c>
      <c r="BG26" s="62">
        <v>1934.04</v>
      </c>
      <c r="BH26" s="62">
        <v>833.95</v>
      </c>
      <c r="BI26" s="62" t="s">
        <v>9344</v>
      </c>
      <c r="BJ26" s="62">
        <v>247.98</v>
      </c>
      <c r="BK26" s="62">
        <v>19.260000000000002</v>
      </c>
      <c r="BL26" s="62">
        <v>7.89</v>
      </c>
      <c r="BM26" s="62" t="s">
        <v>9344</v>
      </c>
      <c r="BN26" s="62">
        <v>331.63</v>
      </c>
      <c r="BO26" s="62">
        <v>21.6</v>
      </c>
      <c r="BP26" s="62" t="s">
        <v>9344</v>
      </c>
      <c r="BQ26" s="62">
        <v>316.91000000000003</v>
      </c>
      <c r="BR26" s="62" t="s">
        <v>9344</v>
      </c>
      <c r="BS26" s="62">
        <v>423.27</v>
      </c>
      <c r="BT26" s="62">
        <v>10.34</v>
      </c>
      <c r="BU26" s="62">
        <v>301.94</v>
      </c>
      <c r="BV26" s="62">
        <v>36.020000000000003</v>
      </c>
      <c r="BW26" s="62">
        <v>1837.39</v>
      </c>
      <c r="BX26" s="62">
        <v>1049.1400000000001</v>
      </c>
      <c r="BY26" s="62">
        <v>16.55</v>
      </c>
      <c r="BZ26" s="62">
        <v>530.84</v>
      </c>
      <c r="CA26" s="62" t="s">
        <v>9344</v>
      </c>
      <c r="CB26" s="62">
        <v>37.25</v>
      </c>
      <c r="CC26" s="62">
        <v>275.02</v>
      </c>
      <c r="CD26" s="62">
        <v>144.29</v>
      </c>
      <c r="CE26" s="62">
        <v>3905.99</v>
      </c>
      <c r="CF26" s="62">
        <v>435.36</v>
      </c>
      <c r="CG26" s="62" t="s">
        <v>9344</v>
      </c>
      <c r="CH26" s="62">
        <v>78.89</v>
      </c>
      <c r="CI26" s="62">
        <v>30.53</v>
      </c>
      <c r="CJ26" s="62">
        <v>30.35</v>
      </c>
      <c r="CK26" s="62" t="s">
        <v>9344</v>
      </c>
      <c r="CL26" s="62">
        <v>333.55</v>
      </c>
      <c r="CM26" s="62">
        <v>2163.46</v>
      </c>
      <c r="CN26" s="62">
        <v>2272.58</v>
      </c>
      <c r="CO26" s="62">
        <v>54.96</v>
      </c>
      <c r="CP26" s="62">
        <v>31.61</v>
      </c>
      <c r="CQ26" s="62">
        <v>33.65</v>
      </c>
      <c r="CR26" s="62">
        <v>5.62</v>
      </c>
      <c r="CS26" s="62">
        <v>82.38</v>
      </c>
      <c r="CT26" s="62" t="s">
        <v>9344</v>
      </c>
      <c r="CU26" s="62">
        <v>4204.66</v>
      </c>
      <c r="CV26" s="62">
        <v>269.75</v>
      </c>
      <c r="CW26" s="62">
        <v>451.84</v>
      </c>
      <c r="CX26" s="62">
        <v>703.76</v>
      </c>
      <c r="CY26" s="62">
        <v>576.58000000000004</v>
      </c>
      <c r="CZ26" s="62">
        <v>204.77</v>
      </c>
      <c r="DA26" s="62">
        <v>62.41</v>
      </c>
      <c r="DB26" s="62">
        <v>524.04999999999995</v>
      </c>
      <c r="DC26" s="62">
        <v>576.79999999999995</v>
      </c>
      <c r="DD26" s="62">
        <v>5.36</v>
      </c>
      <c r="DE26" s="62" t="s">
        <v>9344</v>
      </c>
      <c r="DF26" s="62">
        <v>103.59</v>
      </c>
      <c r="DG26" s="62">
        <v>362.59</v>
      </c>
      <c r="DH26" s="62">
        <v>1.1100000000000001</v>
      </c>
      <c r="DI26" s="62" t="s">
        <v>9344</v>
      </c>
      <c r="DJ26" s="62">
        <v>108.67</v>
      </c>
      <c r="DK26" s="62">
        <v>2559.09</v>
      </c>
      <c r="DL26" s="62" t="s">
        <v>9344</v>
      </c>
      <c r="DM26" s="62">
        <v>433.59</v>
      </c>
      <c r="DN26" s="62">
        <v>1163.8699999999999</v>
      </c>
      <c r="DO26" s="62">
        <v>30.25</v>
      </c>
      <c r="DP26" s="62">
        <v>1480</v>
      </c>
    </row>
    <row r="27" spans="1:120" x14ac:dyDescent="0.3">
      <c r="A27" s="62">
        <v>41671</v>
      </c>
      <c r="B27" s="62">
        <v>123.22</v>
      </c>
      <c r="C27" s="62">
        <v>1.07</v>
      </c>
      <c r="D27" s="62" t="s">
        <v>9344</v>
      </c>
      <c r="E27" s="62">
        <v>1884.21</v>
      </c>
      <c r="F27" s="62">
        <v>5.17</v>
      </c>
      <c r="G27" s="62">
        <v>5.0999999999999996</v>
      </c>
      <c r="H27" s="62">
        <v>719.91</v>
      </c>
      <c r="I27" s="62" t="s">
        <v>9344</v>
      </c>
      <c r="J27" s="62">
        <v>97.15</v>
      </c>
      <c r="K27" s="62">
        <v>4801.66</v>
      </c>
      <c r="L27" s="62">
        <v>62.58</v>
      </c>
      <c r="M27" s="62">
        <v>72.25</v>
      </c>
      <c r="N27" s="62">
        <v>82.99</v>
      </c>
      <c r="O27" s="62">
        <v>1.1000000000000001</v>
      </c>
      <c r="P27" s="62">
        <v>20.94</v>
      </c>
      <c r="Q27" s="62">
        <v>510.89</v>
      </c>
      <c r="R27" s="62">
        <v>136.53</v>
      </c>
      <c r="S27" s="62">
        <v>125.99</v>
      </c>
      <c r="T27" s="62">
        <v>153.82</v>
      </c>
      <c r="U27" s="62">
        <v>539.05999999999995</v>
      </c>
      <c r="V27" s="62">
        <v>151.05000000000001</v>
      </c>
      <c r="W27" s="62">
        <v>109.71</v>
      </c>
      <c r="X27" s="62">
        <v>3739.87</v>
      </c>
      <c r="Y27" s="62">
        <v>36.74</v>
      </c>
      <c r="Z27" s="62">
        <v>4.1500000000000004</v>
      </c>
      <c r="AA27" s="62">
        <v>354.79</v>
      </c>
      <c r="AB27" s="62">
        <v>1431.82</v>
      </c>
      <c r="AC27" s="62" t="s">
        <v>9344</v>
      </c>
      <c r="AD27" s="62" t="s">
        <v>9344</v>
      </c>
      <c r="AE27" s="62">
        <v>3.49</v>
      </c>
      <c r="AF27" s="62">
        <v>2230.62</v>
      </c>
      <c r="AG27" s="62">
        <v>6163.18</v>
      </c>
      <c r="AH27" s="62">
        <v>73.760000000000005</v>
      </c>
      <c r="AI27" s="62">
        <v>9986.4500000000007</v>
      </c>
      <c r="AJ27" s="62">
        <v>665.45</v>
      </c>
      <c r="AK27" s="62">
        <v>717.19</v>
      </c>
      <c r="AL27" s="62">
        <v>18.8</v>
      </c>
      <c r="AM27" s="62">
        <v>11.98</v>
      </c>
      <c r="AN27" s="62" t="s">
        <v>9344</v>
      </c>
      <c r="AO27" s="62">
        <v>12.36</v>
      </c>
      <c r="AP27" s="62">
        <v>72.81</v>
      </c>
      <c r="AQ27" s="62">
        <v>1178.1400000000001</v>
      </c>
      <c r="AR27" s="62">
        <v>162.78</v>
      </c>
      <c r="AS27" s="62">
        <v>185.51</v>
      </c>
      <c r="AT27" s="62">
        <v>338.17</v>
      </c>
      <c r="AU27" s="62" t="s">
        <v>9344</v>
      </c>
      <c r="AV27" s="62">
        <v>1235.56</v>
      </c>
      <c r="AW27" s="62" t="s">
        <v>9344</v>
      </c>
      <c r="AX27" s="62">
        <v>8.9499999999999993</v>
      </c>
      <c r="AY27" s="62">
        <v>1136.54</v>
      </c>
      <c r="AZ27" s="62">
        <v>221.46</v>
      </c>
      <c r="BA27" s="62">
        <v>1284.3399999999999</v>
      </c>
      <c r="BB27" s="62" t="s">
        <v>9344</v>
      </c>
      <c r="BC27" s="62">
        <v>86.06</v>
      </c>
      <c r="BD27" s="62">
        <v>122.25</v>
      </c>
      <c r="BE27" s="62">
        <v>66.349999999999994</v>
      </c>
      <c r="BF27" s="62">
        <v>2755.4</v>
      </c>
      <c r="BG27" s="62">
        <v>1895.67</v>
      </c>
      <c r="BH27" s="62">
        <v>859.23</v>
      </c>
      <c r="BI27" s="62" t="s">
        <v>9344</v>
      </c>
      <c r="BJ27" s="62">
        <v>230.52</v>
      </c>
      <c r="BK27" s="62">
        <v>18.96</v>
      </c>
      <c r="BL27" s="62">
        <v>7.33</v>
      </c>
      <c r="BM27" s="62" t="s">
        <v>9344</v>
      </c>
      <c r="BN27" s="62">
        <v>317.20999999999998</v>
      </c>
      <c r="BO27" s="62">
        <v>19.59</v>
      </c>
      <c r="BP27" s="62" t="s">
        <v>9344</v>
      </c>
      <c r="BQ27" s="62">
        <v>327.13</v>
      </c>
      <c r="BR27" s="62" t="s">
        <v>9344</v>
      </c>
      <c r="BS27" s="62">
        <v>534.66</v>
      </c>
      <c r="BT27" s="62">
        <v>18.53</v>
      </c>
      <c r="BU27" s="62">
        <v>309.49</v>
      </c>
      <c r="BV27" s="62">
        <v>48.49</v>
      </c>
      <c r="BW27" s="62">
        <v>1937.98</v>
      </c>
      <c r="BX27" s="62">
        <v>1054.43</v>
      </c>
      <c r="BY27" s="62">
        <v>14.19</v>
      </c>
      <c r="BZ27" s="62">
        <v>522.61</v>
      </c>
      <c r="CA27" s="62" t="s">
        <v>9344</v>
      </c>
      <c r="CB27" s="62">
        <v>40.119999999999997</v>
      </c>
      <c r="CC27" s="62">
        <v>268.17</v>
      </c>
      <c r="CD27" s="62">
        <v>155.69</v>
      </c>
      <c r="CE27" s="62">
        <v>3925.89</v>
      </c>
      <c r="CF27" s="62">
        <v>426</v>
      </c>
      <c r="CG27" s="62" t="s">
        <v>9344</v>
      </c>
      <c r="CH27" s="62">
        <v>76.81</v>
      </c>
      <c r="CI27" s="62">
        <v>37.28</v>
      </c>
      <c r="CJ27" s="62">
        <v>26.01</v>
      </c>
      <c r="CK27" s="62" t="s">
        <v>9344</v>
      </c>
      <c r="CL27" s="62">
        <v>333.55</v>
      </c>
      <c r="CM27" s="62">
        <v>2204.06</v>
      </c>
      <c r="CN27" s="62">
        <v>2245.34</v>
      </c>
      <c r="CO27" s="62">
        <v>61.83</v>
      </c>
      <c r="CP27" s="62">
        <v>32.67</v>
      </c>
      <c r="CQ27" s="62">
        <v>26.81</v>
      </c>
      <c r="CR27" s="62">
        <v>5.62</v>
      </c>
      <c r="CS27" s="62">
        <v>92.35</v>
      </c>
      <c r="CT27" s="62" t="s">
        <v>9344</v>
      </c>
      <c r="CU27" s="62">
        <v>4277.63</v>
      </c>
      <c r="CV27" s="62">
        <v>275.95</v>
      </c>
      <c r="CW27" s="62">
        <v>451.84</v>
      </c>
      <c r="CX27" s="62">
        <v>749.24</v>
      </c>
      <c r="CY27" s="62">
        <v>547.32000000000005</v>
      </c>
      <c r="CZ27" s="62">
        <v>216.47</v>
      </c>
      <c r="DA27" s="62">
        <v>58.16</v>
      </c>
      <c r="DB27" s="62">
        <v>596.11</v>
      </c>
      <c r="DC27" s="62">
        <v>560</v>
      </c>
      <c r="DD27" s="62">
        <v>5.36</v>
      </c>
      <c r="DE27" s="62" t="s">
        <v>9344</v>
      </c>
      <c r="DF27" s="62">
        <v>104.69</v>
      </c>
      <c r="DG27" s="62">
        <v>311.75</v>
      </c>
      <c r="DH27" s="62">
        <v>1.1100000000000001</v>
      </c>
      <c r="DI27" s="62" t="s">
        <v>9344</v>
      </c>
      <c r="DJ27" s="62">
        <v>113.61</v>
      </c>
      <c r="DK27" s="62">
        <v>2519.2600000000002</v>
      </c>
      <c r="DL27" s="62" t="s">
        <v>9344</v>
      </c>
      <c r="DM27" s="62">
        <v>431.9</v>
      </c>
      <c r="DN27" s="62">
        <v>1110.97</v>
      </c>
      <c r="DO27" s="62">
        <v>21.43</v>
      </c>
      <c r="DP27" s="62">
        <v>1452</v>
      </c>
    </row>
    <row r="28" spans="1:120" x14ac:dyDescent="0.3">
      <c r="A28" s="62">
        <v>41699</v>
      </c>
      <c r="B28" s="62">
        <v>131.44</v>
      </c>
      <c r="C28" s="62">
        <v>1.07</v>
      </c>
      <c r="D28" s="62" t="s">
        <v>9344</v>
      </c>
      <c r="E28" s="62">
        <v>1977.6</v>
      </c>
      <c r="F28" s="62">
        <v>4.43</v>
      </c>
      <c r="G28" s="62">
        <v>4.59</v>
      </c>
      <c r="H28" s="62">
        <v>727.78</v>
      </c>
      <c r="I28" s="62" t="s">
        <v>9344</v>
      </c>
      <c r="J28" s="62">
        <v>97.15</v>
      </c>
      <c r="K28" s="62">
        <v>4960.3900000000003</v>
      </c>
      <c r="L28" s="62">
        <v>60.96</v>
      </c>
      <c r="M28" s="62">
        <v>64.510000000000005</v>
      </c>
      <c r="N28" s="62">
        <v>80.58</v>
      </c>
      <c r="O28" s="62">
        <v>1.1000000000000001</v>
      </c>
      <c r="P28" s="62">
        <v>22.04</v>
      </c>
      <c r="Q28" s="62">
        <v>551.84</v>
      </c>
      <c r="R28" s="62">
        <v>163.99</v>
      </c>
      <c r="S28" s="62">
        <v>116.4</v>
      </c>
      <c r="T28" s="62">
        <v>149.69999999999999</v>
      </c>
      <c r="U28" s="62">
        <v>602.48</v>
      </c>
      <c r="V28" s="62">
        <v>164.13</v>
      </c>
      <c r="W28" s="62">
        <v>110.98</v>
      </c>
      <c r="X28" s="62">
        <v>3908.53</v>
      </c>
      <c r="Y28" s="62">
        <v>39.19</v>
      </c>
      <c r="Z28" s="62">
        <v>4.1500000000000004</v>
      </c>
      <c r="AA28" s="62">
        <v>384.1</v>
      </c>
      <c r="AB28" s="62">
        <v>1468.72</v>
      </c>
      <c r="AC28" s="62" t="s">
        <v>9344</v>
      </c>
      <c r="AD28" s="62" t="s">
        <v>9344</v>
      </c>
      <c r="AE28" s="62">
        <v>2.4900000000000002</v>
      </c>
      <c r="AF28" s="62">
        <v>2204.09</v>
      </c>
      <c r="AG28" s="62">
        <v>6500.22</v>
      </c>
      <c r="AH28" s="62">
        <v>73.760000000000005</v>
      </c>
      <c r="AI28" s="62">
        <v>9778.73</v>
      </c>
      <c r="AJ28" s="62">
        <v>650.86</v>
      </c>
      <c r="AK28" s="62">
        <v>746.49</v>
      </c>
      <c r="AL28" s="62">
        <v>18.309999999999999</v>
      </c>
      <c r="AM28" s="62">
        <v>14.38</v>
      </c>
      <c r="AN28" s="62" t="s">
        <v>9344</v>
      </c>
      <c r="AO28" s="62">
        <v>12.36</v>
      </c>
      <c r="AP28" s="62">
        <v>56.45</v>
      </c>
      <c r="AQ28" s="62">
        <v>1184.21</v>
      </c>
      <c r="AR28" s="62">
        <v>160.16999999999999</v>
      </c>
      <c r="AS28" s="62">
        <v>186.1</v>
      </c>
      <c r="AT28" s="62">
        <v>353.72</v>
      </c>
      <c r="AU28" s="62" t="s">
        <v>9344</v>
      </c>
      <c r="AV28" s="62">
        <v>1260.83</v>
      </c>
      <c r="AW28" s="62" t="s">
        <v>9344</v>
      </c>
      <c r="AX28" s="62">
        <v>9.0399999999999991</v>
      </c>
      <c r="AY28" s="62">
        <v>1136.54</v>
      </c>
      <c r="AZ28" s="62">
        <v>224.42</v>
      </c>
      <c r="BA28" s="62">
        <v>1276.4100000000001</v>
      </c>
      <c r="BB28" s="62" t="s">
        <v>9344</v>
      </c>
      <c r="BC28" s="62">
        <v>89.02</v>
      </c>
      <c r="BD28" s="62">
        <v>128.03</v>
      </c>
      <c r="BE28" s="62">
        <v>58.86</v>
      </c>
      <c r="BF28" s="62">
        <v>2831.06</v>
      </c>
      <c r="BG28" s="62">
        <v>1971</v>
      </c>
      <c r="BH28" s="62">
        <v>869.76</v>
      </c>
      <c r="BI28" s="62" t="s">
        <v>9344</v>
      </c>
      <c r="BJ28" s="62">
        <v>223.53</v>
      </c>
      <c r="BK28" s="62">
        <v>19.559999999999999</v>
      </c>
      <c r="BL28" s="62">
        <v>7.36</v>
      </c>
      <c r="BM28" s="62" t="s">
        <v>9344</v>
      </c>
      <c r="BN28" s="62">
        <v>325.45</v>
      </c>
      <c r="BO28" s="62">
        <v>19.59</v>
      </c>
      <c r="BP28" s="62" t="s">
        <v>9344</v>
      </c>
      <c r="BQ28" s="62">
        <v>324.58</v>
      </c>
      <c r="BR28" s="62" t="s">
        <v>9344</v>
      </c>
      <c r="BS28" s="62">
        <v>509.2</v>
      </c>
      <c r="BT28" s="62">
        <v>16.8</v>
      </c>
      <c r="BU28" s="62">
        <v>339.68</v>
      </c>
      <c r="BV28" s="62">
        <v>37.9</v>
      </c>
      <c r="BW28" s="62">
        <v>1897.74</v>
      </c>
      <c r="BX28" s="62">
        <v>1080.93</v>
      </c>
      <c r="BY28" s="62">
        <v>11.82</v>
      </c>
      <c r="BZ28" s="62">
        <v>526.72</v>
      </c>
      <c r="CA28" s="62" t="s">
        <v>9344</v>
      </c>
      <c r="CB28" s="62">
        <v>38.21</v>
      </c>
      <c r="CC28" s="62">
        <v>286.76</v>
      </c>
      <c r="CD28" s="62">
        <v>171.8</v>
      </c>
      <c r="CE28" s="62">
        <v>4005.51</v>
      </c>
      <c r="CF28" s="62">
        <v>421.32</v>
      </c>
      <c r="CG28" s="62" t="s">
        <v>9344</v>
      </c>
      <c r="CH28" s="62">
        <v>66.02</v>
      </c>
      <c r="CI28" s="62">
        <v>35.42</v>
      </c>
      <c r="CJ28" s="62">
        <v>32.950000000000003</v>
      </c>
      <c r="CK28" s="62" t="s">
        <v>9344</v>
      </c>
      <c r="CL28" s="62">
        <v>356.69</v>
      </c>
      <c r="CM28" s="62">
        <v>2279.46</v>
      </c>
      <c r="CN28" s="62">
        <v>2408.77</v>
      </c>
      <c r="CO28" s="62">
        <v>54.1</v>
      </c>
      <c r="CP28" s="62">
        <v>31.61</v>
      </c>
      <c r="CQ28" s="62">
        <v>29.08</v>
      </c>
      <c r="CR28" s="62">
        <v>5.91</v>
      </c>
      <c r="CS28" s="62">
        <v>90.25</v>
      </c>
      <c r="CT28" s="62" t="s">
        <v>9344</v>
      </c>
      <c r="CU28" s="62">
        <v>4579.16</v>
      </c>
      <c r="CV28" s="62">
        <v>277.70999999999998</v>
      </c>
      <c r="CW28" s="62">
        <v>447.41</v>
      </c>
      <c r="CX28" s="62">
        <v>729.75</v>
      </c>
      <c r="CY28" s="62">
        <v>532.67999999999995</v>
      </c>
      <c r="CZ28" s="62">
        <v>234.02</v>
      </c>
      <c r="DA28" s="62">
        <v>58.16</v>
      </c>
      <c r="DB28" s="62">
        <v>609.21</v>
      </c>
      <c r="DC28" s="62">
        <v>490</v>
      </c>
      <c r="DD28" s="62">
        <v>5.36</v>
      </c>
      <c r="DE28" s="62" t="s">
        <v>9344</v>
      </c>
      <c r="DF28" s="62">
        <v>128.96</v>
      </c>
      <c r="DG28" s="62">
        <v>281.47000000000003</v>
      </c>
      <c r="DH28" s="62">
        <v>1.1100000000000001</v>
      </c>
      <c r="DI28" s="62" t="s">
        <v>9344</v>
      </c>
      <c r="DJ28" s="62">
        <v>113.61</v>
      </c>
      <c r="DK28" s="62">
        <v>2419.6799999999998</v>
      </c>
      <c r="DL28" s="62" t="s">
        <v>9344</v>
      </c>
      <c r="DM28" s="62">
        <v>440.37</v>
      </c>
      <c r="DN28" s="62">
        <v>1092.3</v>
      </c>
      <c r="DO28" s="62">
        <v>21.43</v>
      </c>
      <c r="DP28" s="62">
        <v>1520</v>
      </c>
    </row>
    <row r="29" spans="1:120" x14ac:dyDescent="0.3">
      <c r="A29" s="62">
        <v>41730</v>
      </c>
      <c r="B29" s="62">
        <v>139.65</v>
      </c>
      <c r="C29" s="62">
        <v>1.07</v>
      </c>
      <c r="D29" s="62" t="s">
        <v>9344</v>
      </c>
      <c r="E29" s="62">
        <v>2249.2399999999998</v>
      </c>
      <c r="F29" s="62">
        <v>4.8499999999999996</v>
      </c>
      <c r="G29" s="62">
        <v>5.37</v>
      </c>
      <c r="H29" s="62">
        <v>715.77</v>
      </c>
      <c r="I29" s="62" t="s">
        <v>9344</v>
      </c>
      <c r="J29" s="62">
        <v>97.96</v>
      </c>
      <c r="K29" s="62">
        <v>5086.0600000000004</v>
      </c>
      <c r="L29" s="62">
        <v>67.459999999999994</v>
      </c>
      <c r="M29" s="62">
        <v>68.38</v>
      </c>
      <c r="N29" s="62">
        <v>74.069999999999993</v>
      </c>
      <c r="O29" s="62">
        <v>1.1000000000000001</v>
      </c>
      <c r="P29" s="62">
        <v>17.63</v>
      </c>
      <c r="Q29" s="62">
        <v>531.36</v>
      </c>
      <c r="R29" s="62">
        <v>137.16</v>
      </c>
      <c r="S29" s="62">
        <v>105.77</v>
      </c>
      <c r="T29" s="62">
        <v>148.32</v>
      </c>
      <c r="U29" s="62">
        <v>687.7</v>
      </c>
      <c r="V29" s="62">
        <v>170.01</v>
      </c>
      <c r="W29" s="62">
        <v>104.66</v>
      </c>
      <c r="X29" s="62">
        <v>3923.2</v>
      </c>
      <c r="Y29" s="62">
        <v>34.29</v>
      </c>
      <c r="Z29" s="62">
        <v>4.1500000000000004</v>
      </c>
      <c r="AA29" s="62">
        <v>372.99</v>
      </c>
      <c r="AB29" s="62">
        <v>1511.53</v>
      </c>
      <c r="AC29" s="62" t="s">
        <v>9344</v>
      </c>
      <c r="AD29" s="62" t="s">
        <v>9344</v>
      </c>
      <c r="AE29" s="62">
        <v>4.49</v>
      </c>
      <c r="AF29" s="62">
        <v>2309.15</v>
      </c>
      <c r="AG29" s="62">
        <v>6520.86</v>
      </c>
      <c r="AH29" s="62">
        <v>73.760000000000005</v>
      </c>
      <c r="AI29" s="62">
        <v>9666.89</v>
      </c>
      <c r="AJ29" s="62">
        <v>647.9</v>
      </c>
      <c r="AK29" s="62">
        <v>748.04</v>
      </c>
      <c r="AL29" s="62">
        <v>16.48</v>
      </c>
      <c r="AM29" s="62">
        <v>11.98</v>
      </c>
      <c r="AN29" s="62" t="s">
        <v>9344</v>
      </c>
      <c r="AO29" s="62">
        <v>12.36</v>
      </c>
      <c r="AP29" s="62">
        <v>51.81</v>
      </c>
      <c r="AQ29" s="62">
        <v>1174.3599999999999</v>
      </c>
      <c r="AR29" s="62">
        <v>160.16999999999999</v>
      </c>
      <c r="AS29" s="62">
        <v>190.28</v>
      </c>
      <c r="AT29" s="62">
        <v>338.17</v>
      </c>
      <c r="AU29" s="62" t="s">
        <v>9344</v>
      </c>
      <c r="AV29" s="62">
        <v>1266.45</v>
      </c>
      <c r="AW29" s="62" t="s">
        <v>9344</v>
      </c>
      <c r="AX29" s="62">
        <v>8.9499999999999993</v>
      </c>
      <c r="AY29" s="62">
        <v>1126.3900000000001</v>
      </c>
      <c r="AZ29" s="62">
        <v>233.28</v>
      </c>
      <c r="BA29" s="62">
        <v>1307.1099999999999</v>
      </c>
      <c r="BB29" s="62" t="s">
        <v>9344</v>
      </c>
      <c r="BC29" s="62">
        <v>85.46</v>
      </c>
      <c r="BD29" s="62">
        <v>125.97</v>
      </c>
      <c r="BE29" s="62">
        <v>52.98</v>
      </c>
      <c r="BF29" s="62">
        <v>3022.41</v>
      </c>
      <c r="BG29" s="62">
        <v>2077.71</v>
      </c>
      <c r="BH29" s="62">
        <v>852.91</v>
      </c>
      <c r="BI29" s="62" t="s">
        <v>9344</v>
      </c>
      <c r="BJ29" s="62">
        <v>220.04</v>
      </c>
      <c r="BK29" s="62">
        <v>15.95</v>
      </c>
      <c r="BL29" s="62">
        <v>6.79</v>
      </c>
      <c r="BM29" s="62" t="s">
        <v>9344</v>
      </c>
      <c r="BN29" s="62">
        <v>317.20999999999998</v>
      </c>
      <c r="BO29" s="62">
        <v>14.69</v>
      </c>
      <c r="BP29" s="62" t="s">
        <v>9344</v>
      </c>
      <c r="BQ29" s="62">
        <v>324.58</v>
      </c>
      <c r="BR29" s="62" t="s">
        <v>9344</v>
      </c>
      <c r="BS29" s="62">
        <v>404.64</v>
      </c>
      <c r="BT29" s="62">
        <v>15.94</v>
      </c>
      <c r="BU29" s="62">
        <v>301.94</v>
      </c>
      <c r="BV29" s="62">
        <v>32.840000000000003</v>
      </c>
      <c r="BW29" s="62">
        <v>1884.33</v>
      </c>
      <c r="BX29" s="62">
        <v>1049.1400000000001</v>
      </c>
      <c r="BY29" s="62">
        <v>11.11</v>
      </c>
      <c r="BZ29" s="62">
        <v>524.66999999999996</v>
      </c>
      <c r="CA29" s="62" t="s">
        <v>9344</v>
      </c>
      <c r="CB29" s="62">
        <v>38.21</v>
      </c>
      <c r="CC29" s="62">
        <v>282.85000000000002</v>
      </c>
      <c r="CD29" s="62">
        <v>151.35</v>
      </c>
      <c r="CE29" s="62">
        <v>4304.05</v>
      </c>
      <c r="CF29" s="62">
        <v>416.64</v>
      </c>
      <c r="CG29" s="62" t="s">
        <v>9344</v>
      </c>
      <c r="CH29" s="62">
        <v>62.7</v>
      </c>
      <c r="CI29" s="62">
        <v>35.42</v>
      </c>
      <c r="CJ29" s="62">
        <v>36.85</v>
      </c>
      <c r="CK29" s="62" t="s">
        <v>9344</v>
      </c>
      <c r="CL29" s="62">
        <v>339.34</v>
      </c>
      <c r="CM29" s="62">
        <v>2279.46</v>
      </c>
      <c r="CN29" s="62">
        <v>2432.12</v>
      </c>
      <c r="CO29" s="62">
        <v>54.96</v>
      </c>
      <c r="CP29" s="62">
        <v>30.03</v>
      </c>
      <c r="CQ29" s="62">
        <v>25.45</v>
      </c>
      <c r="CR29" s="62">
        <v>6.33</v>
      </c>
      <c r="CS29" s="62">
        <v>91.82</v>
      </c>
      <c r="CT29" s="62" t="s">
        <v>9344</v>
      </c>
      <c r="CU29" s="62">
        <v>4433.21</v>
      </c>
      <c r="CV29" s="62">
        <v>269.75</v>
      </c>
      <c r="CW29" s="62">
        <v>452.71</v>
      </c>
      <c r="CX29" s="62">
        <v>771.4</v>
      </c>
      <c r="CY29" s="62">
        <v>542.92999999999995</v>
      </c>
      <c r="CZ29" s="62">
        <v>216.47</v>
      </c>
      <c r="DA29" s="62">
        <v>56.17</v>
      </c>
      <c r="DB29" s="62">
        <v>583.01</v>
      </c>
      <c r="DC29" s="62">
        <v>536.91999999999996</v>
      </c>
      <c r="DD29" s="62">
        <v>5.0999999999999996</v>
      </c>
      <c r="DE29" s="62" t="s">
        <v>9344</v>
      </c>
      <c r="DF29" s="62">
        <v>127.45</v>
      </c>
      <c r="DG29" s="62">
        <v>276.12</v>
      </c>
      <c r="DH29" s="62">
        <v>4.43</v>
      </c>
      <c r="DI29" s="62" t="s">
        <v>9344</v>
      </c>
      <c r="DJ29" s="62">
        <v>113.61</v>
      </c>
      <c r="DK29" s="62">
        <v>2459.5100000000002</v>
      </c>
      <c r="DL29" s="62" t="s">
        <v>9344</v>
      </c>
      <c r="DM29" s="62">
        <v>429.3</v>
      </c>
      <c r="DN29" s="62">
        <v>1002.05</v>
      </c>
      <c r="DO29" s="62">
        <v>20.170000000000002</v>
      </c>
      <c r="DP29" s="62">
        <v>1560</v>
      </c>
    </row>
    <row r="30" spans="1:120" x14ac:dyDescent="0.3">
      <c r="A30" s="62">
        <v>41760</v>
      </c>
      <c r="B30" s="62">
        <v>137.6</v>
      </c>
      <c r="C30" s="62">
        <v>1.07</v>
      </c>
      <c r="D30" s="62" t="s">
        <v>9344</v>
      </c>
      <c r="E30" s="62">
        <v>2315.9299999999998</v>
      </c>
      <c r="F30" s="62">
        <v>5.27</v>
      </c>
      <c r="G30" s="62">
        <v>4.33</v>
      </c>
      <c r="H30" s="62">
        <v>727.64</v>
      </c>
      <c r="I30" s="62" t="s">
        <v>9344</v>
      </c>
      <c r="J30" s="62">
        <v>101.2</v>
      </c>
      <c r="K30" s="62">
        <v>4785.75</v>
      </c>
      <c r="L30" s="62">
        <v>69.540000000000006</v>
      </c>
      <c r="M30" s="62">
        <v>67.349999999999994</v>
      </c>
      <c r="N30" s="62">
        <v>78.790000000000006</v>
      </c>
      <c r="O30" s="62">
        <v>1.1000000000000001</v>
      </c>
      <c r="P30" s="62">
        <v>17.63</v>
      </c>
      <c r="Q30" s="62">
        <v>514.16999999999996</v>
      </c>
      <c r="R30" s="62">
        <v>137.75</v>
      </c>
      <c r="S30" s="62">
        <v>109.89</v>
      </c>
      <c r="T30" s="62">
        <v>148.32</v>
      </c>
      <c r="U30" s="62">
        <v>689.68</v>
      </c>
      <c r="V30" s="62">
        <v>176.55</v>
      </c>
      <c r="W30" s="62">
        <v>102.12</v>
      </c>
      <c r="X30" s="62">
        <v>4179.8599999999997</v>
      </c>
      <c r="Y30" s="62">
        <v>44.1</v>
      </c>
      <c r="Z30" s="62">
        <v>4.1500000000000004</v>
      </c>
      <c r="AA30" s="62">
        <v>376.02</v>
      </c>
      <c r="AB30" s="62">
        <v>1390.53</v>
      </c>
      <c r="AC30" s="62" t="s">
        <v>9344</v>
      </c>
      <c r="AD30" s="62" t="s">
        <v>9344</v>
      </c>
      <c r="AE30" s="62">
        <v>4.49</v>
      </c>
      <c r="AF30" s="62">
        <v>2232.04</v>
      </c>
      <c r="AG30" s="62">
        <v>6706.58</v>
      </c>
      <c r="AH30" s="62">
        <v>67.25</v>
      </c>
      <c r="AI30" s="62">
        <v>9762.75</v>
      </c>
      <c r="AJ30" s="62">
        <v>653.71</v>
      </c>
      <c r="AK30" s="62">
        <v>763.46</v>
      </c>
      <c r="AL30" s="62">
        <v>17.579999999999998</v>
      </c>
      <c r="AM30" s="62">
        <v>8.99</v>
      </c>
      <c r="AN30" s="62">
        <v>1875</v>
      </c>
      <c r="AO30" s="62">
        <v>12.08</v>
      </c>
      <c r="AP30" s="62">
        <v>47.72</v>
      </c>
      <c r="AQ30" s="62">
        <v>1217.17</v>
      </c>
      <c r="AR30" s="62">
        <v>153.66</v>
      </c>
      <c r="AS30" s="62">
        <v>205.79</v>
      </c>
      <c r="AT30" s="62">
        <v>345.95</v>
      </c>
      <c r="AU30" s="62" t="s">
        <v>9344</v>
      </c>
      <c r="AV30" s="62">
        <v>1283.3</v>
      </c>
      <c r="AW30" s="62" t="s">
        <v>9344</v>
      </c>
      <c r="AX30" s="62">
        <v>8.9499999999999993</v>
      </c>
      <c r="AY30" s="62">
        <v>1166.99</v>
      </c>
      <c r="AZ30" s="62">
        <v>233.28</v>
      </c>
      <c r="BA30" s="62">
        <v>1307.1099999999999</v>
      </c>
      <c r="BB30" s="62" t="s">
        <v>9344</v>
      </c>
      <c r="BC30" s="62">
        <v>86.31</v>
      </c>
      <c r="BD30" s="62">
        <v>123.9</v>
      </c>
      <c r="BE30" s="62">
        <v>58.86</v>
      </c>
      <c r="BF30" s="62">
        <v>3214.36</v>
      </c>
      <c r="BG30" s="62">
        <v>2165.59</v>
      </c>
      <c r="BH30" s="62">
        <v>867.65</v>
      </c>
      <c r="BI30" s="62" t="s">
        <v>9344</v>
      </c>
      <c r="BJ30" s="62">
        <v>230.52</v>
      </c>
      <c r="BK30" s="62">
        <v>16.55</v>
      </c>
      <c r="BL30" s="62">
        <v>6.79</v>
      </c>
      <c r="BM30" s="62" t="s">
        <v>9344</v>
      </c>
      <c r="BN30" s="62">
        <v>320.23</v>
      </c>
      <c r="BO30" s="62">
        <v>21.6</v>
      </c>
      <c r="BP30" s="62" t="s">
        <v>9344</v>
      </c>
      <c r="BQ30" s="62">
        <v>319.47000000000003</v>
      </c>
      <c r="BR30" s="62" t="s">
        <v>9344</v>
      </c>
      <c r="BS30" s="62">
        <v>344.1</v>
      </c>
      <c r="BT30" s="62">
        <v>16.8</v>
      </c>
      <c r="BU30" s="62">
        <v>301.94</v>
      </c>
      <c r="BV30" s="62">
        <v>25.27</v>
      </c>
      <c r="BW30" s="62">
        <v>1911.16</v>
      </c>
      <c r="BX30" s="62">
        <v>1091.52</v>
      </c>
      <c r="BY30" s="62">
        <v>12.29</v>
      </c>
      <c r="BZ30" s="62">
        <v>530.84</v>
      </c>
      <c r="CA30" s="62" t="s">
        <v>9344</v>
      </c>
      <c r="CB30" s="62">
        <v>39.159999999999997</v>
      </c>
      <c r="CC30" s="62">
        <v>308.29000000000002</v>
      </c>
      <c r="CD30" s="62">
        <v>147.26</v>
      </c>
      <c r="CE30" s="62">
        <v>4353.8100000000004</v>
      </c>
      <c r="CF30" s="62">
        <v>397.91</v>
      </c>
      <c r="CG30" s="62" t="s">
        <v>9344</v>
      </c>
      <c r="CH30" s="62">
        <v>66.02</v>
      </c>
      <c r="CI30" s="62">
        <v>35.42</v>
      </c>
      <c r="CJ30" s="62">
        <v>38.06</v>
      </c>
      <c r="CK30" s="62" t="s">
        <v>9344</v>
      </c>
      <c r="CL30" s="62">
        <v>341.27</v>
      </c>
      <c r="CM30" s="62">
        <v>2369.1</v>
      </c>
      <c r="CN30" s="62">
        <v>2583.89</v>
      </c>
      <c r="CO30" s="62">
        <v>56.68</v>
      </c>
      <c r="CP30" s="62">
        <v>29.51</v>
      </c>
      <c r="CQ30" s="62">
        <v>23.86</v>
      </c>
      <c r="CR30" s="62">
        <v>5.76</v>
      </c>
      <c r="CS30" s="62">
        <v>91.82</v>
      </c>
      <c r="CT30" s="62" t="s">
        <v>9344</v>
      </c>
      <c r="CU30" s="62">
        <v>5001.03</v>
      </c>
      <c r="CV30" s="62">
        <v>271.52</v>
      </c>
      <c r="CW30" s="62">
        <v>468.13</v>
      </c>
      <c r="CX30" s="62">
        <v>754.02</v>
      </c>
      <c r="CY30" s="62">
        <v>545.85</v>
      </c>
      <c r="CZ30" s="62">
        <v>234.02</v>
      </c>
      <c r="DA30" s="62">
        <v>51.35</v>
      </c>
      <c r="DB30" s="62">
        <v>528.04999999999995</v>
      </c>
      <c r="DC30" s="62">
        <v>568.89</v>
      </c>
      <c r="DD30" s="62">
        <v>5.0999999999999996</v>
      </c>
      <c r="DE30" s="62" t="s">
        <v>9344</v>
      </c>
      <c r="DF30" s="62">
        <v>127.45</v>
      </c>
      <c r="DG30" s="62">
        <v>292.16000000000003</v>
      </c>
      <c r="DH30" s="62">
        <v>6.64</v>
      </c>
      <c r="DI30" s="62" t="s">
        <v>9344</v>
      </c>
      <c r="DJ30" s="62">
        <v>121.02</v>
      </c>
      <c r="DK30" s="62">
        <v>2559.09</v>
      </c>
      <c r="DL30" s="62" t="s">
        <v>9344</v>
      </c>
      <c r="DM30" s="62">
        <v>458.14</v>
      </c>
      <c r="DN30" s="62">
        <v>1172.33</v>
      </c>
      <c r="DO30" s="62">
        <v>20.170000000000002</v>
      </c>
      <c r="DP30" s="62">
        <v>1564</v>
      </c>
    </row>
    <row r="31" spans="1:120" x14ac:dyDescent="0.3">
      <c r="A31" s="62">
        <v>41791</v>
      </c>
      <c r="B31" s="62">
        <v>135.55000000000001</v>
      </c>
      <c r="C31" s="62">
        <v>1.07</v>
      </c>
      <c r="D31" s="62" t="s">
        <v>9344</v>
      </c>
      <c r="E31" s="62">
        <v>2430.3200000000002</v>
      </c>
      <c r="F31" s="62">
        <v>5.27</v>
      </c>
      <c r="G31" s="62">
        <v>3.79</v>
      </c>
      <c r="H31" s="62">
        <v>771.14</v>
      </c>
      <c r="I31" s="62" t="s">
        <v>9344</v>
      </c>
      <c r="J31" s="62">
        <v>97.96</v>
      </c>
      <c r="K31" s="62">
        <v>4595.2700000000004</v>
      </c>
      <c r="L31" s="62">
        <v>69.540000000000006</v>
      </c>
      <c r="M31" s="62">
        <v>69.16</v>
      </c>
      <c r="N31" s="62">
        <v>78.790000000000006</v>
      </c>
      <c r="O31" s="62">
        <v>1.1000000000000001</v>
      </c>
      <c r="P31" s="62">
        <v>22.04</v>
      </c>
      <c r="Q31" s="62">
        <v>540.09</v>
      </c>
      <c r="R31" s="62">
        <v>146.1</v>
      </c>
      <c r="S31" s="62">
        <v>103.02</v>
      </c>
      <c r="T31" s="62">
        <v>146</v>
      </c>
      <c r="U31" s="62">
        <v>675.81</v>
      </c>
      <c r="V31" s="62">
        <v>173.28</v>
      </c>
      <c r="W31" s="62">
        <v>112.59</v>
      </c>
      <c r="X31" s="62">
        <v>3996.53</v>
      </c>
      <c r="Y31" s="62">
        <v>37.08</v>
      </c>
      <c r="Z31" s="62">
        <v>4.1500000000000004</v>
      </c>
      <c r="AA31" s="62">
        <v>404.32</v>
      </c>
      <c r="AB31" s="62">
        <v>1424.74</v>
      </c>
      <c r="AC31" s="62" t="s">
        <v>9344</v>
      </c>
      <c r="AD31" s="62" t="s">
        <v>9344</v>
      </c>
      <c r="AE31" s="62">
        <v>4.49</v>
      </c>
      <c r="AF31" s="62">
        <v>2535.4299999999998</v>
      </c>
      <c r="AG31" s="62">
        <v>6156.3</v>
      </c>
      <c r="AH31" s="62">
        <v>65.510000000000005</v>
      </c>
      <c r="AI31" s="62">
        <v>9778.73</v>
      </c>
      <c r="AJ31" s="62">
        <v>646.73</v>
      </c>
      <c r="AK31" s="62">
        <v>786.6</v>
      </c>
      <c r="AL31" s="62">
        <v>16.13</v>
      </c>
      <c r="AM31" s="62">
        <v>9.59</v>
      </c>
      <c r="AN31" s="62">
        <v>1815</v>
      </c>
      <c r="AO31" s="62">
        <v>14.49</v>
      </c>
      <c r="AP31" s="62">
        <v>40.909999999999997</v>
      </c>
      <c r="AQ31" s="62">
        <v>1308.92</v>
      </c>
      <c r="AR31" s="62">
        <v>195.33</v>
      </c>
      <c r="AS31" s="62">
        <v>187.89</v>
      </c>
      <c r="AT31" s="62">
        <v>412.31</v>
      </c>
      <c r="AU31" s="62" t="s">
        <v>9344</v>
      </c>
      <c r="AV31" s="62">
        <v>1373.15</v>
      </c>
      <c r="AW31" s="62" t="s">
        <v>9344</v>
      </c>
      <c r="AX31" s="62">
        <v>8.9499999999999993</v>
      </c>
      <c r="AY31" s="62">
        <v>1217.72</v>
      </c>
      <c r="AZ31" s="62">
        <v>236.23</v>
      </c>
      <c r="BA31" s="62">
        <v>1361.57</v>
      </c>
      <c r="BB31" s="62" t="s">
        <v>9344</v>
      </c>
      <c r="BC31" s="62">
        <v>90.44</v>
      </c>
      <c r="BD31" s="62">
        <v>125.14</v>
      </c>
      <c r="BE31" s="62">
        <v>52.98</v>
      </c>
      <c r="BF31" s="62">
        <v>3152.41</v>
      </c>
      <c r="BG31" s="62">
        <v>2184.42</v>
      </c>
      <c r="BH31" s="62">
        <v>928.87</v>
      </c>
      <c r="BI31" s="62" t="s">
        <v>9344</v>
      </c>
      <c r="BJ31" s="62">
        <v>244.49</v>
      </c>
      <c r="BK31" s="62">
        <v>14.15</v>
      </c>
      <c r="BL31" s="62">
        <v>7.64</v>
      </c>
      <c r="BM31" s="62" t="s">
        <v>9344</v>
      </c>
      <c r="BN31" s="62">
        <v>322.39999999999998</v>
      </c>
      <c r="BO31" s="62">
        <v>17.28</v>
      </c>
      <c r="BP31" s="62" t="s">
        <v>9344</v>
      </c>
      <c r="BQ31" s="62">
        <v>342.47</v>
      </c>
      <c r="BR31" s="62" t="s">
        <v>9344</v>
      </c>
      <c r="BS31" s="62">
        <v>270.82</v>
      </c>
      <c r="BT31" s="62">
        <v>11.2</v>
      </c>
      <c r="BU31" s="62">
        <v>320.81</v>
      </c>
      <c r="BV31" s="62">
        <v>24</v>
      </c>
      <c r="BW31" s="62">
        <v>1917.86</v>
      </c>
      <c r="BX31" s="62">
        <v>1165.71</v>
      </c>
      <c r="BY31" s="62">
        <v>11.82</v>
      </c>
      <c r="BZ31" s="62">
        <v>547.29999999999995</v>
      </c>
      <c r="CA31" s="62" t="s">
        <v>9344</v>
      </c>
      <c r="CB31" s="62">
        <v>43.94</v>
      </c>
      <c r="CC31" s="62">
        <v>320.04000000000002</v>
      </c>
      <c r="CD31" s="62">
        <v>151.35</v>
      </c>
      <c r="CE31" s="62">
        <v>4160</v>
      </c>
      <c r="CF31" s="62">
        <v>379.19</v>
      </c>
      <c r="CG31" s="62" t="s">
        <v>9344</v>
      </c>
      <c r="CH31" s="62">
        <v>77.459999999999994</v>
      </c>
      <c r="CI31" s="62">
        <v>33.549999999999997</v>
      </c>
      <c r="CJ31" s="62">
        <v>38.35</v>
      </c>
      <c r="CK31" s="62" t="s">
        <v>9344</v>
      </c>
      <c r="CL31" s="62">
        <v>339.34</v>
      </c>
      <c r="CM31" s="62">
        <v>2328.35</v>
      </c>
      <c r="CN31" s="62">
        <v>2568.3200000000002</v>
      </c>
      <c r="CO31" s="62">
        <v>60.11</v>
      </c>
      <c r="CP31" s="62">
        <v>27.4</v>
      </c>
      <c r="CQ31" s="62">
        <v>26.51</v>
      </c>
      <c r="CR31" s="62">
        <v>8.7200000000000006</v>
      </c>
      <c r="CS31" s="62">
        <v>91.82</v>
      </c>
      <c r="CT31" s="62" t="s">
        <v>9344</v>
      </c>
      <c r="CU31" s="62">
        <v>4918.74</v>
      </c>
      <c r="CV31" s="62">
        <v>272.41000000000003</v>
      </c>
      <c r="CW31" s="62">
        <v>487.45</v>
      </c>
      <c r="CX31" s="62">
        <v>760.54</v>
      </c>
      <c r="CY31" s="62">
        <v>453.66</v>
      </c>
      <c r="CZ31" s="62">
        <v>234.02</v>
      </c>
      <c r="DA31" s="62">
        <v>47.94</v>
      </c>
      <c r="DB31" s="62">
        <v>514.85</v>
      </c>
      <c r="DC31" s="62">
        <v>550.13</v>
      </c>
      <c r="DD31" s="62">
        <v>6.38</v>
      </c>
      <c r="DE31" s="62" t="s">
        <v>9344</v>
      </c>
      <c r="DF31" s="62">
        <v>127.45</v>
      </c>
      <c r="DG31" s="62">
        <v>320.66000000000003</v>
      </c>
      <c r="DH31" s="62">
        <v>5.54</v>
      </c>
      <c r="DI31" s="62" t="s">
        <v>9344</v>
      </c>
      <c r="DJ31" s="62">
        <v>116.08</v>
      </c>
      <c r="DK31" s="62">
        <v>2539.17</v>
      </c>
      <c r="DL31" s="62" t="s">
        <v>9344</v>
      </c>
      <c r="DM31" s="62">
        <v>468.32</v>
      </c>
      <c r="DN31" s="62">
        <v>1196.6099999999999</v>
      </c>
      <c r="DO31" s="62">
        <v>15.13</v>
      </c>
      <c r="DP31" s="62">
        <v>1556</v>
      </c>
    </row>
    <row r="32" spans="1:120" x14ac:dyDescent="0.3">
      <c r="A32" s="62">
        <v>41821</v>
      </c>
      <c r="B32" s="62">
        <v>133.49</v>
      </c>
      <c r="C32" s="62">
        <v>1.6</v>
      </c>
      <c r="D32" s="62" t="s">
        <v>9344</v>
      </c>
      <c r="E32" s="62">
        <v>2345.88</v>
      </c>
      <c r="F32" s="62">
        <v>5.38</v>
      </c>
      <c r="G32" s="62">
        <v>4.33</v>
      </c>
      <c r="H32" s="62">
        <v>782.91</v>
      </c>
      <c r="I32" s="62" t="s">
        <v>9344</v>
      </c>
      <c r="J32" s="62">
        <v>95.53</v>
      </c>
      <c r="K32" s="62">
        <v>4642.8900000000003</v>
      </c>
      <c r="L32" s="62">
        <v>73.73</v>
      </c>
      <c r="M32" s="62">
        <v>65.8</v>
      </c>
      <c r="N32" s="62">
        <v>78.28</v>
      </c>
      <c r="O32" s="62">
        <v>1.1000000000000001</v>
      </c>
      <c r="P32" s="62">
        <v>18.739999999999998</v>
      </c>
      <c r="Q32" s="62">
        <v>563.86</v>
      </c>
      <c r="R32" s="62">
        <v>155.05000000000001</v>
      </c>
      <c r="S32" s="62">
        <v>92.03</v>
      </c>
      <c r="T32" s="62">
        <v>144.62</v>
      </c>
      <c r="U32" s="62">
        <v>683.74</v>
      </c>
      <c r="V32" s="62">
        <v>169.68</v>
      </c>
      <c r="W32" s="62">
        <v>122.18</v>
      </c>
      <c r="X32" s="62">
        <v>3945.2</v>
      </c>
      <c r="Y32" s="62">
        <v>39.76</v>
      </c>
      <c r="Z32" s="62">
        <v>4.97</v>
      </c>
      <c r="AA32" s="62">
        <v>422.51</v>
      </c>
      <c r="AB32" s="62">
        <v>1500.58</v>
      </c>
      <c r="AC32" s="62" t="s">
        <v>9344</v>
      </c>
      <c r="AD32" s="62" t="s">
        <v>9344</v>
      </c>
      <c r="AE32" s="62">
        <v>5.99</v>
      </c>
      <c r="AF32" s="62">
        <v>2610.0100000000002</v>
      </c>
      <c r="AG32" s="62">
        <v>6018.72</v>
      </c>
      <c r="AH32" s="62">
        <v>78.239999999999995</v>
      </c>
      <c r="AI32" s="62">
        <v>9139.6</v>
      </c>
      <c r="AJ32" s="62">
        <v>613.85</v>
      </c>
      <c r="AK32" s="62">
        <v>780.43</v>
      </c>
      <c r="AL32" s="62">
        <v>15.01</v>
      </c>
      <c r="AM32" s="62">
        <v>9.59</v>
      </c>
      <c r="AN32" s="62">
        <v>1785</v>
      </c>
      <c r="AO32" s="62">
        <v>10.14</v>
      </c>
      <c r="AP32" s="62">
        <v>27</v>
      </c>
      <c r="AQ32" s="62">
        <v>1292.52</v>
      </c>
      <c r="AR32" s="62">
        <v>195.85</v>
      </c>
      <c r="AS32" s="62">
        <v>183.12</v>
      </c>
      <c r="AT32" s="62">
        <v>440.1</v>
      </c>
      <c r="AU32" s="62" t="s">
        <v>9344</v>
      </c>
      <c r="AV32" s="62">
        <v>1373.15</v>
      </c>
      <c r="AW32" s="62" t="s">
        <v>9344</v>
      </c>
      <c r="AX32" s="62">
        <v>8.23</v>
      </c>
      <c r="AY32" s="62">
        <v>1204.9100000000001</v>
      </c>
      <c r="AZ32" s="62">
        <v>227.37</v>
      </c>
      <c r="BA32" s="62">
        <v>1413.94</v>
      </c>
      <c r="BB32" s="62" t="s">
        <v>9344</v>
      </c>
      <c r="BC32" s="62">
        <v>90.13</v>
      </c>
      <c r="BD32" s="62">
        <v>124.73</v>
      </c>
      <c r="BE32" s="62">
        <v>52.98</v>
      </c>
      <c r="BF32" s="62">
        <v>3083.58</v>
      </c>
      <c r="BG32" s="62">
        <v>2196.9699999999998</v>
      </c>
      <c r="BH32" s="62">
        <v>960.54</v>
      </c>
      <c r="BI32" s="62" t="s">
        <v>9344</v>
      </c>
      <c r="BJ32" s="62">
        <v>227.02</v>
      </c>
      <c r="BK32" s="62">
        <v>13.24</v>
      </c>
      <c r="BL32" s="62">
        <v>6.45</v>
      </c>
      <c r="BM32" s="62" t="s">
        <v>9344</v>
      </c>
      <c r="BN32" s="62">
        <v>336.96</v>
      </c>
      <c r="BO32" s="62">
        <v>14.4</v>
      </c>
      <c r="BP32" s="62" t="s">
        <v>9344</v>
      </c>
      <c r="BQ32" s="62">
        <v>334.8</v>
      </c>
      <c r="BR32" s="62" t="s">
        <v>9344</v>
      </c>
      <c r="BS32" s="62">
        <v>248.52</v>
      </c>
      <c r="BT32" s="62">
        <v>10.77</v>
      </c>
      <c r="BU32" s="62">
        <v>313.26</v>
      </c>
      <c r="BV32" s="62">
        <v>18.95</v>
      </c>
      <c r="BW32" s="62">
        <v>2092.21</v>
      </c>
      <c r="BX32" s="62">
        <v>1144.51</v>
      </c>
      <c r="BY32" s="62">
        <v>12.27</v>
      </c>
      <c r="BZ32" s="62">
        <v>551.41</v>
      </c>
      <c r="CA32" s="62" t="s">
        <v>9344</v>
      </c>
      <c r="CB32" s="62">
        <v>45.85</v>
      </c>
      <c r="CC32" s="62">
        <v>322</v>
      </c>
      <c r="CD32" s="62">
        <v>171.8</v>
      </c>
      <c r="CE32" s="62">
        <v>4250</v>
      </c>
      <c r="CF32" s="62">
        <v>379.19</v>
      </c>
      <c r="CG32" s="62" t="s">
        <v>9344</v>
      </c>
      <c r="CH32" s="62">
        <v>70.849999999999994</v>
      </c>
      <c r="CI32" s="62">
        <v>35.42</v>
      </c>
      <c r="CJ32" s="62">
        <v>44.14</v>
      </c>
      <c r="CK32" s="62">
        <v>63.22</v>
      </c>
      <c r="CL32" s="62">
        <v>339.34</v>
      </c>
      <c r="CM32" s="62">
        <v>2334.17</v>
      </c>
      <c r="CN32" s="62">
        <v>2685.06</v>
      </c>
      <c r="CO32" s="62">
        <v>48.09</v>
      </c>
      <c r="CP32" s="62">
        <v>28.45</v>
      </c>
      <c r="CQ32" s="62">
        <v>21.74</v>
      </c>
      <c r="CR32" s="62">
        <v>7.03</v>
      </c>
      <c r="CS32" s="62">
        <v>90.77</v>
      </c>
      <c r="CT32" s="62" t="s">
        <v>9344</v>
      </c>
      <c r="CU32" s="62">
        <v>4927.8900000000003</v>
      </c>
      <c r="CV32" s="62">
        <v>272.44</v>
      </c>
      <c r="CW32" s="62">
        <v>485.97</v>
      </c>
      <c r="CX32" s="62">
        <v>749.67</v>
      </c>
      <c r="CY32" s="62">
        <v>491.71</v>
      </c>
      <c r="CZ32" s="62">
        <v>234.02</v>
      </c>
      <c r="DA32" s="62">
        <v>46.81</v>
      </c>
      <c r="DB32" s="62">
        <v>462.05</v>
      </c>
      <c r="DC32" s="62">
        <v>528.25</v>
      </c>
      <c r="DD32" s="62">
        <v>6.38</v>
      </c>
      <c r="DE32" s="62" t="s">
        <v>9344</v>
      </c>
      <c r="DF32" s="62">
        <v>125.22</v>
      </c>
      <c r="DG32" s="62">
        <v>326.01</v>
      </c>
      <c r="DH32" s="62">
        <v>6.64</v>
      </c>
      <c r="DI32" s="62" t="s">
        <v>9344</v>
      </c>
      <c r="DJ32" s="62">
        <v>103.73</v>
      </c>
      <c r="DK32" s="62">
        <v>2559.09</v>
      </c>
      <c r="DL32" s="62" t="s">
        <v>9344</v>
      </c>
      <c r="DM32" s="62">
        <v>462.2</v>
      </c>
      <c r="DN32" s="62">
        <v>1082.1500000000001</v>
      </c>
      <c r="DO32" s="62">
        <v>13.9</v>
      </c>
      <c r="DP32" s="62">
        <v>1576</v>
      </c>
    </row>
    <row r="33" spans="1:120" x14ac:dyDescent="0.3">
      <c r="A33" s="62">
        <v>41852</v>
      </c>
      <c r="B33" s="62">
        <v>133.49</v>
      </c>
      <c r="C33" s="62">
        <v>1.6</v>
      </c>
      <c r="D33" s="62" t="s">
        <v>9344</v>
      </c>
      <c r="E33" s="62">
        <v>2118.19</v>
      </c>
      <c r="F33" s="62">
        <v>4.75</v>
      </c>
      <c r="G33" s="62">
        <v>4.33</v>
      </c>
      <c r="H33" s="62">
        <v>794.83</v>
      </c>
      <c r="I33" s="62" t="s">
        <v>9344</v>
      </c>
      <c r="J33" s="62">
        <v>94.72</v>
      </c>
      <c r="K33" s="62">
        <v>4505.9799999999996</v>
      </c>
      <c r="L33" s="62">
        <v>73.73</v>
      </c>
      <c r="M33" s="62">
        <v>63.22</v>
      </c>
      <c r="N33" s="62">
        <v>77.05</v>
      </c>
      <c r="O33" s="62">
        <v>1.1000000000000001</v>
      </c>
      <c r="P33" s="62">
        <v>18.739999999999998</v>
      </c>
      <c r="Q33" s="62">
        <v>583.29999999999995</v>
      </c>
      <c r="R33" s="62">
        <v>161.01</v>
      </c>
      <c r="S33" s="62">
        <v>78.98</v>
      </c>
      <c r="T33" s="62">
        <v>143.24</v>
      </c>
      <c r="U33" s="62">
        <v>697.61</v>
      </c>
      <c r="V33" s="62">
        <v>174.59</v>
      </c>
      <c r="W33" s="62">
        <v>118.83</v>
      </c>
      <c r="X33" s="62">
        <v>4033.2</v>
      </c>
      <c r="Y33" s="62">
        <v>34.69</v>
      </c>
      <c r="Z33" s="62">
        <v>4.97</v>
      </c>
      <c r="AA33" s="62">
        <v>418.47</v>
      </c>
      <c r="AB33" s="62">
        <v>1509.51</v>
      </c>
      <c r="AC33" s="62" t="s">
        <v>9344</v>
      </c>
      <c r="AD33" s="62" t="s">
        <v>9344</v>
      </c>
      <c r="AE33" s="62">
        <v>12.47</v>
      </c>
      <c r="AF33" s="62">
        <v>2600.06</v>
      </c>
      <c r="AG33" s="62">
        <v>6128.78</v>
      </c>
      <c r="AH33" s="62">
        <v>84.53</v>
      </c>
      <c r="AI33" s="62">
        <v>9890.58</v>
      </c>
      <c r="AJ33" s="62">
        <v>676.63</v>
      </c>
      <c r="AK33" s="62">
        <v>755.75</v>
      </c>
      <c r="AL33" s="62">
        <v>15.01</v>
      </c>
      <c r="AM33" s="62">
        <v>9.59</v>
      </c>
      <c r="AN33" s="62">
        <v>1820</v>
      </c>
      <c r="AO33" s="62">
        <v>9.66</v>
      </c>
      <c r="AP33" s="62">
        <v>21.54</v>
      </c>
      <c r="AQ33" s="62">
        <v>1304.77</v>
      </c>
      <c r="AR33" s="62">
        <v>222.31</v>
      </c>
      <c r="AS33" s="62">
        <v>189.09</v>
      </c>
      <c r="AT33" s="62">
        <v>435.47</v>
      </c>
      <c r="AU33" s="62">
        <v>49.58</v>
      </c>
      <c r="AV33" s="62">
        <v>1392.81</v>
      </c>
      <c r="AW33" s="62" t="s">
        <v>9344</v>
      </c>
      <c r="AX33" s="62">
        <v>7.78</v>
      </c>
      <c r="AY33" s="62">
        <v>1204.9100000000001</v>
      </c>
      <c r="AZ33" s="62">
        <v>203.75</v>
      </c>
      <c r="BA33" s="62">
        <v>1482.65</v>
      </c>
      <c r="BB33" s="62" t="s">
        <v>9344</v>
      </c>
      <c r="BC33" s="62">
        <v>86.91</v>
      </c>
      <c r="BD33" s="62">
        <v>123.08</v>
      </c>
      <c r="BE33" s="62">
        <v>48.56</v>
      </c>
      <c r="BF33" s="62">
        <v>3248.78</v>
      </c>
      <c r="BG33" s="62">
        <v>2171.86</v>
      </c>
      <c r="BH33" s="62">
        <v>907.76</v>
      </c>
      <c r="BI33" s="62">
        <v>323.8</v>
      </c>
      <c r="BJ33" s="62">
        <v>126.69</v>
      </c>
      <c r="BK33" s="62">
        <v>22.69</v>
      </c>
      <c r="BL33" s="62">
        <v>6.45</v>
      </c>
      <c r="BM33" s="62" t="s">
        <v>9344</v>
      </c>
      <c r="BN33" s="62">
        <v>332.8</v>
      </c>
      <c r="BO33" s="62">
        <v>16.420000000000002</v>
      </c>
      <c r="BP33" s="62" t="s">
        <v>9344</v>
      </c>
      <c r="BQ33" s="62">
        <v>329.69</v>
      </c>
      <c r="BR33" s="62" t="s">
        <v>9344</v>
      </c>
      <c r="BS33" s="62">
        <v>238.96</v>
      </c>
      <c r="BT33" s="62">
        <v>6.46</v>
      </c>
      <c r="BU33" s="62">
        <v>298.17</v>
      </c>
      <c r="BV33" s="62">
        <v>15.16</v>
      </c>
      <c r="BW33" s="62">
        <v>2073.44</v>
      </c>
      <c r="BX33" s="62">
        <v>1165.71</v>
      </c>
      <c r="BY33" s="62">
        <v>12.68</v>
      </c>
      <c r="BZ33" s="62">
        <v>555.53</v>
      </c>
      <c r="CA33" s="62" t="s">
        <v>9344</v>
      </c>
      <c r="CB33" s="62">
        <v>45.85</v>
      </c>
      <c r="CC33" s="62">
        <v>318.08</v>
      </c>
      <c r="CD33" s="62">
        <v>155.44</v>
      </c>
      <c r="CE33" s="62">
        <v>4015</v>
      </c>
      <c r="CF33" s="62">
        <v>379.19</v>
      </c>
      <c r="CG33" s="62">
        <v>220.85</v>
      </c>
      <c r="CH33" s="62">
        <v>68.650000000000006</v>
      </c>
      <c r="CI33" s="62">
        <v>31.91</v>
      </c>
      <c r="CJ33" s="62">
        <v>44.14</v>
      </c>
      <c r="CK33" s="62">
        <v>57.69</v>
      </c>
      <c r="CL33" s="62">
        <v>321.99</v>
      </c>
      <c r="CM33" s="62">
        <v>2188.65</v>
      </c>
      <c r="CN33" s="62">
        <v>2572.21</v>
      </c>
      <c r="CO33" s="62">
        <v>41.22</v>
      </c>
      <c r="CP33" s="62">
        <v>27.4</v>
      </c>
      <c r="CQ33" s="62">
        <v>21.21</v>
      </c>
      <c r="CR33" s="62">
        <v>6.75</v>
      </c>
      <c r="CS33" s="62">
        <v>90.25</v>
      </c>
      <c r="CT33" s="62" t="s">
        <v>9344</v>
      </c>
      <c r="CU33" s="62">
        <v>5183.88</v>
      </c>
      <c r="CV33" s="62">
        <v>256.52</v>
      </c>
      <c r="CW33" s="62">
        <v>496.37</v>
      </c>
      <c r="CX33" s="62">
        <v>675.79</v>
      </c>
      <c r="CY33" s="62">
        <v>504.88</v>
      </c>
      <c r="CZ33" s="62">
        <v>239.87</v>
      </c>
      <c r="DA33" s="62">
        <v>48.23</v>
      </c>
      <c r="DB33" s="62">
        <v>415.84</v>
      </c>
      <c r="DC33" s="62">
        <v>522</v>
      </c>
      <c r="DD33" s="62">
        <v>5.36</v>
      </c>
      <c r="DE33" s="62" t="s">
        <v>9344</v>
      </c>
      <c r="DF33" s="62">
        <v>138.78</v>
      </c>
      <c r="DG33" s="62">
        <v>324.22000000000003</v>
      </c>
      <c r="DH33" s="62">
        <v>5.54</v>
      </c>
      <c r="DI33" s="62" t="s">
        <v>9344</v>
      </c>
      <c r="DJ33" s="62">
        <v>118.73</v>
      </c>
      <c r="DK33" s="62">
        <v>2549.13</v>
      </c>
      <c r="DL33" s="62" t="s">
        <v>9344</v>
      </c>
      <c r="DM33" s="62">
        <v>465.6</v>
      </c>
      <c r="DN33" s="62">
        <v>1075.21</v>
      </c>
      <c r="DO33" s="62">
        <v>12.64</v>
      </c>
      <c r="DP33" s="62">
        <v>1520</v>
      </c>
    </row>
    <row r="34" spans="1:120" x14ac:dyDescent="0.3">
      <c r="A34" s="62">
        <v>41883</v>
      </c>
      <c r="B34" s="62">
        <v>144.22999999999999</v>
      </c>
      <c r="C34" s="62">
        <v>1.6</v>
      </c>
      <c r="D34" s="62" t="s">
        <v>9344</v>
      </c>
      <c r="E34" s="62">
        <v>2412.84</v>
      </c>
      <c r="F34" s="62">
        <v>8.33</v>
      </c>
      <c r="G34" s="62">
        <v>3.87</v>
      </c>
      <c r="H34" s="62">
        <v>818.68</v>
      </c>
      <c r="I34" s="62" t="s">
        <v>9344</v>
      </c>
      <c r="J34" s="62">
        <v>92.29</v>
      </c>
      <c r="K34" s="62">
        <v>4410.74</v>
      </c>
      <c r="L34" s="62">
        <v>74.14</v>
      </c>
      <c r="M34" s="62">
        <v>62.7</v>
      </c>
      <c r="N34" s="62">
        <v>78.27</v>
      </c>
      <c r="O34" s="62">
        <v>1.1000000000000001</v>
      </c>
      <c r="P34" s="62">
        <v>25.35</v>
      </c>
      <c r="Q34" s="62">
        <v>609.22</v>
      </c>
      <c r="R34" s="62">
        <v>149.08000000000001</v>
      </c>
      <c r="S34" s="62">
        <v>63.87</v>
      </c>
      <c r="T34" s="62">
        <v>144.62</v>
      </c>
      <c r="U34" s="62">
        <v>697.61</v>
      </c>
      <c r="V34" s="62">
        <v>187.99</v>
      </c>
      <c r="W34" s="62">
        <v>118.83</v>
      </c>
      <c r="X34" s="62">
        <v>3959.87</v>
      </c>
      <c r="Y34" s="62">
        <v>44.61</v>
      </c>
      <c r="Z34" s="62">
        <v>4.97</v>
      </c>
      <c r="AA34" s="62">
        <v>454.86</v>
      </c>
      <c r="AB34" s="62">
        <v>1396.48</v>
      </c>
      <c r="AC34" s="62">
        <v>216</v>
      </c>
      <c r="AD34" s="62" t="s">
        <v>9344</v>
      </c>
      <c r="AE34" s="62">
        <v>9.15</v>
      </c>
      <c r="AF34" s="62">
        <v>2778.87</v>
      </c>
      <c r="AG34" s="62">
        <v>6273.23</v>
      </c>
      <c r="AH34" s="62">
        <v>84.08</v>
      </c>
      <c r="AI34" s="62">
        <v>9826.67</v>
      </c>
      <c r="AJ34" s="62">
        <v>710.28</v>
      </c>
      <c r="AK34" s="62">
        <v>789.68</v>
      </c>
      <c r="AL34" s="62">
        <v>12.51</v>
      </c>
      <c r="AM34" s="62">
        <v>11.98</v>
      </c>
      <c r="AN34" s="62">
        <v>1780</v>
      </c>
      <c r="AO34" s="62">
        <v>11.11</v>
      </c>
      <c r="AP34" s="62">
        <v>15.54</v>
      </c>
      <c r="AQ34" s="62">
        <v>1378.28</v>
      </c>
      <c r="AR34" s="62">
        <v>235.55</v>
      </c>
      <c r="AS34" s="62">
        <v>170.6</v>
      </c>
      <c r="AT34" s="62">
        <v>440.1</v>
      </c>
      <c r="AU34" s="62">
        <v>45.57</v>
      </c>
      <c r="AV34" s="62">
        <v>1353.5</v>
      </c>
      <c r="AW34" s="62" t="s">
        <v>9344</v>
      </c>
      <c r="AX34" s="62">
        <v>8.0500000000000007</v>
      </c>
      <c r="AY34" s="62">
        <v>1240.8</v>
      </c>
      <c r="AZ34" s="62">
        <v>178.65</v>
      </c>
      <c r="BA34" s="62">
        <v>1504.56</v>
      </c>
      <c r="BB34" s="62" t="s">
        <v>9344</v>
      </c>
      <c r="BC34" s="62">
        <v>87.94</v>
      </c>
      <c r="BD34" s="62">
        <v>115.64</v>
      </c>
      <c r="BE34" s="62">
        <v>50.03</v>
      </c>
      <c r="BF34" s="62">
        <v>3166.18</v>
      </c>
      <c r="BG34" s="62">
        <v>2165.59</v>
      </c>
      <c r="BH34" s="62">
        <v>981.65</v>
      </c>
      <c r="BI34" s="62">
        <v>323.8</v>
      </c>
      <c r="BJ34" s="62">
        <v>126.69</v>
      </c>
      <c r="BK34" s="62">
        <v>19.45</v>
      </c>
      <c r="BL34" s="62">
        <v>6.49</v>
      </c>
      <c r="BM34" s="62" t="s">
        <v>9344</v>
      </c>
      <c r="BN34" s="62">
        <v>328.64</v>
      </c>
      <c r="BO34" s="62">
        <v>14.4</v>
      </c>
      <c r="BP34" s="62" t="s">
        <v>9344</v>
      </c>
      <c r="BQ34" s="62">
        <v>314.35000000000002</v>
      </c>
      <c r="BR34" s="62" t="s">
        <v>9344</v>
      </c>
      <c r="BS34" s="62">
        <v>254.89</v>
      </c>
      <c r="BT34" s="62">
        <v>5.17</v>
      </c>
      <c r="BU34" s="62">
        <v>305.70999999999998</v>
      </c>
      <c r="BV34" s="62">
        <v>21.48</v>
      </c>
      <c r="BW34" s="62">
        <v>2147.91</v>
      </c>
      <c r="BX34" s="62">
        <v>1197.5</v>
      </c>
      <c r="BY34" s="62">
        <v>12.68</v>
      </c>
      <c r="BZ34" s="62">
        <v>571.99</v>
      </c>
      <c r="CA34" s="62">
        <v>100</v>
      </c>
      <c r="CB34" s="62">
        <v>53.49</v>
      </c>
      <c r="CC34" s="62">
        <v>328.85</v>
      </c>
      <c r="CD34" s="62">
        <v>159.53</v>
      </c>
      <c r="CE34" s="62">
        <v>3990</v>
      </c>
      <c r="CF34" s="62">
        <v>388.55</v>
      </c>
      <c r="CG34" s="62">
        <v>212.46</v>
      </c>
      <c r="CH34" s="62">
        <v>66.45</v>
      </c>
      <c r="CI34" s="62">
        <v>45.05</v>
      </c>
      <c r="CJ34" s="62">
        <v>47.61</v>
      </c>
      <c r="CK34" s="62">
        <v>55.24</v>
      </c>
      <c r="CL34" s="62">
        <v>300.77999999999997</v>
      </c>
      <c r="CM34" s="62">
        <v>2200.29</v>
      </c>
      <c r="CN34" s="62">
        <v>2572.21</v>
      </c>
      <c r="CO34" s="62">
        <v>49.81</v>
      </c>
      <c r="CP34" s="62">
        <v>27.92</v>
      </c>
      <c r="CQ34" s="62">
        <v>23.86</v>
      </c>
      <c r="CR34" s="62">
        <v>6.75</v>
      </c>
      <c r="CS34" s="62">
        <v>91.82</v>
      </c>
      <c r="CT34" s="62">
        <v>4.1500000000000004</v>
      </c>
      <c r="CU34" s="62">
        <v>5522.16</v>
      </c>
      <c r="CV34" s="62">
        <v>265.36</v>
      </c>
      <c r="CW34" s="62">
        <v>517.17999999999995</v>
      </c>
      <c r="CX34" s="62">
        <v>647.54999999999995</v>
      </c>
      <c r="CY34" s="62">
        <v>499.02</v>
      </c>
      <c r="CZ34" s="62">
        <v>222.32</v>
      </c>
      <c r="DA34" s="62">
        <v>46.24</v>
      </c>
      <c r="DB34" s="62">
        <v>409.24</v>
      </c>
      <c r="DC34" s="62">
        <v>506.37</v>
      </c>
      <c r="DD34" s="62">
        <v>5.42</v>
      </c>
      <c r="DE34" s="62" t="s">
        <v>9344</v>
      </c>
      <c r="DF34" s="62">
        <v>160.04</v>
      </c>
      <c r="DG34" s="62">
        <v>352.73</v>
      </c>
      <c r="DH34" s="62">
        <v>4.43</v>
      </c>
      <c r="DI34" s="62" t="s">
        <v>9344</v>
      </c>
      <c r="DJ34" s="62">
        <v>121.2</v>
      </c>
      <c r="DK34" s="62">
        <v>2638.75</v>
      </c>
      <c r="DL34" s="62">
        <v>205.92</v>
      </c>
      <c r="DM34" s="62">
        <v>498.47</v>
      </c>
      <c r="DN34" s="62">
        <v>1075.21</v>
      </c>
      <c r="DO34" s="62">
        <v>11.37</v>
      </c>
      <c r="DP34" s="62">
        <v>1596</v>
      </c>
    </row>
    <row r="35" spans="1:120" x14ac:dyDescent="0.3">
      <c r="A35" s="62">
        <v>41913</v>
      </c>
      <c r="B35" s="62">
        <v>146.30000000000001</v>
      </c>
      <c r="C35" s="62">
        <v>2.14</v>
      </c>
      <c r="D35" s="62" t="s">
        <v>9344</v>
      </c>
      <c r="E35" s="62">
        <v>2198.38</v>
      </c>
      <c r="F35" s="62">
        <v>8.5299999999999994</v>
      </c>
      <c r="G35" s="62">
        <v>4.5199999999999996</v>
      </c>
      <c r="H35" s="62">
        <v>802.05</v>
      </c>
      <c r="I35" s="62" t="s">
        <v>9344</v>
      </c>
      <c r="J35" s="62">
        <v>90.68</v>
      </c>
      <c r="K35" s="62">
        <v>4523.84</v>
      </c>
      <c r="L35" s="62">
        <v>76.239999999999995</v>
      </c>
      <c r="M35" s="62">
        <v>69.67</v>
      </c>
      <c r="N35" s="62">
        <v>77.69</v>
      </c>
      <c r="O35" s="62">
        <v>1.1000000000000001</v>
      </c>
      <c r="P35" s="62">
        <v>26.45</v>
      </c>
      <c r="Q35" s="62">
        <v>611.64</v>
      </c>
      <c r="R35" s="62">
        <v>155.05000000000001</v>
      </c>
      <c r="S35" s="62">
        <v>74.17</v>
      </c>
      <c r="T35" s="62">
        <v>152.88</v>
      </c>
      <c r="U35" s="62">
        <v>725.36</v>
      </c>
      <c r="V35" s="62">
        <v>188.65</v>
      </c>
      <c r="W35" s="62">
        <v>130.27000000000001</v>
      </c>
      <c r="X35" s="62">
        <v>4319.18</v>
      </c>
      <c r="Y35" s="62">
        <v>44.08</v>
      </c>
      <c r="Z35" s="62">
        <v>2.4900000000000002</v>
      </c>
      <c r="AA35" s="62">
        <v>505.4</v>
      </c>
      <c r="AB35" s="62">
        <v>1345.91</v>
      </c>
      <c r="AC35" s="62">
        <v>216</v>
      </c>
      <c r="AD35" s="62" t="s">
        <v>9344</v>
      </c>
      <c r="AE35" s="62">
        <v>14.47</v>
      </c>
      <c r="AF35" s="62">
        <v>2903.7</v>
      </c>
      <c r="AG35" s="62">
        <v>6011.85</v>
      </c>
      <c r="AH35" s="62">
        <v>86.17</v>
      </c>
      <c r="AI35" s="62">
        <v>10066.34</v>
      </c>
      <c r="AJ35" s="62">
        <v>728.93</v>
      </c>
      <c r="AK35" s="62">
        <v>788.07</v>
      </c>
      <c r="AL35" s="62">
        <v>12.51</v>
      </c>
      <c r="AM35" s="62">
        <v>11.98</v>
      </c>
      <c r="AN35" s="62">
        <v>1960</v>
      </c>
      <c r="AO35" s="62">
        <v>15.46</v>
      </c>
      <c r="AP35" s="62">
        <v>13.91</v>
      </c>
      <c r="AQ35" s="62">
        <v>1304.77</v>
      </c>
      <c r="AR35" s="62">
        <v>244.81</v>
      </c>
      <c r="AS35" s="62">
        <v>190.79</v>
      </c>
      <c r="AT35" s="62">
        <v>458.63</v>
      </c>
      <c r="AU35" s="62">
        <v>48.08</v>
      </c>
      <c r="AV35" s="62">
        <v>1623.07</v>
      </c>
      <c r="AW35" s="62" t="s">
        <v>9344</v>
      </c>
      <c r="AX35" s="62">
        <v>9.0399999999999991</v>
      </c>
      <c r="AY35" s="62">
        <v>1199.78</v>
      </c>
      <c r="AZ35" s="62">
        <v>180.12</v>
      </c>
      <c r="BA35" s="62">
        <v>1514.51</v>
      </c>
      <c r="BB35" s="62" t="s">
        <v>9344</v>
      </c>
      <c r="BC35" s="62">
        <v>88.58</v>
      </c>
      <c r="BD35" s="62">
        <v>115.64</v>
      </c>
      <c r="BE35" s="62">
        <v>50.03</v>
      </c>
      <c r="BF35" s="62">
        <v>3469.51</v>
      </c>
      <c r="BG35" s="62">
        <v>2435.5</v>
      </c>
      <c r="BH35" s="62">
        <v>981.65</v>
      </c>
      <c r="BI35" s="62">
        <v>344.16</v>
      </c>
      <c r="BJ35" s="62">
        <v>137.25</v>
      </c>
      <c r="BK35" s="62">
        <v>19.45</v>
      </c>
      <c r="BL35" s="62">
        <v>9.09</v>
      </c>
      <c r="BM35" s="62" t="s">
        <v>9344</v>
      </c>
      <c r="BN35" s="62">
        <v>324.20999999999998</v>
      </c>
      <c r="BO35" s="62">
        <v>15.84</v>
      </c>
      <c r="BP35" s="62" t="s">
        <v>9344</v>
      </c>
      <c r="BQ35" s="62">
        <v>316.91000000000003</v>
      </c>
      <c r="BR35" s="62" t="s">
        <v>9344</v>
      </c>
      <c r="BS35" s="62">
        <v>293.13</v>
      </c>
      <c r="BT35" s="62">
        <v>10.34</v>
      </c>
      <c r="BU35" s="62">
        <v>305.70999999999998</v>
      </c>
      <c r="BV35" s="62">
        <v>18.95</v>
      </c>
      <c r="BW35" s="62">
        <v>2168.33</v>
      </c>
      <c r="BX35" s="62">
        <v>1155.1099999999999</v>
      </c>
      <c r="BY35" s="62">
        <v>12.96</v>
      </c>
      <c r="BZ35" s="62">
        <v>571.99</v>
      </c>
      <c r="CA35" s="62">
        <v>105</v>
      </c>
      <c r="CB35" s="62">
        <v>65.91</v>
      </c>
      <c r="CC35" s="62">
        <v>331.78</v>
      </c>
      <c r="CD35" s="62">
        <v>147.26</v>
      </c>
      <c r="CE35" s="62">
        <v>3920</v>
      </c>
      <c r="CF35" s="62">
        <v>440.05</v>
      </c>
      <c r="CG35" s="62">
        <v>216.66</v>
      </c>
      <c r="CH35" s="62">
        <v>67.77</v>
      </c>
      <c r="CI35" s="62">
        <v>39.409999999999997</v>
      </c>
      <c r="CJ35" s="62">
        <v>44.86</v>
      </c>
      <c r="CK35" s="62">
        <v>61.38</v>
      </c>
      <c r="CL35" s="62">
        <v>294.99</v>
      </c>
      <c r="CM35" s="62">
        <v>2112.98</v>
      </c>
      <c r="CN35" s="62">
        <v>2432.12</v>
      </c>
      <c r="CO35" s="62">
        <v>42.94</v>
      </c>
      <c r="CP35" s="62">
        <v>27.92</v>
      </c>
      <c r="CQ35" s="62">
        <v>26.25</v>
      </c>
      <c r="CR35" s="62">
        <v>6.75</v>
      </c>
      <c r="CS35" s="62">
        <v>104.94</v>
      </c>
      <c r="CT35" s="62">
        <v>5.81</v>
      </c>
      <c r="CU35" s="62">
        <v>5542.34</v>
      </c>
      <c r="CV35" s="62">
        <v>252.98</v>
      </c>
      <c r="CW35" s="62">
        <v>515.69000000000005</v>
      </c>
      <c r="CX35" s="62">
        <v>613.54999999999995</v>
      </c>
      <c r="CY35" s="62">
        <v>510.73</v>
      </c>
      <c r="CZ35" s="62">
        <v>228.17</v>
      </c>
      <c r="DA35" s="62">
        <v>46.24</v>
      </c>
      <c r="DB35" s="62">
        <v>389.44</v>
      </c>
      <c r="DC35" s="62">
        <v>522</v>
      </c>
      <c r="DD35" s="62">
        <v>5.42</v>
      </c>
      <c r="DE35" s="62" t="s">
        <v>9344</v>
      </c>
      <c r="DF35" s="62">
        <v>162.5</v>
      </c>
      <c r="DG35" s="62">
        <v>351.5</v>
      </c>
      <c r="DH35" s="62">
        <v>4.43</v>
      </c>
      <c r="DI35" s="62" t="s">
        <v>9344</v>
      </c>
      <c r="DJ35" s="62">
        <v>126.15</v>
      </c>
      <c r="DK35" s="62">
        <v>2668.62</v>
      </c>
      <c r="DL35" s="62">
        <v>235.45</v>
      </c>
      <c r="DM35" s="62">
        <v>488.92</v>
      </c>
      <c r="DN35" s="62">
        <v>1082.1500000000001</v>
      </c>
      <c r="DO35" s="62">
        <v>14.53</v>
      </c>
      <c r="DP35" s="62">
        <v>1588</v>
      </c>
    </row>
    <row r="36" spans="1:120" x14ac:dyDescent="0.3">
      <c r="A36" s="62">
        <v>41944</v>
      </c>
      <c r="B36" s="62">
        <v>144.63999999999999</v>
      </c>
      <c r="C36" s="62">
        <v>2.14</v>
      </c>
      <c r="D36" s="62" t="s">
        <v>9344</v>
      </c>
      <c r="E36" s="62">
        <v>2243.02</v>
      </c>
      <c r="F36" s="62">
        <v>9.17</v>
      </c>
      <c r="G36" s="62">
        <v>4.5199999999999996</v>
      </c>
      <c r="H36" s="62">
        <v>845.94</v>
      </c>
      <c r="I36" s="62" t="s">
        <v>9344</v>
      </c>
      <c r="J36" s="62">
        <v>96.34</v>
      </c>
      <c r="K36" s="62">
        <v>4630.9799999999996</v>
      </c>
      <c r="L36" s="62">
        <v>81.27</v>
      </c>
      <c r="M36" s="62">
        <v>66.83</v>
      </c>
      <c r="N36" s="62">
        <v>78.88</v>
      </c>
      <c r="O36" s="62">
        <v>1.1000000000000001</v>
      </c>
      <c r="P36" s="62">
        <v>28.66</v>
      </c>
      <c r="Q36" s="62">
        <v>617.29</v>
      </c>
      <c r="R36" s="62">
        <v>226.01</v>
      </c>
      <c r="S36" s="62">
        <v>62.5</v>
      </c>
      <c r="T36" s="62">
        <v>146</v>
      </c>
      <c r="U36" s="62">
        <v>832.38</v>
      </c>
      <c r="V36" s="62">
        <v>196.17</v>
      </c>
      <c r="W36" s="62">
        <v>135.15</v>
      </c>
      <c r="X36" s="62">
        <v>4590.82</v>
      </c>
      <c r="Y36" s="62">
        <v>40.07</v>
      </c>
      <c r="Z36" s="62">
        <v>2.4900000000000002</v>
      </c>
      <c r="AA36" s="62">
        <v>464.97</v>
      </c>
      <c r="AB36" s="62">
        <v>1450.97</v>
      </c>
      <c r="AC36" s="62">
        <v>234</v>
      </c>
      <c r="AD36" s="62" t="s">
        <v>9344</v>
      </c>
      <c r="AE36" s="62">
        <v>22.93</v>
      </c>
      <c r="AF36" s="62">
        <v>3088.06</v>
      </c>
      <c r="AG36" s="62">
        <v>5908.67</v>
      </c>
      <c r="AH36" s="62">
        <v>84.6</v>
      </c>
      <c r="AI36" s="62">
        <v>10002.43</v>
      </c>
      <c r="AJ36" s="62">
        <v>750.98</v>
      </c>
      <c r="AK36" s="62">
        <v>865.33</v>
      </c>
      <c r="AL36" s="62">
        <v>15.01</v>
      </c>
      <c r="AM36" s="62">
        <v>11.98</v>
      </c>
      <c r="AN36" s="62">
        <v>2070</v>
      </c>
      <c r="AO36" s="62">
        <v>14.01</v>
      </c>
      <c r="AP36" s="62">
        <v>13.64</v>
      </c>
      <c r="AQ36" s="62">
        <v>1359.9</v>
      </c>
      <c r="AR36" s="62">
        <v>256.83999999999997</v>
      </c>
      <c r="AS36" s="62">
        <v>198.5</v>
      </c>
      <c r="AT36" s="62">
        <v>477.16</v>
      </c>
      <c r="AU36" s="62">
        <v>43.07</v>
      </c>
      <c r="AV36" s="62">
        <v>1645.54</v>
      </c>
      <c r="AW36" s="62" t="s">
        <v>9344</v>
      </c>
      <c r="AX36" s="62">
        <v>12.53</v>
      </c>
      <c r="AY36" s="62">
        <v>1235.68</v>
      </c>
      <c r="AZ36" s="62">
        <v>180.12</v>
      </c>
      <c r="BA36" s="62">
        <v>1573.26</v>
      </c>
      <c r="BB36" s="62" t="s">
        <v>9344</v>
      </c>
      <c r="BC36" s="62">
        <v>87.34</v>
      </c>
      <c r="BD36" s="62">
        <v>111.51</v>
      </c>
      <c r="BE36" s="62">
        <v>44.15</v>
      </c>
      <c r="BF36" s="62">
        <v>3937.62</v>
      </c>
      <c r="BG36" s="62">
        <v>2686.58</v>
      </c>
      <c r="BH36" s="62">
        <v>917.5</v>
      </c>
      <c r="BI36" s="62">
        <v>368.21</v>
      </c>
      <c r="BJ36" s="62">
        <v>136.19999999999999</v>
      </c>
      <c r="BK36" s="62">
        <v>20.38</v>
      </c>
      <c r="BL36" s="62">
        <v>8.06</v>
      </c>
      <c r="BM36" s="62" t="s">
        <v>9344</v>
      </c>
      <c r="BN36" s="62">
        <v>309.51</v>
      </c>
      <c r="BO36" s="62">
        <v>13.83</v>
      </c>
      <c r="BP36" s="62" t="s">
        <v>9344</v>
      </c>
      <c r="BQ36" s="62">
        <v>304.13</v>
      </c>
      <c r="BR36" s="62" t="s">
        <v>9344</v>
      </c>
      <c r="BS36" s="62">
        <v>274.01</v>
      </c>
      <c r="BT36" s="62">
        <v>9.48</v>
      </c>
      <c r="BU36" s="62">
        <v>347.23</v>
      </c>
      <c r="BV36" s="62">
        <v>17.690000000000001</v>
      </c>
      <c r="BW36" s="62">
        <v>2205.08</v>
      </c>
      <c r="BX36" s="62">
        <v>1181.5999999999999</v>
      </c>
      <c r="BY36" s="62">
        <v>11.27</v>
      </c>
      <c r="BZ36" s="62">
        <v>600.79</v>
      </c>
      <c r="CA36" s="62">
        <v>117.5</v>
      </c>
      <c r="CB36" s="62">
        <v>65.91</v>
      </c>
      <c r="CC36" s="62">
        <v>362.12</v>
      </c>
      <c r="CD36" s="62">
        <v>139.08000000000001</v>
      </c>
      <c r="CE36" s="62">
        <v>3900</v>
      </c>
      <c r="CF36" s="62">
        <v>472.81</v>
      </c>
      <c r="CG36" s="62">
        <v>195.69</v>
      </c>
      <c r="CH36" s="62">
        <v>67.77</v>
      </c>
      <c r="CI36" s="62">
        <v>43.17</v>
      </c>
      <c r="CJ36" s="62">
        <v>52.72</v>
      </c>
      <c r="CK36" s="62">
        <v>58.92</v>
      </c>
      <c r="CL36" s="62">
        <v>279.57</v>
      </c>
      <c r="CM36" s="62">
        <v>2285.27</v>
      </c>
      <c r="CN36" s="62">
        <v>2513.84</v>
      </c>
      <c r="CO36" s="62">
        <v>41.22</v>
      </c>
      <c r="CP36" s="62">
        <v>28.98</v>
      </c>
      <c r="CQ36" s="62">
        <v>23.07</v>
      </c>
      <c r="CR36" s="62">
        <v>7.03</v>
      </c>
      <c r="CS36" s="62">
        <v>102.32</v>
      </c>
      <c r="CT36" s="62">
        <v>5.81</v>
      </c>
      <c r="CU36" s="62">
        <v>5852.91</v>
      </c>
      <c r="CV36" s="62">
        <v>264.48</v>
      </c>
      <c r="CW36" s="62">
        <v>524.61</v>
      </c>
      <c r="CX36" s="62">
        <v>589.62</v>
      </c>
      <c r="CY36" s="62">
        <v>512.19000000000005</v>
      </c>
      <c r="CZ36" s="62">
        <v>222.32</v>
      </c>
      <c r="DA36" s="62">
        <v>46.53</v>
      </c>
      <c r="DB36" s="62">
        <v>396.04</v>
      </c>
      <c r="DC36" s="62">
        <v>528.25</v>
      </c>
      <c r="DD36" s="62">
        <v>5.42</v>
      </c>
      <c r="DE36" s="62" t="s">
        <v>9344</v>
      </c>
      <c r="DF36" s="62">
        <v>165.15</v>
      </c>
      <c r="DG36" s="62">
        <v>347.98</v>
      </c>
      <c r="DH36" s="62">
        <v>4.43</v>
      </c>
      <c r="DI36" s="62" t="s">
        <v>9344</v>
      </c>
      <c r="DJ36" s="62">
        <v>163.36000000000001</v>
      </c>
      <c r="DK36" s="62">
        <v>2718.41</v>
      </c>
      <c r="DL36" s="62">
        <v>251.41</v>
      </c>
      <c r="DM36" s="62">
        <v>521.28</v>
      </c>
      <c r="DN36" s="62">
        <v>1085.6199999999999</v>
      </c>
      <c r="DO36" s="62">
        <v>10.11</v>
      </c>
      <c r="DP36" s="62">
        <v>1656</v>
      </c>
    </row>
    <row r="37" spans="1:120" x14ac:dyDescent="0.3">
      <c r="A37" s="62">
        <v>41974</v>
      </c>
      <c r="B37" s="62">
        <v>149.41999999999999</v>
      </c>
      <c r="C37" s="62">
        <v>2.14</v>
      </c>
      <c r="D37" s="62" t="s">
        <v>9344</v>
      </c>
      <c r="E37" s="62">
        <v>2750.84</v>
      </c>
      <c r="F37" s="62">
        <v>8.5299999999999994</v>
      </c>
      <c r="G37" s="62">
        <v>4.5199999999999996</v>
      </c>
      <c r="H37" s="62">
        <v>869.89</v>
      </c>
      <c r="I37" s="62" t="s">
        <v>9344</v>
      </c>
      <c r="J37" s="62">
        <v>98.77</v>
      </c>
      <c r="K37" s="62">
        <v>4625.09</v>
      </c>
      <c r="L37" s="62">
        <v>80.430000000000007</v>
      </c>
      <c r="M37" s="62">
        <v>67.09</v>
      </c>
      <c r="N37" s="62">
        <v>78.88</v>
      </c>
      <c r="O37" s="62">
        <v>1.1000000000000001</v>
      </c>
      <c r="P37" s="62">
        <v>22.04</v>
      </c>
      <c r="Q37" s="62">
        <v>671.44</v>
      </c>
      <c r="R37" s="62">
        <v>197.39</v>
      </c>
      <c r="S37" s="62">
        <v>33.65</v>
      </c>
      <c r="T37" s="62">
        <v>146</v>
      </c>
      <c r="U37" s="62">
        <v>848.23</v>
      </c>
      <c r="V37" s="62">
        <v>191.26</v>
      </c>
      <c r="W37" s="62">
        <v>146.66999999999999</v>
      </c>
      <c r="X37" s="62">
        <v>4495.4799999999996</v>
      </c>
      <c r="Y37" s="62">
        <v>34.729999999999997</v>
      </c>
      <c r="Z37" s="62">
        <v>2.4900000000000002</v>
      </c>
      <c r="AA37" s="62">
        <v>468</v>
      </c>
      <c r="AB37" s="62">
        <v>1422.52</v>
      </c>
      <c r="AC37" s="62">
        <v>249</v>
      </c>
      <c r="AD37" s="62" t="s">
        <v>9344</v>
      </c>
      <c r="AE37" s="62">
        <v>33.21</v>
      </c>
      <c r="AF37" s="62">
        <v>3089.48</v>
      </c>
      <c r="AG37" s="62">
        <v>5640.41</v>
      </c>
      <c r="AH37" s="62">
        <v>78.86</v>
      </c>
      <c r="AI37" s="62">
        <v>9666.89</v>
      </c>
      <c r="AJ37" s="62">
        <v>731</v>
      </c>
      <c r="AK37" s="62">
        <v>846.79</v>
      </c>
      <c r="AL37" s="62">
        <v>17.36</v>
      </c>
      <c r="AM37" s="62">
        <v>11.98</v>
      </c>
      <c r="AN37" s="62">
        <v>2025</v>
      </c>
      <c r="AO37" s="62">
        <v>14.01</v>
      </c>
      <c r="AP37" s="62">
        <v>14.18</v>
      </c>
      <c r="AQ37" s="62">
        <v>1370.12</v>
      </c>
      <c r="AR37" s="62">
        <v>278.02</v>
      </c>
      <c r="AS37" s="62">
        <v>187.24</v>
      </c>
      <c r="AT37" s="62">
        <v>528.12</v>
      </c>
      <c r="AU37" s="62">
        <v>47.58</v>
      </c>
      <c r="AV37" s="62">
        <v>1583.76</v>
      </c>
      <c r="AW37" s="62" t="s">
        <v>9344</v>
      </c>
      <c r="AX37" s="62">
        <v>15.21</v>
      </c>
      <c r="AY37" s="62">
        <v>1240.8</v>
      </c>
      <c r="AZ37" s="62">
        <v>180.12</v>
      </c>
      <c r="BA37" s="62">
        <v>1551.36</v>
      </c>
      <c r="BB37" s="62" t="s">
        <v>9344</v>
      </c>
      <c r="BC37" s="62">
        <v>89.47</v>
      </c>
      <c r="BD37" s="62">
        <v>113.58</v>
      </c>
      <c r="BE37" s="62">
        <v>50.03</v>
      </c>
      <c r="BF37" s="62">
        <v>4075.3</v>
      </c>
      <c r="BG37" s="62">
        <v>2799.57</v>
      </c>
      <c r="BH37" s="62">
        <v>911.15</v>
      </c>
      <c r="BI37" s="62">
        <v>347.86</v>
      </c>
      <c r="BJ37" s="62">
        <v>136.19999999999999</v>
      </c>
      <c r="BK37" s="62">
        <v>19.45</v>
      </c>
      <c r="BL37" s="62">
        <v>8.02</v>
      </c>
      <c r="BM37" s="62" t="s">
        <v>9344</v>
      </c>
      <c r="BN37" s="62">
        <v>248.45</v>
      </c>
      <c r="BO37" s="62">
        <v>13.83</v>
      </c>
      <c r="BP37" s="62" t="s">
        <v>9344</v>
      </c>
      <c r="BQ37" s="62">
        <v>306.74</v>
      </c>
      <c r="BR37" s="62" t="s">
        <v>9344</v>
      </c>
      <c r="BS37" s="62">
        <v>289.94</v>
      </c>
      <c r="BT37" s="62">
        <v>6.46</v>
      </c>
      <c r="BU37" s="62">
        <v>351</v>
      </c>
      <c r="BV37" s="62">
        <v>15.16</v>
      </c>
      <c r="BW37" s="62">
        <v>2245.92</v>
      </c>
      <c r="BX37" s="62">
        <v>1176.3</v>
      </c>
      <c r="BY37" s="62">
        <v>9.86</v>
      </c>
      <c r="BZ37" s="62">
        <v>600.79</v>
      </c>
      <c r="CA37" s="62">
        <v>119.5</v>
      </c>
      <c r="CB37" s="62">
        <v>66.86</v>
      </c>
      <c r="CC37" s="62">
        <v>364.08</v>
      </c>
      <c r="CD37" s="62">
        <v>139.08000000000001</v>
      </c>
      <c r="CE37" s="62">
        <v>3985</v>
      </c>
      <c r="CF37" s="62">
        <v>468.13</v>
      </c>
      <c r="CG37" s="62">
        <v>205.48</v>
      </c>
      <c r="CH37" s="62">
        <v>68.209999999999994</v>
      </c>
      <c r="CI37" s="62">
        <v>41.29</v>
      </c>
      <c r="CJ37" s="62">
        <v>49.62</v>
      </c>
      <c r="CK37" s="62">
        <v>57.69</v>
      </c>
      <c r="CL37" s="62">
        <v>287.27999999999997</v>
      </c>
      <c r="CM37" s="62">
        <v>2302.89</v>
      </c>
      <c r="CN37" s="62">
        <v>2537.19</v>
      </c>
      <c r="CO37" s="62">
        <v>34.35</v>
      </c>
      <c r="CP37" s="62">
        <v>26.34</v>
      </c>
      <c r="CQ37" s="62">
        <v>21.48</v>
      </c>
      <c r="CR37" s="62">
        <v>7.73</v>
      </c>
      <c r="CS37" s="62">
        <v>104.94</v>
      </c>
      <c r="CT37" s="62">
        <v>5.81</v>
      </c>
      <c r="CU37" s="62">
        <v>5724.48</v>
      </c>
      <c r="CV37" s="62">
        <v>259.2</v>
      </c>
      <c r="CW37" s="62">
        <v>543.92999999999995</v>
      </c>
      <c r="CX37" s="62">
        <v>587.44000000000005</v>
      </c>
      <c r="CY37" s="62">
        <v>509.27</v>
      </c>
      <c r="CZ37" s="62">
        <v>228.17</v>
      </c>
      <c r="DA37" s="62">
        <v>46.24</v>
      </c>
      <c r="DB37" s="62">
        <v>409.24</v>
      </c>
      <c r="DC37" s="62">
        <v>662.66</v>
      </c>
      <c r="DD37" s="62">
        <v>3.83</v>
      </c>
      <c r="DE37" s="62" t="s">
        <v>9344</v>
      </c>
      <c r="DF37" s="62">
        <v>190.99</v>
      </c>
      <c r="DG37" s="62">
        <v>346.23</v>
      </c>
      <c r="DH37" s="62">
        <v>5.54</v>
      </c>
      <c r="DI37" s="62" t="s">
        <v>9344</v>
      </c>
      <c r="DJ37" s="62">
        <v>183.13</v>
      </c>
      <c r="DK37" s="62">
        <v>2808.03</v>
      </c>
      <c r="DL37" s="62">
        <v>287.33</v>
      </c>
      <c r="DM37" s="62">
        <v>517.88</v>
      </c>
      <c r="DN37" s="62">
        <v>1068.28</v>
      </c>
      <c r="DO37" s="62">
        <v>11.37</v>
      </c>
      <c r="DP37" s="62">
        <v>1688</v>
      </c>
    </row>
    <row r="38" spans="1:120" x14ac:dyDescent="0.3">
      <c r="A38" s="62">
        <v>42005</v>
      </c>
      <c r="B38" s="62">
        <v>160.83000000000001</v>
      </c>
      <c r="C38" s="62">
        <v>0.53</v>
      </c>
      <c r="D38" s="62" t="s">
        <v>9344</v>
      </c>
      <c r="E38" s="62">
        <v>2767.14</v>
      </c>
      <c r="F38" s="62">
        <v>7.57</v>
      </c>
      <c r="G38" s="62">
        <v>4.5199999999999996</v>
      </c>
      <c r="H38" s="62">
        <v>864.8</v>
      </c>
      <c r="I38" s="62">
        <v>212.46</v>
      </c>
      <c r="J38" s="62">
        <v>100.39</v>
      </c>
      <c r="K38" s="62">
        <v>5035.8100000000004</v>
      </c>
      <c r="L38" s="62">
        <v>81.27</v>
      </c>
      <c r="M38" s="62">
        <v>65.8</v>
      </c>
      <c r="N38" s="62">
        <v>79.569999999999993</v>
      </c>
      <c r="O38" s="62">
        <v>1.1000000000000001</v>
      </c>
      <c r="P38" s="62">
        <v>20.94</v>
      </c>
      <c r="Q38" s="62">
        <v>643.28</v>
      </c>
      <c r="R38" s="62">
        <v>200.37</v>
      </c>
      <c r="S38" s="62">
        <v>41.89</v>
      </c>
      <c r="T38" s="62">
        <v>148.75</v>
      </c>
      <c r="U38" s="62">
        <v>1054.3399999999999</v>
      </c>
      <c r="V38" s="62">
        <v>190.61</v>
      </c>
      <c r="W38" s="62">
        <v>145.88</v>
      </c>
      <c r="X38" s="62">
        <v>4678.82</v>
      </c>
      <c r="Y38" s="62">
        <v>45.68</v>
      </c>
      <c r="Z38" s="62">
        <v>2.4900000000000002</v>
      </c>
      <c r="AA38" s="62">
        <v>464.97</v>
      </c>
      <c r="AB38" s="62">
        <v>1474.93</v>
      </c>
      <c r="AC38" s="62">
        <v>227.4</v>
      </c>
      <c r="AD38" s="62">
        <v>185.94</v>
      </c>
      <c r="AE38" s="62">
        <v>34.18</v>
      </c>
      <c r="AF38" s="62">
        <v>3486.54</v>
      </c>
      <c r="AG38" s="62">
        <v>5709.19</v>
      </c>
      <c r="AH38" s="62">
        <v>75.72</v>
      </c>
      <c r="AI38" s="62">
        <v>9634.93</v>
      </c>
      <c r="AJ38" s="62">
        <v>737.55</v>
      </c>
      <c r="AK38" s="62">
        <v>896.23</v>
      </c>
      <c r="AL38" s="62">
        <v>13.35</v>
      </c>
      <c r="AM38" s="62">
        <v>11.98</v>
      </c>
      <c r="AN38" s="62">
        <v>2170</v>
      </c>
      <c r="AO38" s="62">
        <v>14.97</v>
      </c>
      <c r="AP38" s="62">
        <v>10.09</v>
      </c>
      <c r="AQ38" s="62">
        <v>1400.84</v>
      </c>
      <c r="AR38" s="62">
        <v>283.83999999999997</v>
      </c>
      <c r="AS38" s="62">
        <v>187.3</v>
      </c>
      <c r="AT38" s="62">
        <v>523.49</v>
      </c>
      <c r="AU38" s="62">
        <v>42.61</v>
      </c>
      <c r="AV38" s="62">
        <v>1685.63</v>
      </c>
      <c r="AW38" s="62" t="s">
        <v>9344</v>
      </c>
      <c r="AX38" s="62">
        <v>14.36</v>
      </c>
      <c r="AY38" s="62">
        <v>1285.01</v>
      </c>
      <c r="AZ38" s="62">
        <v>180.12</v>
      </c>
      <c r="BA38" s="62">
        <v>1583.22</v>
      </c>
      <c r="BB38" s="62" t="s">
        <v>9344</v>
      </c>
      <c r="BC38" s="62">
        <v>90.19</v>
      </c>
      <c r="BD38" s="62">
        <v>111.51</v>
      </c>
      <c r="BE38" s="62">
        <v>62.39</v>
      </c>
      <c r="BF38" s="62">
        <v>4102.83</v>
      </c>
      <c r="BG38" s="62">
        <v>2837.23</v>
      </c>
      <c r="BH38" s="62">
        <v>995.91</v>
      </c>
      <c r="BI38" s="62">
        <v>351.56</v>
      </c>
      <c r="BJ38" s="62">
        <v>137.25</v>
      </c>
      <c r="BK38" s="62">
        <v>18.760000000000002</v>
      </c>
      <c r="BL38" s="62">
        <v>7.31</v>
      </c>
      <c r="BM38" s="62" t="s">
        <v>9344</v>
      </c>
      <c r="BN38" s="62">
        <v>265.29000000000002</v>
      </c>
      <c r="BO38" s="62">
        <v>13.83</v>
      </c>
      <c r="BP38" s="62" t="s">
        <v>9344</v>
      </c>
      <c r="BQ38" s="62">
        <v>299.07</v>
      </c>
      <c r="BR38" s="62" t="s">
        <v>9344</v>
      </c>
      <c r="BS38" s="62">
        <v>270.82</v>
      </c>
      <c r="BT38" s="62">
        <v>4.3099999999999996</v>
      </c>
      <c r="BU38" s="62">
        <v>347.23</v>
      </c>
      <c r="BV38" s="62">
        <v>17.690000000000001</v>
      </c>
      <c r="BW38" s="62">
        <v>2293.56</v>
      </c>
      <c r="BX38" s="62">
        <v>1261.08</v>
      </c>
      <c r="BY38" s="62">
        <v>8.17</v>
      </c>
      <c r="BZ38" s="62">
        <v>623.42999999999995</v>
      </c>
      <c r="CA38" s="62">
        <v>140</v>
      </c>
      <c r="CB38" s="62">
        <v>64.95</v>
      </c>
      <c r="CC38" s="62">
        <v>359.19</v>
      </c>
      <c r="CD38" s="62">
        <v>147.26</v>
      </c>
      <c r="CE38" s="62">
        <v>4260</v>
      </c>
      <c r="CF38" s="62">
        <v>449.41</v>
      </c>
      <c r="CG38" s="62">
        <v>199.88</v>
      </c>
      <c r="CH38" s="62">
        <v>68.069999999999993</v>
      </c>
      <c r="CI38" s="62">
        <v>41.29</v>
      </c>
      <c r="CJ38" s="62">
        <v>50.15</v>
      </c>
      <c r="CK38" s="62">
        <v>69.97</v>
      </c>
      <c r="CL38" s="62">
        <v>273.77999999999997</v>
      </c>
      <c r="CM38" s="62">
        <v>2279.39</v>
      </c>
      <c r="CN38" s="62">
        <v>2350.4</v>
      </c>
      <c r="CO38" s="62">
        <v>34.35</v>
      </c>
      <c r="CP38" s="62">
        <v>28.45</v>
      </c>
      <c r="CQ38" s="62">
        <v>18.82</v>
      </c>
      <c r="CR38" s="62">
        <v>9.84</v>
      </c>
      <c r="CS38" s="62">
        <v>103.63</v>
      </c>
      <c r="CT38" s="62">
        <v>5.81</v>
      </c>
      <c r="CU38" s="62">
        <v>5715.32</v>
      </c>
      <c r="CV38" s="62">
        <v>257.43</v>
      </c>
      <c r="CW38" s="62">
        <v>567.70000000000005</v>
      </c>
      <c r="CX38" s="62">
        <v>605.38</v>
      </c>
      <c r="CY38" s="62">
        <v>468.29</v>
      </c>
      <c r="CZ38" s="62">
        <v>222.32</v>
      </c>
      <c r="DA38" s="62">
        <v>48.23</v>
      </c>
      <c r="DB38" s="62">
        <v>382.84</v>
      </c>
      <c r="DC38" s="62">
        <v>690.79</v>
      </c>
      <c r="DD38" s="62">
        <v>3.32</v>
      </c>
      <c r="DE38" s="62" t="s">
        <v>9344</v>
      </c>
      <c r="DF38" s="62">
        <v>202.41</v>
      </c>
      <c r="DG38" s="62">
        <v>377.86</v>
      </c>
      <c r="DH38" s="62">
        <v>5.54</v>
      </c>
      <c r="DI38" s="62" t="s">
        <v>9344</v>
      </c>
      <c r="DJ38" s="62">
        <v>202.08</v>
      </c>
      <c r="DK38" s="62">
        <v>2778.16</v>
      </c>
      <c r="DL38" s="62">
        <v>303.89999999999998</v>
      </c>
      <c r="DM38" s="62">
        <v>535.70000000000005</v>
      </c>
      <c r="DN38" s="62">
        <v>1082.1500000000001</v>
      </c>
      <c r="DO38" s="62">
        <v>8.85</v>
      </c>
      <c r="DP38" s="62">
        <v>1852</v>
      </c>
    </row>
    <row r="39" spans="1:120" x14ac:dyDescent="0.3">
      <c r="A39" s="62">
        <v>42036</v>
      </c>
      <c r="B39" s="62">
        <v>173.27</v>
      </c>
      <c r="C39" s="62">
        <v>1.07</v>
      </c>
      <c r="D39" s="62" t="s">
        <v>9344</v>
      </c>
      <c r="E39" s="62">
        <v>2947.34</v>
      </c>
      <c r="F39" s="62">
        <v>7.46</v>
      </c>
      <c r="G39" s="62">
        <v>4.5599999999999996</v>
      </c>
      <c r="H39" s="62">
        <v>908.84</v>
      </c>
      <c r="I39" s="62">
        <v>221.5</v>
      </c>
      <c r="J39" s="62">
        <v>102.01</v>
      </c>
      <c r="K39" s="62">
        <v>5321.53</v>
      </c>
      <c r="L39" s="62">
        <v>84.62</v>
      </c>
      <c r="M39" s="62">
        <v>63.22</v>
      </c>
      <c r="N39" s="62">
        <v>80.81</v>
      </c>
      <c r="O39" s="62">
        <v>1.1000000000000001</v>
      </c>
      <c r="P39" s="62">
        <v>22.04</v>
      </c>
      <c r="Q39" s="62">
        <v>649.78</v>
      </c>
      <c r="R39" s="62">
        <v>214.68</v>
      </c>
      <c r="S39" s="62">
        <v>37.770000000000003</v>
      </c>
      <c r="T39" s="62">
        <v>165.28</v>
      </c>
      <c r="U39" s="62">
        <v>1060.29</v>
      </c>
      <c r="V39" s="62">
        <v>212.19</v>
      </c>
      <c r="W39" s="62">
        <v>146.28</v>
      </c>
      <c r="X39" s="62">
        <v>5221.51</v>
      </c>
      <c r="Y39" s="62">
        <v>43.99</v>
      </c>
      <c r="Z39" s="62">
        <v>2.4900000000000002</v>
      </c>
      <c r="AA39" s="62">
        <v>495.29</v>
      </c>
      <c r="AB39" s="62">
        <v>1413.53</v>
      </c>
      <c r="AC39" s="62">
        <v>228</v>
      </c>
      <c r="AD39" s="62">
        <v>185.94</v>
      </c>
      <c r="AE39" s="62">
        <v>29.98</v>
      </c>
      <c r="AF39" s="62">
        <v>3430.81</v>
      </c>
      <c r="AG39" s="62">
        <v>5812.37</v>
      </c>
      <c r="AH39" s="62">
        <v>78.33</v>
      </c>
      <c r="AI39" s="62">
        <v>9299.39</v>
      </c>
      <c r="AJ39" s="62">
        <v>710.76</v>
      </c>
      <c r="AK39" s="62">
        <v>907.05</v>
      </c>
      <c r="AL39" s="62">
        <v>14.95</v>
      </c>
      <c r="AM39" s="62">
        <v>11.98</v>
      </c>
      <c r="AN39" s="62">
        <v>2245</v>
      </c>
      <c r="AO39" s="62">
        <v>14.49</v>
      </c>
      <c r="AP39" s="62">
        <v>15.53</v>
      </c>
      <c r="AQ39" s="62">
        <v>1468.42</v>
      </c>
      <c r="AR39" s="62">
        <v>287.86</v>
      </c>
      <c r="AS39" s="62">
        <v>199.09</v>
      </c>
      <c r="AT39" s="62">
        <v>611.51</v>
      </c>
      <c r="AU39" s="62">
        <v>43.11</v>
      </c>
      <c r="AV39" s="62">
        <v>1795.19</v>
      </c>
      <c r="AW39" s="62" t="s">
        <v>9344</v>
      </c>
      <c r="AX39" s="62">
        <v>14.36</v>
      </c>
      <c r="AY39" s="62">
        <v>1373.1</v>
      </c>
      <c r="AZ39" s="62">
        <v>177.17</v>
      </c>
      <c r="BA39" s="62">
        <v>1591.19</v>
      </c>
      <c r="BB39" s="62" t="s">
        <v>9344</v>
      </c>
      <c r="BC39" s="62">
        <v>91.27</v>
      </c>
      <c r="BD39" s="62">
        <v>113.99</v>
      </c>
      <c r="BE39" s="62">
        <v>56.15</v>
      </c>
      <c r="BF39" s="62">
        <v>4763.6899999999996</v>
      </c>
      <c r="BG39" s="62">
        <v>3063.21</v>
      </c>
      <c r="BH39" s="62">
        <v>1019.21</v>
      </c>
      <c r="BI39" s="62">
        <v>358.96</v>
      </c>
      <c r="BJ39" s="62">
        <v>141.47</v>
      </c>
      <c r="BK39" s="62">
        <v>18.29</v>
      </c>
      <c r="BL39" s="62">
        <v>6.58</v>
      </c>
      <c r="BM39" s="62" t="s">
        <v>9344</v>
      </c>
      <c r="BN39" s="62">
        <v>269.5</v>
      </c>
      <c r="BO39" s="62">
        <v>14.69</v>
      </c>
      <c r="BP39" s="62" t="s">
        <v>9344</v>
      </c>
      <c r="BQ39" s="62">
        <v>309.29000000000002</v>
      </c>
      <c r="BR39" s="62" t="s">
        <v>9344</v>
      </c>
      <c r="BS39" s="62">
        <v>251.71</v>
      </c>
      <c r="BT39" s="62">
        <v>4.3099999999999996</v>
      </c>
      <c r="BU39" s="62">
        <v>369.88</v>
      </c>
      <c r="BV39" s="62">
        <v>25.27</v>
      </c>
      <c r="BW39" s="62">
        <v>2429.67</v>
      </c>
      <c r="BX39" s="62">
        <v>1314.07</v>
      </c>
      <c r="BY39" s="62">
        <v>8.4499999999999993</v>
      </c>
      <c r="BZ39" s="62">
        <v>648.12</v>
      </c>
      <c r="CA39" s="62">
        <v>151.81</v>
      </c>
      <c r="CB39" s="62">
        <v>68.77</v>
      </c>
      <c r="CC39" s="62">
        <v>372.89</v>
      </c>
      <c r="CD39" s="62">
        <v>141.12</v>
      </c>
      <c r="CE39" s="62">
        <v>4155</v>
      </c>
      <c r="CF39" s="62">
        <v>463.45</v>
      </c>
      <c r="CG39" s="62">
        <v>212.46</v>
      </c>
      <c r="CH39" s="62">
        <v>68.7</v>
      </c>
      <c r="CI39" s="62">
        <v>43.17</v>
      </c>
      <c r="CJ39" s="62">
        <v>46.58</v>
      </c>
      <c r="CK39" s="62">
        <v>64.44</v>
      </c>
      <c r="CL39" s="62">
        <v>254.5</v>
      </c>
      <c r="CM39" s="62">
        <v>2273.52</v>
      </c>
      <c r="CN39" s="62">
        <v>2311.4899999999998</v>
      </c>
      <c r="CO39" s="62">
        <v>31.77</v>
      </c>
      <c r="CP39" s="62">
        <v>28.45</v>
      </c>
      <c r="CQ39" s="62">
        <v>16.7</v>
      </c>
      <c r="CR39" s="62">
        <v>9.84</v>
      </c>
      <c r="CS39" s="62">
        <v>103.63</v>
      </c>
      <c r="CT39" s="62">
        <v>4.9800000000000004</v>
      </c>
      <c r="CU39" s="62">
        <v>6128.14</v>
      </c>
      <c r="CV39" s="62">
        <v>255.66</v>
      </c>
      <c r="CW39" s="62">
        <v>579.59</v>
      </c>
      <c r="CX39" s="62">
        <v>677.5</v>
      </c>
      <c r="CY39" s="62">
        <v>487.32</v>
      </c>
      <c r="CZ39" s="62">
        <v>234.02</v>
      </c>
      <c r="DA39" s="62">
        <v>26.67</v>
      </c>
      <c r="DB39" s="62">
        <v>349.84</v>
      </c>
      <c r="DC39" s="62">
        <v>797.07</v>
      </c>
      <c r="DD39" s="62">
        <v>2.5499999999999998</v>
      </c>
      <c r="DE39" s="62" t="s">
        <v>9344</v>
      </c>
      <c r="DF39" s="62">
        <v>200.16</v>
      </c>
      <c r="DG39" s="62">
        <v>391.92</v>
      </c>
      <c r="DH39" s="62">
        <v>4.43</v>
      </c>
      <c r="DI39" s="62" t="s">
        <v>9344</v>
      </c>
      <c r="DJ39" s="62">
        <v>202.08</v>
      </c>
      <c r="DK39" s="62">
        <v>2907.6</v>
      </c>
      <c r="DL39" s="62">
        <v>323.89</v>
      </c>
      <c r="DM39" s="62">
        <v>556.16999999999996</v>
      </c>
      <c r="DN39" s="62">
        <v>991.97</v>
      </c>
      <c r="DO39" s="62">
        <v>7.58</v>
      </c>
      <c r="DP39" s="62">
        <v>2004</v>
      </c>
    </row>
    <row r="40" spans="1:120" x14ac:dyDescent="0.3">
      <c r="A40" s="62">
        <v>42064</v>
      </c>
      <c r="B40" s="62">
        <v>171.18</v>
      </c>
      <c r="C40" s="62">
        <v>5.34</v>
      </c>
      <c r="D40" s="62" t="s">
        <v>9344</v>
      </c>
      <c r="E40" s="62">
        <v>3249.61</v>
      </c>
      <c r="F40" s="62">
        <v>6.93</v>
      </c>
      <c r="G40" s="62">
        <v>1.96</v>
      </c>
      <c r="H40" s="62">
        <v>912.84</v>
      </c>
      <c r="I40" s="62">
        <v>219.24</v>
      </c>
      <c r="J40" s="62">
        <v>103.63</v>
      </c>
      <c r="K40" s="62">
        <v>5321.53</v>
      </c>
      <c r="L40" s="62">
        <v>86.29</v>
      </c>
      <c r="M40" s="62">
        <v>77.52</v>
      </c>
      <c r="N40" s="62">
        <v>87.03</v>
      </c>
      <c r="O40" s="62">
        <v>1.1000000000000001</v>
      </c>
      <c r="P40" s="62">
        <v>19.84</v>
      </c>
      <c r="Q40" s="62">
        <v>634.72</v>
      </c>
      <c r="R40" s="62">
        <v>208.72</v>
      </c>
      <c r="S40" s="62">
        <v>30.91</v>
      </c>
      <c r="T40" s="62">
        <v>159.77000000000001</v>
      </c>
      <c r="U40" s="62">
        <v>1149.47</v>
      </c>
      <c r="V40" s="62">
        <v>210.55</v>
      </c>
      <c r="W40" s="62">
        <v>162.05000000000001</v>
      </c>
      <c r="X40" s="62">
        <v>4466.1499999999996</v>
      </c>
      <c r="Y40" s="62">
        <v>50.75</v>
      </c>
      <c r="Z40" s="62">
        <v>0.41</v>
      </c>
      <c r="AA40" s="62">
        <v>475.08</v>
      </c>
      <c r="AB40" s="62">
        <v>1549.8</v>
      </c>
      <c r="AC40" s="62">
        <v>226.2</v>
      </c>
      <c r="AD40" s="62">
        <v>198.33</v>
      </c>
      <c r="AE40" s="62">
        <v>32.119999999999997</v>
      </c>
      <c r="AF40" s="62">
        <v>3793.91</v>
      </c>
      <c r="AG40" s="62">
        <v>5936.18</v>
      </c>
      <c r="AH40" s="62">
        <v>75.72</v>
      </c>
      <c r="AI40" s="62">
        <v>9523.08</v>
      </c>
      <c r="AJ40" s="62">
        <v>728.7</v>
      </c>
      <c r="AK40" s="62">
        <v>981.22</v>
      </c>
      <c r="AL40" s="62">
        <v>16.02</v>
      </c>
      <c r="AM40" s="62">
        <v>11.98</v>
      </c>
      <c r="AN40" s="62">
        <v>2250</v>
      </c>
      <c r="AO40" s="62">
        <v>14.01</v>
      </c>
      <c r="AP40" s="62">
        <v>15.91</v>
      </c>
      <c r="AQ40" s="62">
        <v>1468.42</v>
      </c>
      <c r="AR40" s="62">
        <v>294.55</v>
      </c>
      <c r="AS40" s="62">
        <v>189.61</v>
      </c>
      <c r="AT40" s="62">
        <v>616.14</v>
      </c>
      <c r="AU40" s="62">
        <v>43.11</v>
      </c>
      <c r="AV40" s="62">
        <v>1769.91</v>
      </c>
      <c r="AW40" s="62" t="s">
        <v>9344</v>
      </c>
      <c r="AX40" s="62">
        <v>11.75</v>
      </c>
      <c r="AY40" s="62">
        <v>1367.91</v>
      </c>
      <c r="AZ40" s="62">
        <v>180.12</v>
      </c>
      <c r="BA40" s="62">
        <v>1604.13</v>
      </c>
      <c r="BB40" s="62" t="s">
        <v>9344</v>
      </c>
      <c r="BC40" s="62">
        <v>92.24</v>
      </c>
      <c r="BD40" s="62">
        <v>117.29</v>
      </c>
      <c r="BE40" s="62">
        <v>53.03</v>
      </c>
      <c r="BF40" s="62">
        <v>4749.93</v>
      </c>
      <c r="BG40" s="62">
        <v>3383.34</v>
      </c>
      <c r="BH40" s="62">
        <v>1019.21</v>
      </c>
      <c r="BI40" s="62">
        <v>331.2</v>
      </c>
      <c r="BJ40" s="62">
        <v>144.63999999999999</v>
      </c>
      <c r="BK40" s="62">
        <v>16.670000000000002</v>
      </c>
      <c r="BL40" s="62">
        <v>6.58</v>
      </c>
      <c r="BM40" s="62" t="s">
        <v>9344</v>
      </c>
      <c r="BN40" s="62">
        <v>212.23</v>
      </c>
      <c r="BO40" s="62">
        <v>15.84</v>
      </c>
      <c r="BP40" s="62" t="s">
        <v>9344</v>
      </c>
      <c r="BQ40" s="62">
        <v>300.82</v>
      </c>
      <c r="BR40" s="62" t="s">
        <v>9344</v>
      </c>
      <c r="BS40" s="62">
        <v>229.4</v>
      </c>
      <c r="BT40" s="62">
        <v>3.02</v>
      </c>
      <c r="BU40" s="62">
        <v>392.52</v>
      </c>
      <c r="BV40" s="62">
        <v>27.9</v>
      </c>
      <c r="BW40" s="62">
        <v>2293.56</v>
      </c>
      <c r="BX40" s="62">
        <v>1402.96</v>
      </c>
      <c r="BY40" s="62">
        <v>8.17</v>
      </c>
      <c r="BZ40" s="62">
        <v>652.23</v>
      </c>
      <c r="CA40" s="62">
        <v>165.34</v>
      </c>
      <c r="CB40" s="62">
        <v>67.819999999999993</v>
      </c>
      <c r="CC40" s="62">
        <v>373.87</v>
      </c>
      <c r="CD40" s="62">
        <v>134.99</v>
      </c>
      <c r="CE40" s="62">
        <v>4020</v>
      </c>
      <c r="CF40" s="62">
        <v>463.45</v>
      </c>
      <c r="CG40" s="62">
        <v>216.66</v>
      </c>
      <c r="CH40" s="62">
        <v>64.63</v>
      </c>
      <c r="CI40" s="62">
        <v>43.17</v>
      </c>
      <c r="CJ40" s="62">
        <v>50.46</v>
      </c>
      <c r="CK40" s="62">
        <v>66.290000000000006</v>
      </c>
      <c r="CL40" s="62">
        <v>262.22000000000003</v>
      </c>
      <c r="CM40" s="62">
        <v>2355.77</v>
      </c>
      <c r="CN40" s="62">
        <v>2186.96</v>
      </c>
      <c r="CO40" s="62">
        <v>31.77</v>
      </c>
      <c r="CP40" s="62">
        <v>28.45</v>
      </c>
      <c r="CQ40" s="62">
        <v>12.99</v>
      </c>
      <c r="CR40" s="62">
        <v>10.119999999999999</v>
      </c>
      <c r="CS40" s="62">
        <v>104.94</v>
      </c>
      <c r="CT40" s="62">
        <v>4.9800000000000004</v>
      </c>
      <c r="CU40" s="62">
        <v>6036.41</v>
      </c>
      <c r="CV40" s="62">
        <v>271.58999999999997</v>
      </c>
      <c r="CW40" s="62">
        <v>584.04999999999995</v>
      </c>
      <c r="CX40" s="62">
        <v>756.18</v>
      </c>
      <c r="CY40" s="62">
        <v>462.44</v>
      </c>
      <c r="CZ40" s="62">
        <v>227</v>
      </c>
      <c r="DA40" s="62">
        <v>22.98</v>
      </c>
      <c r="DB40" s="62">
        <v>376.24</v>
      </c>
      <c r="DC40" s="62">
        <v>797.07</v>
      </c>
      <c r="DD40" s="62">
        <v>2.5499999999999998</v>
      </c>
      <c r="DE40" s="62" t="s">
        <v>9344</v>
      </c>
      <c r="DF40" s="62">
        <v>205.78</v>
      </c>
      <c r="DG40" s="62">
        <v>414.77</v>
      </c>
      <c r="DH40" s="62">
        <v>4.43</v>
      </c>
      <c r="DI40" s="62" t="s">
        <v>9344</v>
      </c>
      <c r="DJ40" s="62">
        <v>217.61</v>
      </c>
      <c r="DK40" s="62">
        <v>2977.31</v>
      </c>
      <c r="DL40" s="62">
        <v>359.88</v>
      </c>
      <c r="DM40" s="62">
        <v>566.41</v>
      </c>
      <c r="DN40" s="62">
        <v>943.41</v>
      </c>
      <c r="DO40" s="62">
        <v>6.32</v>
      </c>
      <c r="DP40" s="62">
        <v>1896</v>
      </c>
    </row>
    <row r="41" spans="1:120" x14ac:dyDescent="0.3">
      <c r="A41" s="62">
        <v>42095</v>
      </c>
      <c r="B41" s="62">
        <v>164.08</v>
      </c>
      <c r="C41" s="62">
        <v>2.67</v>
      </c>
      <c r="D41" s="62" t="s">
        <v>9344</v>
      </c>
      <c r="E41" s="62">
        <v>3043.7</v>
      </c>
      <c r="F41" s="62">
        <v>5.33</v>
      </c>
      <c r="G41" s="62">
        <v>1.96</v>
      </c>
      <c r="H41" s="62">
        <v>915</v>
      </c>
      <c r="I41" s="62">
        <v>211.36</v>
      </c>
      <c r="J41" s="62">
        <v>106.87</v>
      </c>
      <c r="K41" s="62">
        <v>5404.86</v>
      </c>
      <c r="L41" s="62">
        <v>84.62</v>
      </c>
      <c r="M41" s="62">
        <v>76.61</v>
      </c>
      <c r="N41" s="62">
        <v>83.96</v>
      </c>
      <c r="O41" s="62">
        <v>1.1000000000000001</v>
      </c>
      <c r="P41" s="62">
        <v>20.94</v>
      </c>
      <c r="Q41" s="62">
        <v>615.92999999999995</v>
      </c>
      <c r="R41" s="62">
        <v>196.79</v>
      </c>
      <c r="S41" s="62">
        <v>31.59</v>
      </c>
      <c r="T41" s="62">
        <v>165.28</v>
      </c>
      <c r="U41" s="62">
        <v>1129.6500000000001</v>
      </c>
      <c r="V41" s="62">
        <v>205.65</v>
      </c>
      <c r="W41" s="62">
        <v>157.72</v>
      </c>
      <c r="X41" s="62">
        <v>4326.8100000000004</v>
      </c>
      <c r="Y41" s="62">
        <v>54.14</v>
      </c>
      <c r="Z41" s="62">
        <v>0.83</v>
      </c>
      <c r="AA41" s="62">
        <v>470.02</v>
      </c>
      <c r="AB41" s="62">
        <v>1579.74</v>
      </c>
      <c r="AC41" s="62">
        <v>249</v>
      </c>
      <c r="AD41" s="62">
        <v>185.94</v>
      </c>
      <c r="AE41" s="62">
        <v>27.41</v>
      </c>
      <c r="AF41" s="62">
        <v>3648.93</v>
      </c>
      <c r="AG41" s="62">
        <v>5771.1</v>
      </c>
      <c r="AH41" s="62">
        <v>70.5</v>
      </c>
      <c r="AI41" s="62">
        <v>8883.9500000000007</v>
      </c>
      <c r="AJ41" s="62">
        <v>668.42</v>
      </c>
      <c r="AK41" s="62">
        <v>945.68</v>
      </c>
      <c r="AL41" s="62">
        <v>14.69</v>
      </c>
      <c r="AM41" s="62">
        <v>11.98</v>
      </c>
      <c r="AN41" s="62">
        <v>2235</v>
      </c>
      <c r="AO41" s="62">
        <v>13.53</v>
      </c>
      <c r="AP41" s="62">
        <v>14.24</v>
      </c>
      <c r="AQ41" s="62">
        <v>1456.14</v>
      </c>
      <c r="AR41" s="62">
        <v>297.23</v>
      </c>
      <c r="AS41" s="62">
        <v>206.79</v>
      </c>
      <c r="AT41" s="62">
        <v>588.35</v>
      </c>
      <c r="AU41" s="62">
        <v>37.6</v>
      </c>
      <c r="AV41" s="62">
        <v>1781.14</v>
      </c>
      <c r="AW41" s="62" t="s">
        <v>9344</v>
      </c>
      <c r="AX41" s="62">
        <v>11.75</v>
      </c>
      <c r="AY41" s="62">
        <v>1331.64</v>
      </c>
      <c r="AZ41" s="62">
        <v>180.12</v>
      </c>
      <c r="BA41" s="62">
        <v>1533.43</v>
      </c>
      <c r="BB41" s="62" t="s">
        <v>9344</v>
      </c>
      <c r="BC41" s="62">
        <v>91.79</v>
      </c>
      <c r="BD41" s="62">
        <v>121.84</v>
      </c>
      <c r="BE41" s="62">
        <v>54.59</v>
      </c>
      <c r="BF41" s="62">
        <v>4240.62</v>
      </c>
      <c r="BG41" s="62">
        <v>3163.64</v>
      </c>
      <c r="BH41" s="62">
        <v>995.91</v>
      </c>
      <c r="BI41" s="62">
        <v>344.16</v>
      </c>
      <c r="BJ41" s="62">
        <v>155.19999999999999</v>
      </c>
      <c r="BK41" s="62">
        <v>14.82</v>
      </c>
      <c r="BL41" s="62">
        <v>7.31</v>
      </c>
      <c r="BM41" s="62" t="s">
        <v>9344</v>
      </c>
      <c r="BN41" s="62">
        <v>192.02</v>
      </c>
      <c r="BO41" s="62">
        <v>14.69</v>
      </c>
      <c r="BP41" s="62" t="s">
        <v>9344</v>
      </c>
      <c r="BQ41" s="62">
        <v>292.89999999999998</v>
      </c>
      <c r="BR41" s="62" t="s">
        <v>9344</v>
      </c>
      <c r="BS41" s="62">
        <v>245.33</v>
      </c>
      <c r="BT41" s="62">
        <v>4.42</v>
      </c>
      <c r="BU41" s="62">
        <v>369.88</v>
      </c>
      <c r="BV41" s="62">
        <v>29.37</v>
      </c>
      <c r="BW41" s="62">
        <v>2307.17</v>
      </c>
      <c r="BX41" s="62">
        <v>1417.01</v>
      </c>
      <c r="BY41" s="62">
        <v>10.99</v>
      </c>
      <c r="BZ41" s="62">
        <v>650.16999999999996</v>
      </c>
      <c r="CA41" s="62">
        <v>202.92</v>
      </c>
      <c r="CB41" s="62">
        <v>68.77</v>
      </c>
      <c r="CC41" s="62">
        <v>396.38</v>
      </c>
      <c r="CD41" s="62">
        <v>130.9</v>
      </c>
      <c r="CE41" s="62">
        <v>3940</v>
      </c>
      <c r="CF41" s="62">
        <v>454.09</v>
      </c>
      <c r="CG41" s="62">
        <v>219.45</v>
      </c>
      <c r="CH41" s="62">
        <v>66.44</v>
      </c>
      <c r="CI41" s="62">
        <v>39.409999999999997</v>
      </c>
      <c r="CJ41" s="62">
        <v>50.39</v>
      </c>
      <c r="CK41" s="62">
        <v>60.76</v>
      </c>
      <c r="CL41" s="62">
        <v>271.86</v>
      </c>
      <c r="CM41" s="62">
        <v>2414.5100000000002</v>
      </c>
      <c r="CN41" s="62">
        <v>2303.71</v>
      </c>
      <c r="CO41" s="62">
        <v>32.630000000000003</v>
      </c>
      <c r="CP41" s="62">
        <v>27.92</v>
      </c>
      <c r="CQ41" s="62">
        <v>12.99</v>
      </c>
      <c r="CR41" s="62">
        <v>11.53</v>
      </c>
      <c r="CS41" s="62">
        <v>105.46</v>
      </c>
      <c r="CT41" s="62">
        <v>4.3600000000000003</v>
      </c>
      <c r="CU41" s="62">
        <v>5632.78</v>
      </c>
      <c r="CV41" s="62">
        <v>250.35</v>
      </c>
      <c r="CW41" s="62">
        <v>572.16</v>
      </c>
      <c r="CX41" s="62">
        <v>729.26</v>
      </c>
      <c r="CY41" s="62">
        <v>437.56</v>
      </c>
      <c r="CZ41" s="62">
        <v>225.83</v>
      </c>
      <c r="DA41" s="62">
        <v>20.71</v>
      </c>
      <c r="DB41" s="62">
        <v>367.33</v>
      </c>
      <c r="DC41" s="62">
        <v>809.57</v>
      </c>
      <c r="DD41" s="62">
        <v>2.5499999999999998</v>
      </c>
      <c r="DE41" s="62" t="s">
        <v>9344</v>
      </c>
      <c r="DF41" s="62">
        <v>204.3</v>
      </c>
      <c r="DG41" s="62">
        <v>405.98</v>
      </c>
      <c r="DH41" s="62">
        <v>4.43</v>
      </c>
      <c r="DI41" s="62" t="s">
        <v>9344</v>
      </c>
      <c r="DJ41" s="62">
        <v>205</v>
      </c>
      <c r="DK41" s="62">
        <v>3116.71</v>
      </c>
      <c r="DL41" s="62">
        <v>351.88</v>
      </c>
      <c r="DM41" s="62">
        <v>580.80999999999995</v>
      </c>
      <c r="DN41" s="62">
        <v>936.48</v>
      </c>
      <c r="DO41" s="62">
        <v>6.95</v>
      </c>
      <c r="DP41" s="62">
        <v>2048</v>
      </c>
    </row>
    <row r="42" spans="1:120" x14ac:dyDescent="0.3">
      <c r="A42" s="62">
        <v>42125</v>
      </c>
      <c r="B42" s="62">
        <v>154.47999999999999</v>
      </c>
      <c r="C42" s="62">
        <v>8.92</v>
      </c>
      <c r="D42" s="62" t="s">
        <v>9344</v>
      </c>
      <c r="E42" s="62">
        <v>3017.21</v>
      </c>
      <c r="F42" s="62">
        <v>5.86</v>
      </c>
      <c r="G42" s="62">
        <v>1.96</v>
      </c>
      <c r="H42" s="62">
        <v>910.98</v>
      </c>
      <c r="I42" s="62">
        <v>204.61</v>
      </c>
      <c r="J42" s="62">
        <v>105.25</v>
      </c>
      <c r="K42" s="62">
        <v>5464.39</v>
      </c>
      <c r="L42" s="62">
        <v>88.29</v>
      </c>
      <c r="M42" s="62">
        <v>73.040000000000006</v>
      </c>
      <c r="N42" s="62">
        <v>83.96</v>
      </c>
      <c r="O42" s="62">
        <v>1.1000000000000001</v>
      </c>
      <c r="P42" s="62">
        <v>22.04</v>
      </c>
      <c r="Q42" s="62">
        <v>618.9</v>
      </c>
      <c r="R42" s="62">
        <v>184.86</v>
      </c>
      <c r="S42" s="62">
        <v>26.1</v>
      </c>
      <c r="T42" s="62">
        <v>172.17</v>
      </c>
      <c r="U42" s="62">
        <v>1204.96</v>
      </c>
      <c r="V42" s="62">
        <v>196.17</v>
      </c>
      <c r="W42" s="62">
        <v>161.66999999999999</v>
      </c>
      <c r="X42" s="62">
        <v>4165.47</v>
      </c>
      <c r="Y42" s="62">
        <v>54.14</v>
      </c>
      <c r="Z42" s="62">
        <v>0.83</v>
      </c>
      <c r="AA42" s="62">
        <v>480.13</v>
      </c>
      <c r="AB42" s="62">
        <v>1440.57</v>
      </c>
      <c r="AC42" s="62">
        <v>244.2</v>
      </c>
      <c r="AD42" s="62">
        <v>184.17</v>
      </c>
      <c r="AE42" s="62">
        <v>30.75</v>
      </c>
      <c r="AF42" s="62">
        <v>3710.52</v>
      </c>
      <c r="AG42" s="62">
        <v>5716.73</v>
      </c>
      <c r="AH42" s="62">
        <v>73.11</v>
      </c>
      <c r="AI42" s="62">
        <v>8475.19</v>
      </c>
      <c r="AJ42" s="62">
        <v>618.96</v>
      </c>
      <c r="AK42" s="62">
        <v>959.59</v>
      </c>
      <c r="AL42" s="62">
        <v>14.69</v>
      </c>
      <c r="AM42" s="62">
        <v>11.98</v>
      </c>
      <c r="AN42" s="62">
        <v>1925</v>
      </c>
      <c r="AO42" s="62">
        <v>12.56</v>
      </c>
      <c r="AP42" s="62">
        <v>15.06</v>
      </c>
      <c r="AQ42" s="62">
        <v>1449.99</v>
      </c>
      <c r="AR42" s="62">
        <v>305.26</v>
      </c>
      <c r="AS42" s="62">
        <v>206.2</v>
      </c>
      <c r="AT42" s="62">
        <v>606.88</v>
      </c>
      <c r="AU42" s="62">
        <v>43.11</v>
      </c>
      <c r="AV42" s="62">
        <v>1747.43</v>
      </c>
      <c r="AW42" s="62" t="s">
        <v>9344</v>
      </c>
      <c r="AX42" s="62">
        <v>13.46</v>
      </c>
      <c r="AY42" s="62">
        <v>1347.19</v>
      </c>
      <c r="AZ42" s="62">
        <v>171.27</v>
      </c>
      <c r="BA42" s="62">
        <v>1543.39</v>
      </c>
      <c r="BB42" s="62" t="s">
        <v>9344</v>
      </c>
      <c r="BC42" s="62">
        <v>91.72</v>
      </c>
      <c r="BD42" s="62">
        <v>125.55</v>
      </c>
      <c r="BE42" s="62">
        <v>37.44</v>
      </c>
      <c r="BF42" s="62">
        <v>4164.8999999999996</v>
      </c>
      <c r="BG42" s="62">
        <v>6471.57</v>
      </c>
      <c r="BH42" s="62">
        <v>1031.25</v>
      </c>
      <c r="BI42" s="62">
        <v>334.9</v>
      </c>
      <c r="BJ42" s="62">
        <v>174.2</v>
      </c>
      <c r="BK42" s="62">
        <v>15.75</v>
      </c>
      <c r="BL42" s="62">
        <v>7.31</v>
      </c>
      <c r="BM42" s="62" t="s">
        <v>9344</v>
      </c>
      <c r="BN42" s="62">
        <v>200.44</v>
      </c>
      <c r="BO42" s="62">
        <v>15.84</v>
      </c>
      <c r="BP42" s="62" t="s">
        <v>9344</v>
      </c>
      <c r="BQ42" s="62">
        <v>306.10000000000002</v>
      </c>
      <c r="BR42" s="62" t="s">
        <v>9344</v>
      </c>
      <c r="BS42" s="62">
        <v>238.96</v>
      </c>
      <c r="BT42" s="62">
        <v>4.42</v>
      </c>
      <c r="BU42" s="62">
        <v>369.88</v>
      </c>
      <c r="BV42" s="62">
        <v>24.96</v>
      </c>
      <c r="BW42" s="62">
        <v>2293.56</v>
      </c>
      <c r="BX42" s="62">
        <v>1392.79</v>
      </c>
      <c r="BY42" s="62">
        <v>8.73</v>
      </c>
      <c r="BZ42" s="62">
        <v>658.4</v>
      </c>
      <c r="CA42" s="62">
        <v>239.25</v>
      </c>
      <c r="CB42" s="62">
        <v>64.95</v>
      </c>
      <c r="CC42" s="62">
        <v>409.1</v>
      </c>
      <c r="CD42" s="62">
        <v>130.9</v>
      </c>
      <c r="CE42" s="62">
        <v>4055</v>
      </c>
      <c r="CF42" s="62">
        <v>455.03</v>
      </c>
      <c r="CG42" s="62">
        <v>227.84</v>
      </c>
      <c r="CH42" s="62">
        <v>60.11</v>
      </c>
      <c r="CI42" s="62">
        <v>35.659999999999997</v>
      </c>
      <c r="CJ42" s="62">
        <v>48.21</v>
      </c>
      <c r="CK42" s="62">
        <v>54.62</v>
      </c>
      <c r="CL42" s="62">
        <v>268</v>
      </c>
      <c r="CM42" s="62">
        <v>2455.64</v>
      </c>
      <c r="CN42" s="62">
        <v>2443.8000000000002</v>
      </c>
      <c r="CO42" s="62">
        <v>34.35</v>
      </c>
      <c r="CP42" s="62">
        <v>28.98</v>
      </c>
      <c r="CQ42" s="62">
        <v>12.99</v>
      </c>
      <c r="CR42" s="62">
        <v>12.65</v>
      </c>
      <c r="CS42" s="62">
        <v>108.09</v>
      </c>
      <c r="CT42" s="62">
        <v>6.22</v>
      </c>
      <c r="CU42" s="62">
        <v>5485.8</v>
      </c>
      <c r="CV42" s="62">
        <v>256.55</v>
      </c>
      <c r="CW42" s="62">
        <v>603.37</v>
      </c>
      <c r="CX42" s="62">
        <v>759.92</v>
      </c>
      <c r="CY42" s="62">
        <v>430.24</v>
      </c>
      <c r="CZ42" s="62">
        <v>224.66</v>
      </c>
      <c r="DA42" s="62">
        <v>15.6</v>
      </c>
      <c r="DB42" s="62">
        <v>329.33</v>
      </c>
      <c r="DC42" s="62">
        <v>790.82</v>
      </c>
      <c r="DD42" s="62">
        <v>2.5499999999999998</v>
      </c>
      <c r="DE42" s="62" t="s">
        <v>9344</v>
      </c>
      <c r="DF42" s="62">
        <v>203.28</v>
      </c>
      <c r="DG42" s="62">
        <v>377.86</v>
      </c>
      <c r="DH42" s="62">
        <v>4.43</v>
      </c>
      <c r="DI42" s="62" t="s">
        <v>9344</v>
      </c>
      <c r="DJ42" s="62">
        <v>198.69</v>
      </c>
      <c r="DK42" s="62">
        <v>3186.41</v>
      </c>
      <c r="DL42" s="62">
        <v>391.87</v>
      </c>
      <c r="DM42" s="62">
        <v>570.57000000000005</v>
      </c>
      <c r="DN42" s="62">
        <v>967.69</v>
      </c>
      <c r="DO42" s="62">
        <v>7.26</v>
      </c>
      <c r="DP42" s="62">
        <v>1980</v>
      </c>
    </row>
    <row r="43" spans="1:120" x14ac:dyDescent="0.3">
      <c r="A43" s="62">
        <v>42156</v>
      </c>
      <c r="B43" s="62">
        <v>154.47999999999999</v>
      </c>
      <c r="C43" s="62">
        <v>5.35</v>
      </c>
      <c r="D43" s="62" t="s">
        <v>9344</v>
      </c>
      <c r="E43" s="62">
        <v>3353.84</v>
      </c>
      <c r="F43" s="62">
        <v>5.43</v>
      </c>
      <c r="G43" s="62">
        <v>2.62</v>
      </c>
      <c r="H43" s="62">
        <v>894.93</v>
      </c>
      <c r="I43" s="62">
        <v>209.11</v>
      </c>
      <c r="J43" s="62">
        <v>103.63</v>
      </c>
      <c r="K43" s="62">
        <v>5773.92</v>
      </c>
      <c r="L43" s="62">
        <v>86.54</v>
      </c>
      <c r="M43" s="62">
        <v>77.260000000000005</v>
      </c>
      <c r="N43" s="62">
        <v>88.97</v>
      </c>
      <c r="O43" s="62">
        <v>1.1000000000000001</v>
      </c>
      <c r="P43" s="62">
        <v>20.94</v>
      </c>
      <c r="Q43" s="62">
        <v>621.07000000000005</v>
      </c>
      <c r="R43" s="62">
        <v>171.74</v>
      </c>
      <c r="S43" s="62">
        <v>24.72</v>
      </c>
      <c r="T43" s="62">
        <v>172.56</v>
      </c>
      <c r="U43" s="62">
        <v>1256.49</v>
      </c>
      <c r="V43" s="62">
        <v>200.09</v>
      </c>
      <c r="W43" s="62">
        <v>169.16</v>
      </c>
      <c r="X43" s="62">
        <v>4510.1499999999996</v>
      </c>
      <c r="Y43" s="62">
        <v>40.6</v>
      </c>
      <c r="Z43" s="62">
        <v>0.83</v>
      </c>
      <c r="AA43" s="62">
        <v>485.18</v>
      </c>
      <c r="AB43" s="62">
        <v>1517.42</v>
      </c>
      <c r="AC43" s="62">
        <v>247.2</v>
      </c>
      <c r="AD43" s="62">
        <v>187.71</v>
      </c>
      <c r="AE43" s="62">
        <v>30.75</v>
      </c>
      <c r="AF43" s="62">
        <v>3682.69</v>
      </c>
      <c r="AG43" s="62">
        <v>6033.56</v>
      </c>
      <c r="AH43" s="62">
        <v>73.11</v>
      </c>
      <c r="AI43" s="62">
        <v>7723.62</v>
      </c>
      <c r="AJ43" s="62">
        <v>547.91</v>
      </c>
      <c r="AK43" s="62">
        <v>947.23</v>
      </c>
      <c r="AL43" s="62">
        <v>12.02</v>
      </c>
      <c r="AM43" s="62">
        <v>11.98</v>
      </c>
      <c r="AN43" s="62">
        <v>1880</v>
      </c>
      <c r="AO43" s="62">
        <v>13.04</v>
      </c>
      <c r="AP43" s="62">
        <v>13.69</v>
      </c>
      <c r="AQ43" s="62">
        <v>1456.14</v>
      </c>
      <c r="AR43" s="62">
        <v>318.64999999999998</v>
      </c>
      <c r="AS43" s="62">
        <v>216.27</v>
      </c>
      <c r="AT43" s="62">
        <v>592.98</v>
      </c>
      <c r="AU43" s="62">
        <v>39.1</v>
      </c>
      <c r="AV43" s="62">
        <v>1854.19</v>
      </c>
      <c r="AW43" s="62" t="s">
        <v>9344</v>
      </c>
      <c r="AX43" s="62">
        <v>12.56</v>
      </c>
      <c r="AY43" s="62">
        <v>1465.19</v>
      </c>
      <c r="AZ43" s="62">
        <v>147.63999999999999</v>
      </c>
      <c r="BA43" s="62">
        <v>1588.2</v>
      </c>
      <c r="BB43" s="62" t="s">
        <v>9344</v>
      </c>
      <c r="BC43" s="62">
        <v>97.18</v>
      </c>
      <c r="BD43" s="62">
        <v>119.77</v>
      </c>
      <c r="BE43" s="62">
        <v>31.2</v>
      </c>
      <c r="BF43" s="62">
        <v>3937.72</v>
      </c>
      <c r="BG43" s="62">
        <v>5920.53</v>
      </c>
      <c r="BH43" s="62">
        <v>1041.8599999999999</v>
      </c>
      <c r="BI43" s="62">
        <v>323.8</v>
      </c>
      <c r="BJ43" s="62">
        <v>159.41999999999999</v>
      </c>
      <c r="BK43" s="62">
        <v>13.2</v>
      </c>
      <c r="BL43" s="62">
        <v>7.31</v>
      </c>
      <c r="BM43" s="62" t="s">
        <v>9344</v>
      </c>
      <c r="BN43" s="62">
        <v>198.76</v>
      </c>
      <c r="BO43" s="62">
        <v>16.13</v>
      </c>
      <c r="BP43" s="62" t="s">
        <v>9344</v>
      </c>
      <c r="BQ43" s="62">
        <v>300.82</v>
      </c>
      <c r="BR43" s="62" t="s">
        <v>9344</v>
      </c>
      <c r="BS43" s="62">
        <v>210.29</v>
      </c>
      <c r="BT43" s="62">
        <v>5.43</v>
      </c>
      <c r="BU43" s="62">
        <v>373.65</v>
      </c>
      <c r="BV43" s="62">
        <v>27.5</v>
      </c>
      <c r="BW43" s="62">
        <v>2320.7800000000002</v>
      </c>
      <c r="BX43" s="62">
        <v>1356.45</v>
      </c>
      <c r="BY43" s="62">
        <v>11.27</v>
      </c>
      <c r="BZ43" s="62">
        <v>647.38</v>
      </c>
      <c r="CA43" s="62">
        <v>216.52</v>
      </c>
      <c r="CB43" s="62">
        <v>68.77</v>
      </c>
      <c r="CC43" s="62">
        <v>422.8</v>
      </c>
      <c r="CD43" s="62">
        <v>126.81</v>
      </c>
      <c r="CE43" s="62">
        <v>3995</v>
      </c>
      <c r="CF43" s="62">
        <v>477.5</v>
      </c>
      <c r="CG43" s="62">
        <v>241.82</v>
      </c>
      <c r="CH43" s="62">
        <v>59.66</v>
      </c>
      <c r="CI43" s="62">
        <v>35.659999999999997</v>
      </c>
      <c r="CJ43" s="62">
        <v>51.32</v>
      </c>
      <c r="CK43" s="62">
        <v>61.38</v>
      </c>
      <c r="CL43" s="62">
        <v>260.29000000000002</v>
      </c>
      <c r="CM43" s="62">
        <v>2602.5</v>
      </c>
      <c r="CN43" s="62">
        <v>2471.04</v>
      </c>
      <c r="CO43" s="62">
        <v>34.35</v>
      </c>
      <c r="CP43" s="62">
        <v>27.92</v>
      </c>
      <c r="CQ43" s="62">
        <v>16.7</v>
      </c>
      <c r="CR43" s="62">
        <v>13.36</v>
      </c>
      <c r="CS43" s="62">
        <v>121.73</v>
      </c>
      <c r="CT43" s="62">
        <v>5.18</v>
      </c>
      <c r="CU43" s="62">
        <v>5090.01</v>
      </c>
      <c r="CV43" s="62">
        <v>257.43</v>
      </c>
      <c r="CW43" s="62">
        <v>615.26</v>
      </c>
      <c r="CX43" s="62">
        <v>746.78</v>
      </c>
      <c r="CY43" s="62">
        <v>370.24</v>
      </c>
      <c r="CZ43" s="62">
        <v>210.62</v>
      </c>
      <c r="DA43" s="62">
        <v>20.99</v>
      </c>
      <c r="DB43" s="62">
        <v>307.16000000000003</v>
      </c>
      <c r="DC43" s="62">
        <v>772.06</v>
      </c>
      <c r="DD43" s="62">
        <v>2.5499999999999998</v>
      </c>
      <c r="DE43" s="62" t="s">
        <v>9344</v>
      </c>
      <c r="DF43" s="62">
        <v>194.25</v>
      </c>
      <c r="DG43" s="62">
        <v>409.5</v>
      </c>
      <c r="DH43" s="62">
        <v>2.21</v>
      </c>
      <c r="DI43" s="62" t="s">
        <v>9344</v>
      </c>
      <c r="DJ43" s="62">
        <v>195.54</v>
      </c>
      <c r="DK43" s="62">
        <v>3086.84</v>
      </c>
      <c r="DL43" s="62">
        <v>391.87</v>
      </c>
      <c r="DM43" s="62">
        <v>567.15</v>
      </c>
      <c r="DN43" s="62">
        <v>998.91</v>
      </c>
      <c r="DO43" s="62">
        <v>6.23</v>
      </c>
      <c r="DP43" s="62">
        <v>2040</v>
      </c>
    </row>
    <row r="44" spans="1:120" x14ac:dyDescent="0.3">
      <c r="A44" s="62">
        <v>42186</v>
      </c>
      <c r="B44" s="62">
        <v>150.30000000000001</v>
      </c>
      <c r="C44" s="62">
        <v>3.57</v>
      </c>
      <c r="D44" s="62" t="s">
        <v>9344</v>
      </c>
      <c r="E44" s="62">
        <v>2905.5</v>
      </c>
      <c r="F44" s="62">
        <v>6.75</v>
      </c>
      <c r="G44" s="62">
        <v>1.96</v>
      </c>
      <c r="H44" s="62">
        <v>888.48</v>
      </c>
      <c r="I44" s="62">
        <v>229.3</v>
      </c>
      <c r="J44" s="62">
        <v>102.82</v>
      </c>
      <c r="K44" s="62">
        <v>6131.07</v>
      </c>
      <c r="L44" s="62">
        <v>86.54</v>
      </c>
      <c r="M44" s="62">
        <v>74.67</v>
      </c>
      <c r="N44" s="62">
        <v>85.92</v>
      </c>
      <c r="O44" s="62">
        <v>1.1000000000000001</v>
      </c>
      <c r="P44" s="62">
        <v>20.94</v>
      </c>
      <c r="Q44" s="62">
        <v>608.04</v>
      </c>
      <c r="R44" s="62">
        <v>178.9</v>
      </c>
      <c r="S44" s="62">
        <v>24.72</v>
      </c>
      <c r="T44" s="62">
        <v>173.94</v>
      </c>
      <c r="U44" s="62">
        <v>1189.1099999999999</v>
      </c>
      <c r="V44" s="62">
        <v>191.26</v>
      </c>
      <c r="W44" s="62">
        <v>174.15</v>
      </c>
      <c r="X44" s="62">
        <v>3718.13</v>
      </c>
      <c r="Y44" s="62">
        <v>47.37</v>
      </c>
      <c r="Z44" s="62">
        <v>0.83</v>
      </c>
      <c r="AA44" s="62">
        <v>486.2</v>
      </c>
      <c r="AB44" s="62">
        <v>1529.47</v>
      </c>
      <c r="AC44" s="62">
        <v>225</v>
      </c>
      <c r="AD44" s="62">
        <v>177.08</v>
      </c>
      <c r="AE44" s="62">
        <v>29.12</v>
      </c>
      <c r="AF44" s="62">
        <v>3895.95</v>
      </c>
      <c r="AG44" s="62">
        <v>5592.75</v>
      </c>
      <c r="AH44" s="62">
        <v>70.5</v>
      </c>
      <c r="AI44" s="62">
        <v>7739.61</v>
      </c>
      <c r="AJ44" s="62">
        <v>524.46</v>
      </c>
      <c r="AK44" s="62">
        <v>894.69</v>
      </c>
      <c r="AL44" s="62">
        <v>10.41</v>
      </c>
      <c r="AM44" s="62">
        <v>11.98</v>
      </c>
      <c r="AN44" s="62">
        <v>1775</v>
      </c>
      <c r="AO44" s="62">
        <v>15.46</v>
      </c>
      <c r="AP44" s="62">
        <v>12.32</v>
      </c>
      <c r="AQ44" s="62">
        <v>1454.14</v>
      </c>
      <c r="AR44" s="62">
        <v>297.70999999999998</v>
      </c>
      <c r="AS44" s="62">
        <v>204.42</v>
      </c>
      <c r="AT44" s="62">
        <v>542.02</v>
      </c>
      <c r="AU44" s="62">
        <v>31.08</v>
      </c>
      <c r="AV44" s="62">
        <v>1781.14</v>
      </c>
      <c r="AW44" s="62" t="s">
        <v>9344</v>
      </c>
      <c r="AX44" s="62">
        <v>12.56</v>
      </c>
      <c r="AY44" s="62">
        <v>1638.84</v>
      </c>
      <c r="AZ44" s="62">
        <v>132.88</v>
      </c>
      <c r="BA44" s="62">
        <v>1570.27</v>
      </c>
      <c r="BB44" s="62" t="s">
        <v>9344</v>
      </c>
      <c r="BC44" s="62">
        <v>95.83</v>
      </c>
      <c r="BD44" s="62">
        <v>117.71</v>
      </c>
      <c r="BE44" s="62">
        <v>31.2</v>
      </c>
      <c r="BF44" s="62">
        <v>3951.49</v>
      </c>
      <c r="BG44" s="62">
        <v>5715.48</v>
      </c>
      <c r="BH44" s="62">
        <v>978.2</v>
      </c>
      <c r="BI44" s="62">
        <v>299.75</v>
      </c>
      <c r="BJ44" s="62">
        <v>149.91999999999999</v>
      </c>
      <c r="BK44" s="62">
        <v>13.66</v>
      </c>
      <c r="BL44" s="62">
        <v>5.12</v>
      </c>
      <c r="BM44" s="62" t="s">
        <v>9344</v>
      </c>
      <c r="BN44" s="62">
        <v>184.23</v>
      </c>
      <c r="BO44" s="62">
        <v>16.71</v>
      </c>
      <c r="BP44" s="62" t="s">
        <v>9344</v>
      </c>
      <c r="BQ44" s="62">
        <v>285.02999999999997</v>
      </c>
      <c r="BR44" s="62" t="s">
        <v>9344</v>
      </c>
      <c r="BS44" s="62">
        <v>225.93</v>
      </c>
      <c r="BT44" s="62">
        <v>4.2699999999999996</v>
      </c>
      <c r="BU44" s="62">
        <v>347.23</v>
      </c>
      <c r="BV44" s="62">
        <v>21.94</v>
      </c>
      <c r="BW44" s="62">
        <v>2387.48</v>
      </c>
      <c r="BX44" s="62">
        <v>1392.79</v>
      </c>
      <c r="BY44" s="62">
        <v>8.73</v>
      </c>
      <c r="BZ44" s="62">
        <v>639.13</v>
      </c>
      <c r="CA44" s="62">
        <v>220.82</v>
      </c>
      <c r="CB44" s="62">
        <v>66.86</v>
      </c>
      <c r="CC44" s="62">
        <v>419.87</v>
      </c>
      <c r="CD44" s="62">
        <v>118.62</v>
      </c>
      <c r="CE44" s="62">
        <v>3980</v>
      </c>
      <c r="CF44" s="62">
        <v>486.86</v>
      </c>
      <c r="CG44" s="62">
        <v>237.62</v>
      </c>
      <c r="CH44" s="62">
        <v>59.66</v>
      </c>
      <c r="CI44" s="62">
        <v>28.15</v>
      </c>
      <c r="CJ44" s="62">
        <v>48.21</v>
      </c>
      <c r="CK44" s="62">
        <v>58.92</v>
      </c>
      <c r="CL44" s="62">
        <v>246.79</v>
      </c>
      <c r="CM44" s="62">
        <v>2508.5100000000002</v>
      </c>
      <c r="CN44" s="62">
        <v>2412.67</v>
      </c>
      <c r="CO44" s="62">
        <v>27.48</v>
      </c>
      <c r="CP44" s="62">
        <v>27.92</v>
      </c>
      <c r="CQ44" s="62">
        <v>15.91</v>
      </c>
      <c r="CR44" s="62">
        <v>13.36</v>
      </c>
      <c r="CS44" s="62">
        <v>120.16</v>
      </c>
      <c r="CT44" s="62">
        <v>5.18</v>
      </c>
      <c r="CU44" s="62">
        <v>5126.88</v>
      </c>
      <c r="CV44" s="62">
        <v>243.28</v>
      </c>
      <c r="CW44" s="62">
        <v>609.32000000000005</v>
      </c>
      <c r="CX44" s="62">
        <v>773.06</v>
      </c>
      <c r="CY44" s="62">
        <v>354.15</v>
      </c>
      <c r="CZ44" s="62">
        <v>216.47</v>
      </c>
      <c r="DA44" s="62">
        <v>21.28</v>
      </c>
      <c r="DB44" s="62">
        <v>474.99</v>
      </c>
      <c r="DC44" s="62">
        <v>890.84</v>
      </c>
      <c r="DD44" s="62">
        <v>2.5499999999999998</v>
      </c>
      <c r="DE44" s="62" t="s">
        <v>9344</v>
      </c>
      <c r="DF44" s="62">
        <v>202.15</v>
      </c>
      <c r="DG44" s="62">
        <v>384.31</v>
      </c>
      <c r="DH44" s="62">
        <v>1.1100000000000001</v>
      </c>
      <c r="DI44" s="62" t="s">
        <v>9344</v>
      </c>
      <c r="DJ44" s="62">
        <v>176.61</v>
      </c>
      <c r="DK44" s="62">
        <v>3295.95</v>
      </c>
      <c r="DL44" s="62">
        <v>435.85</v>
      </c>
      <c r="DM44" s="62">
        <v>560.32000000000005</v>
      </c>
      <c r="DN44" s="62">
        <v>933.01</v>
      </c>
      <c r="DO44" s="62">
        <v>9.9600000000000009</v>
      </c>
      <c r="DP44" s="62">
        <v>2352</v>
      </c>
    </row>
    <row r="45" spans="1:120" x14ac:dyDescent="0.3">
      <c r="A45" s="62">
        <v>42217</v>
      </c>
      <c r="B45" s="62">
        <v>160.74</v>
      </c>
      <c r="C45" s="62">
        <v>8.92</v>
      </c>
      <c r="D45" s="62" t="s">
        <v>9344</v>
      </c>
      <c r="E45" s="62">
        <v>3017.68</v>
      </c>
      <c r="F45" s="62">
        <v>8.31</v>
      </c>
      <c r="G45" s="62">
        <v>1.96</v>
      </c>
      <c r="H45" s="62">
        <v>912.6</v>
      </c>
      <c r="I45" s="62">
        <v>243.19</v>
      </c>
      <c r="J45" s="62">
        <v>103.63</v>
      </c>
      <c r="K45" s="62">
        <v>6541.79</v>
      </c>
      <c r="L45" s="62">
        <v>86.54</v>
      </c>
      <c r="M45" s="62">
        <v>74.67</v>
      </c>
      <c r="N45" s="62">
        <v>82.2</v>
      </c>
      <c r="O45" s="62">
        <v>1.1000000000000001</v>
      </c>
      <c r="P45" s="62">
        <v>25.35</v>
      </c>
      <c r="Q45" s="62">
        <v>629.91</v>
      </c>
      <c r="R45" s="62">
        <v>190.83</v>
      </c>
      <c r="S45" s="62">
        <v>35.71</v>
      </c>
      <c r="T45" s="62">
        <v>176.7</v>
      </c>
      <c r="U45" s="62">
        <v>1141.54</v>
      </c>
      <c r="V45" s="62">
        <v>199.11</v>
      </c>
      <c r="W45" s="62">
        <v>207.8</v>
      </c>
      <c r="X45" s="62">
        <v>3681.46</v>
      </c>
      <c r="Y45" s="62">
        <v>40.6</v>
      </c>
      <c r="Z45" s="62">
        <v>0.83</v>
      </c>
      <c r="AA45" s="62">
        <v>535.72</v>
      </c>
      <c r="AB45" s="62">
        <v>1625.91</v>
      </c>
      <c r="AC45" s="62">
        <v>215.4</v>
      </c>
      <c r="AD45" s="62">
        <v>164.69</v>
      </c>
      <c r="AE45" s="62">
        <v>29.12</v>
      </c>
      <c r="AF45" s="62">
        <v>4178.1499999999996</v>
      </c>
      <c r="AG45" s="62">
        <v>5489.44</v>
      </c>
      <c r="AH45" s="62">
        <v>73.11</v>
      </c>
      <c r="AI45" s="62">
        <v>7675.64</v>
      </c>
      <c r="AJ45" s="62">
        <v>516.35</v>
      </c>
      <c r="AK45" s="62">
        <v>903.96</v>
      </c>
      <c r="AL45" s="62">
        <v>9.35</v>
      </c>
      <c r="AM45" s="62">
        <v>4.1900000000000004</v>
      </c>
      <c r="AN45" s="62">
        <v>1770</v>
      </c>
      <c r="AO45" s="62">
        <v>15.46</v>
      </c>
      <c r="AP45" s="62">
        <v>13.81</v>
      </c>
      <c r="AQ45" s="62">
        <v>1546.57</v>
      </c>
      <c r="AR45" s="62">
        <v>334.25</v>
      </c>
      <c r="AS45" s="62">
        <v>198.5</v>
      </c>
      <c r="AT45" s="62">
        <v>551.29</v>
      </c>
      <c r="AU45" s="62">
        <v>33.090000000000003</v>
      </c>
      <c r="AV45" s="62">
        <v>1823.28</v>
      </c>
      <c r="AW45" s="62" t="s">
        <v>9344</v>
      </c>
      <c r="AX45" s="62">
        <v>12.56</v>
      </c>
      <c r="AY45" s="62">
        <v>1752.74</v>
      </c>
      <c r="AZ45" s="62">
        <v>119.59</v>
      </c>
      <c r="BA45" s="62">
        <v>1522.48</v>
      </c>
      <c r="BB45" s="62" t="s">
        <v>9344</v>
      </c>
      <c r="BC45" s="62">
        <v>97.74</v>
      </c>
      <c r="BD45" s="62">
        <v>123.9</v>
      </c>
      <c r="BE45" s="62">
        <v>31.2</v>
      </c>
      <c r="BF45" s="62">
        <v>3965.96</v>
      </c>
      <c r="BG45" s="62">
        <v>5946.16</v>
      </c>
      <c r="BH45" s="62">
        <v>1024.8800000000001</v>
      </c>
      <c r="BI45" s="62">
        <v>296.05</v>
      </c>
      <c r="BJ45" s="62">
        <v>148.87</v>
      </c>
      <c r="BK45" s="62">
        <v>13.43</v>
      </c>
      <c r="BL45" s="62">
        <v>6.38</v>
      </c>
      <c r="BM45" s="62" t="s">
        <v>9344</v>
      </c>
      <c r="BN45" s="62">
        <v>169.01</v>
      </c>
      <c r="BO45" s="62">
        <v>14.69</v>
      </c>
      <c r="BP45" s="62" t="s">
        <v>9344</v>
      </c>
      <c r="BQ45" s="62">
        <v>277.12</v>
      </c>
      <c r="BR45" s="62" t="s">
        <v>9344</v>
      </c>
      <c r="BS45" s="62">
        <v>237.22</v>
      </c>
      <c r="BT45" s="62">
        <v>4.2699999999999996</v>
      </c>
      <c r="BU45" s="62">
        <v>351</v>
      </c>
      <c r="BV45" s="62">
        <v>23.27</v>
      </c>
      <c r="BW45" s="62">
        <v>2409.2600000000002</v>
      </c>
      <c r="BX45" s="62">
        <v>1380.68</v>
      </c>
      <c r="BY45" s="62">
        <v>8.4499999999999993</v>
      </c>
      <c r="BZ45" s="62">
        <v>643.26</v>
      </c>
      <c r="CA45" s="62">
        <v>255.83</v>
      </c>
      <c r="CB45" s="62">
        <v>69.73</v>
      </c>
      <c r="CC45" s="62">
        <v>407.14</v>
      </c>
      <c r="CD45" s="62">
        <v>130.9</v>
      </c>
      <c r="CE45" s="62">
        <v>4220</v>
      </c>
      <c r="CF45" s="62">
        <v>474.69</v>
      </c>
      <c r="CG45" s="62">
        <v>279.56</v>
      </c>
      <c r="CH45" s="62">
        <v>63.73</v>
      </c>
      <c r="CI45" s="62">
        <v>22.52</v>
      </c>
      <c r="CJ45" s="62">
        <v>48.21</v>
      </c>
      <c r="CK45" s="62">
        <v>52.78</v>
      </c>
      <c r="CL45" s="62">
        <v>237.15</v>
      </c>
      <c r="CM45" s="62">
        <v>2584.88</v>
      </c>
      <c r="CN45" s="62">
        <v>2369.86</v>
      </c>
      <c r="CO45" s="62">
        <v>29.37</v>
      </c>
      <c r="CP45" s="62">
        <v>26.87</v>
      </c>
      <c r="CQ45" s="62">
        <v>15.91</v>
      </c>
      <c r="CR45" s="62">
        <v>15.75</v>
      </c>
      <c r="CS45" s="62">
        <v>120.42</v>
      </c>
      <c r="CT45" s="62">
        <v>4.1500000000000004</v>
      </c>
      <c r="CU45" s="62">
        <v>5513.46</v>
      </c>
      <c r="CV45" s="62">
        <v>253.01</v>
      </c>
      <c r="CW45" s="62">
        <v>642.01</v>
      </c>
      <c r="CX45" s="62">
        <v>928.54</v>
      </c>
      <c r="CY45" s="62">
        <v>343.9</v>
      </c>
      <c r="CZ45" s="62">
        <v>234.02</v>
      </c>
      <c r="DA45" s="62">
        <v>23.83</v>
      </c>
      <c r="DB45" s="62">
        <v>506.66</v>
      </c>
      <c r="DC45" s="62">
        <v>953.36</v>
      </c>
      <c r="DD45" s="62">
        <v>2.5499999999999998</v>
      </c>
      <c r="DE45" s="62" t="s">
        <v>9344</v>
      </c>
      <c r="DF45" s="62">
        <v>217.96</v>
      </c>
      <c r="DG45" s="62">
        <v>373.08</v>
      </c>
      <c r="DH45" s="62">
        <v>2.21</v>
      </c>
      <c r="DI45" s="62" t="s">
        <v>9344</v>
      </c>
      <c r="DJ45" s="62">
        <v>182.92</v>
      </c>
      <c r="DK45" s="62">
        <v>3305.9</v>
      </c>
      <c r="DL45" s="62">
        <v>482.24</v>
      </c>
      <c r="DM45" s="62">
        <v>571.27</v>
      </c>
      <c r="DN45" s="62">
        <v>891.39</v>
      </c>
      <c r="DO45" s="62">
        <v>12.74</v>
      </c>
      <c r="DP45" s="62">
        <v>2312</v>
      </c>
    </row>
    <row r="46" spans="1:120" x14ac:dyDescent="0.3">
      <c r="A46" s="62">
        <v>42248</v>
      </c>
      <c r="B46" s="62">
        <v>163.69</v>
      </c>
      <c r="C46" s="62">
        <v>16.059999999999999</v>
      </c>
      <c r="D46" s="62" t="s">
        <v>9344</v>
      </c>
      <c r="E46" s="62">
        <v>2776.49</v>
      </c>
      <c r="F46" s="62">
        <v>7.4</v>
      </c>
      <c r="G46" s="62">
        <v>1.96</v>
      </c>
      <c r="H46" s="62">
        <v>892.5</v>
      </c>
      <c r="I46" s="62">
        <v>234.99</v>
      </c>
      <c r="J46" s="62">
        <v>103.63</v>
      </c>
      <c r="K46" s="62">
        <v>5892.97</v>
      </c>
      <c r="L46" s="62">
        <v>84.8</v>
      </c>
      <c r="M46" s="62">
        <v>69.150000000000006</v>
      </c>
      <c r="N46" s="62">
        <v>79.67</v>
      </c>
      <c r="O46" s="62">
        <v>1.1000000000000001</v>
      </c>
      <c r="P46" s="62">
        <v>19.84</v>
      </c>
      <c r="Q46" s="62">
        <v>619.14</v>
      </c>
      <c r="R46" s="62">
        <v>184.27</v>
      </c>
      <c r="S46" s="62">
        <v>30.22</v>
      </c>
      <c r="T46" s="62">
        <v>176.7</v>
      </c>
      <c r="U46" s="62">
        <v>998.85</v>
      </c>
      <c r="V46" s="62">
        <v>185.05</v>
      </c>
      <c r="W46" s="62">
        <v>227.59</v>
      </c>
      <c r="X46" s="62">
        <v>3739.85</v>
      </c>
      <c r="Y46" s="62">
        <v>42.29</v>
      </c>
      <c r="Z46" s="62">
        <v>0.83</v>
      </c>
      <c r="AA46" s="62">
        <v>533.70000000000005</v>
      </c>
      <c r="AB46" s="62">
        <v>1657.56</v>
      </c>
      <c r="AC46" s="62">
        <v>217.2</v>
      </c>
      <c r="AD46" s="62">
        <v>166.46</v>
      </c>
      <c r="AE46" s="62">
        <v>27.41</v>
      </c>
      <c r="AF46" s="62">
        <v>4040.07</v>
      </c>
      <c r="AG46" s="62">
        <v>5014.1899999999996</v>
      </c>
      <c r="AH46" s="62">
        <v>78.33</v>
      </c>
      <c r="AI46" s="62">
        <v>7819.56</v>
      </c>
      <c r="AJ46" s="62">
        <v>512.63</v>
      </c>
      <c r="AK46" s="62">
        <v>832.88</v>
      </c>
      <c r="AL46" s="62">
        <v>8.5500000000000007</v>
      </c>
      <c r="AM46" s="62">
        <v>4.3499999999999996</v>
      </c>
      <c r="AN46" s="62">
        <v>1790</v>
      </c>
      <c r="AO46" s="62">
        <v>20.77</v>
      </c>
      <c r="AP46" s="62">
        <v>13.25</v>
      </c>
      <c r="AQ46" s="62">
        <v>1466.47</v>
      </c>
      <c r="AR46" s="62">
        <v>311.25</v>
      </c>
      <c r="AS46" s="62">
        <v>195.53</v>
      </c>
      <c r="AT46" s="62">
        <v>528.12</v>
      </c>
      <c r="AU46" s="62">
        <v>25.06</v>
      </c>
      <c r="AV46" s="62">
        <v>1758.67</v>
      </c>
      <c r="AW46" s="62" t="s">
        <v>9344</v>
      </c>
      <c r="AX46" s="62">
        <v>12.56</v>
      </c>
      <c r="AY46" s="62">
        <v>1657.82</v>
      </c>
      <c r="AZ46" s="62">
        <v>113.69</v>
      </c>
      <c r="BA46" s="62">
        <v>1420.91</v>
      </c>
      <c r="BB46" s="62" t="s">
        <v>9344</v>
      </c>
      <c r="BC46" s="62">
        <v>93.19</v>
      </c>
      <c r="BD46" s="62">
        <v>120.6</v>
      </c>
      <c r="BE46" s="62">
        <v>24.96</v>
      </c>
      <c r="BF46" s="62">
        <v>3786.94</v>
      </c>
      <c r="BG46" s="62">
        <v>5766.75</v>
      </c>
      <c r="BH46" s="62">
        <v>918.78</v>
      </c>
      <c r="BI46" s="62">
        <v>246.09</v>
      </c>
      <c r="BJ46" s="62">
        <v>150.97999999999999</v>
      </c>
      <c r="BK46" s="62">
        <v>12.97</v>
      </c>
      <c r="BL46" s="62">
        <v>6.38</v>
      </c>
      <c r="BM46" s="62" t="s">
        <v>9344</v>
      </c>
      <c r="BN46" s="62">
        <v>155.49</v>
      </c>
      <c r="BO46" s="62">
        <v>14.98</v>
      </c>
      <c r="BP46" s="62" t="s">
        <v>9344</v>
      </c>
      <c r="BQ46" s="62">
        <v>258.64</v>
      </c>
      <c r="BR46" s="62" t="s">
        <v>9344</v>
      </c>
      <c r="BS46" s="62">
        <v>195.8</v>
      </c>
      <c r="BT46" s="62">
        <v>5.04</v>
      </c>
      <c r="BU46" s="62">
        <v>313.26</v>
      </c>
      <c r="BV46" s="62">
        <v>23.54</v>
      </c>
      <c r="BW46" s="62">
        <v>2361.62</v>
      </c>
      <c r="BX46" s="62">
        <v>1392.79</v>
      </c>
      <c r="BY46" s="62">
        <v>8.73</v>
      </c>
      <c r="BZ46" s="62">
        <v>661.12</v>
      </c>
      <c r="CA46" s="62">
        <v>316.69</v>
      </c>
      <c r="CB46" s="62">
        <v>63.04</v>
      </c>
      <c r="CC46" s="62">
        <v>383.65</v>
      </c>
      <c r="CD46" s="62">
        <v>134.99</v>
      </c>
      <c r="CE46" s="62">
        <v>3825</v>
      </c>
      <c r="CF46" s="62">
        <v>469.07</v>
      </c>
      <c r="CG46" s="62">
        <v>279.56</v>
      </c>
      <c r="CH46" s="62">
        <v>63.66</v>
      </c>
      <c r="CI46" s="62">
        <v>27.03</v>
      </c>
      <c r="CJ46" s="62">
        <v>52.1</v>
      </c>
      <c r="CK46" s="62">
        <v>49.1</v>
      </c>
      <c r="CL46" s="62">
        <v>242.94</v>
      </c>
      <c r="CM46" s="62">
        <v>2297.02</v>
      </c>
      <c r="CN46" s="62">
        <v>1976.83</v>
      </c>
      <c r="CO46" s="62">
        <v>27.48</v>
      </c>
      <c r="CP46" s="62">
        <v>29.51</v>
      </c>
      <c r="CQ46" s="62">
        <v>13.26</v>
      </c>
      <c r="CR46" s="62">
        <v>15.47</v>
      </c>
      <c r="CS46" s="62">
        <v>118.06</v>
      </c>
      <c r="CT46" s="62">
        <v>3.11</v>
      </c>
      <c r="CU46" s="62">
        <v>6093.35</v>
      </c>
      <c r="CV46" s="62">
        <v>240.91</v>
      </c>
      <c r="CW46" s="62">
        <v>628.64</v>
      </c>
      <c r="CX46" s="62">
        <v>821.24</v>
      </c>
      <c r="CY46" s="62">
        <v>324.88</v>
      </c>
      <c r="CZ46" s="62">
        <v>228.17</v>
      </c>
      <c r="DA46" s="62">
        <v>19.86</v>
      </c>
      <c r="DB46" s="62">
        <v>443.33</v>
      </c>
      <c r="DC46" s="62">
        <v>1000.24</v>
      </c>
      <c r="DD46" s="62">
        <v>5.42</v>
      </c>
      <c r="DE46" s="62" t="s">
        <v>9344</v>
      </c>
      <c r="DF46" s="62">
        <v>221.49</v>
      </c>
      <c r="DG46" s="62">
        <v>355.96</v>
      </c>
      <c r="DH46" s="62">
        <v>2.21</v>
      </c>
      <c r="DI46" s="62" t="s">
        <v>9344</v>
      </c>
      <c r="DJ46" s="62">
        <v>171.56</v>
      </c>
      <c r="DK46" s="62">
        <v>3216.29</v>
      </c>
      <c r="DL46" s="62">
        <v>420.66</v>
      </c>
      <c r="DM46" s="62">
        <v>588.87</v>
      </c>
      <c r="DN46" s="62">
        <v>898.32</v>
      </c>
      <c r="DO46" s="62">
        <v>12.74</v>
      </c>
      <c r="DP46" s="62">
        <v>2320</v>
      </c>
    </row>
    <row r="47" spans="1:120" x14ac:dyDescent="0.3">
      <c r="A47" s="62">
        <v>42278</v>
      </c>
      <c r="B47" s="62">
        <v>170.03</v>
      </c>
      <c r="C47" s="62">
        <v>16.059999999999999</v>
      </c>
      <c r="D47" s="62" t="s">
        <v>9344</v>
      </c>
      <c r="E47" s="62">
        <v>2726.15</v>
      </c>
      <c r="F47" s="62">
        <v>6.42</v>
      </c>
      <c r="G47" s="62">
        <v>1.96</v>
      </c>
      <c r="H47" s="62">
        <v>851.62</v>
      </c>
      <c r="I47" s="62">
        <v>226.79</v>
      </c>
      <c r="J47" s="62">
        <v>97.15</v>
      </c>
      <c r="K47" s="62">
        <v>5809.63</v>
      </c>
      <c r="L47" s="62">
        <v>86.11</v>
      </c>
      <c r="M47" s="62">
        <v>70.45</v>
      </c>
      <c r="N47" s="62">
        <v>79.08</v>
      </c>
      <c r="O47" s="62">
        <v>1.1000000000000001</v>
      </c>
      <c r="P47" s="62">
        <v>25.35</v>
      </c>
      <c r="Q47" s="62">
        <v>617.35</v>
      </c>
      <c r="R47" s="62">
        <v>172.94</v>
      </c>
      <c r="S47" s="62">
        <v>27.47</v>
      </c>
      <c r="T47" s="62">
        <v>175.32</v>
      </c>
      <c r="U47" s="62">
        <v>1046.42</v>
      </c>
      <c r="V47" s="62">
        <v>186.36</v>
      </c>
      <c r="W47" s="62">
        <v>273.17</v>
      </c>
      <c r="X47" s="62">
        <v>3644.14</v>
      </c>
      <c r="Y47" s="62">
        <v>42.29</v>
      </c>
      <c r="Z47" s="62">
        <v>0.83</v>
      </c>
      <c r="AA47" s="62">
        <v>504.39</v>
      </c>
      <c r="AB47" s="62">
        <v>1876.05</v>
      </c>
      <c r="AC47" s="62">
        <v>139.80000000000001</v>
      </c>
      <c r="AD47" s="62">
        <v>154.06</v>
      </c>
      <c r="AE47" s="62">
        <v>21.42</v>
      </c>
      <c r="AF47" s="62">
        <v>3997.2</v>
      </c>
      <c r="AG47" s="62">
        <v>4814.45</v>
      </c>
      <c r="AH47" s="62">
        <v>78.33</v>
      </c>
      <c r="AI47" s="62">
        <v>8475.19</v>
      </c>
      <c r="AJ47" s="62">
        <v>503.55</v>
      </c>
      <c r="AK47" s="62">
        <v>855.83</v>
      </c>
      <c r="AL47" s="62">
        <v>12.02</v>
      </c>
      <c r="AM47" s="62">
        <v>4.3499999999999996</v>
      </c>
      <c r="AN47" s="62">
        <v>1835</v>
      </c>
      <c r="AO47" s="62">
        <v>21.74</v>
      </c>
      <c r="AP47" s="62">
        <v>14.33</v>
      </c>
      <c r="AQ47" s="62">
        <v>1429.5</v>
      </c>
      <c r="AR47" s="62">
        <v>297.70999999999998</v>
      </c>
      <c r="AS47" s="62">
        <v>204.42</v>
      </c>
      <c r="AT47" s="62">
        <v>523.49</v>
      </c>
      <c r="AU47" s="62">
        <v>36.090000000000003</v>
      </c>
      <c r="AV47" s="62">
        <v>1691.24</v>
      </c>
      <c r="AW47" s="62" t="s">
        <v>9344</v>
      </c>
      <c r="AX47" s="62">
        <v>12.56</v>
      </c>
      <c r="AY47" s="62">
        <v>1607.2</v>
      </c>
      <c r="AZ47" s="62">
        <v>109.26</v>
      </c>
      <c r="BA47" s="62">
        <v>1513.52</v>
      </c>
      <c r="BB47" s="62" t="s">
        <v>9344</v>
      </c>
      <c r="BC47" s="62">
        <v>91.77</v>
      </c>
      <c r="BD47" s="62">
        <v>115.64</v>
      </c>
      <c r="BE47" s="62">
        <v>21.84</v>
      </c>
      <c r="BF47" s="62">
        <v>3470.22</v>
      </c>
      <c r="BG47" s="62">
        <v>5395.11</v>
      </c>
      <c r="BH47" s="62">
        <v>899.69</v>
      </c>
      <c r="BI47" s="62">
        <v>246.09</v>
      </c>
      <c r="BJ47" s="62">
        <v>150.97999999999999</v>
      </c>
      <c r="BK47" s="62">
        <v>17.600000000000001</v>
      </c>
      <c r="BL47" s="62">
        <v>6.54</v>
      </c>
      <c r="BM47" s="62" t="s">
        <v>9344</v>
      </c>
      <c r="BN47" s="62">
        <v>141.97</v>
      </c>
      <c r="BO47" s="62">
        <v>16.13</v>
      </c>
      <c r="BP47" s="62" t="s">
        <v>9344</v>
      </c>
      <c r="BQ47" s="62">
        <v>258.64</v>
      </c>
      <c r="BR47" s="62" t="s">
        <v>9344</v>
      </c>
      <c r="BS47" s="62">
        <v>188.27</v>
      </c>
      <c r="BT47" s="62">
        <v>3.65</v>
      </c>
      <c r="BU47" s="62">
        <v>301.94</v>
      </c>
      <c r="BV47" s="62">
        <v>22.86</v>
      </c>
      <c r="BW47" s="62">
        <v>2307.17</v>
      </c>
      <c r="BX47" s="62">
        <v>1386.73</v>
      </c>
      <c r="BY47" s="62">
        <v>8.73</v>
      </c>
      <c r="BZ47" s="62">
        <v>665.59</v>
      </c>
      <c r="CA47" s="62">
        <v>368.93</v>
      </c>
      <c r="CB47" s="62">
        <v>43.94</v>
      </c>
      <c r="CC47" s="62">
        <v>386.59</v>
      </c>
      <c r="CD47" s="62">
        <v>114.53</v>
      </c>
      <c r="CE47" s="62">
        <v>3650</v>
      </c>
      <c r="CF47" s="62">
        <v>458.77</v>
      </c>
      <c r="CG47" s="62">
        <v>282.35000000000002</v>
      </c>
      <c r="CH47" s="62">
        <v>61.84</v>
      </c>
      <c r="CI47" s="62">
        <v>30.03</v>
      </c>
      <c r="CJ47" s="62">
        <v>54.69</v>
      </c>
      <c r="CK47" s="62">
        <v>49.1</v>
      </c>
      <c r="CL47" s="62">
        <v>250.65</v>
      </c>
      <c r="CM47" s="62">
        <v>2191.27</v>
      </c>
      <c r="CN47" s="62">
        <v>1828.96</v>
      </c>
      <c r="CO47" s="62">
        <v>32.630000000000003</v>
      </c>
      <c r="CP47" s="62">
        <v>26.87</v>
      </c>
      <c r="CQ47" s="62">
        <v>12.73</v>
      </c>
      <c r="CR47" s="62">
        <v>16.87</v>
      </c>
      <c r="CS47" s="62">
        <v>124.62</v>
      </c>
      <c r="CT47" s="62">
        <v>3.11</v>
      </c>
      <c r="CU47" s="62">
        <v>5482.05</v>
      </c>
      <c r="CV47" s="62">
        <v>240.01</v>
      </c>
      <c r="CW47" s="62">
        <v>587.02</v>
      </c>
      <c r="CX47" s="62">
        <v>774.19</v>
      </c>
      <c r="CY47" s="62">
        <v>364.39</v>
      </c>
      <c r="CZ47" s="62">
        <v>230.51</v>
      </c>
      <c r="DA47" s="62">
        <v>20.43</v>
      </c>
      <c r="DB47" s="62">
        <v>443.33</v>
      </c>
      <c r="DC47" s="62">
        <v>1044</v>
      </c>
      <c r="DD47" s="62">
        <v>5.42</v>
      </c>
      <c r="DE47" s="62" t="s">
        <v>9344</v>
      </c>
      <c r="DF47" s="62">
        <v>244.64</v>
      </c>
      <c r="DG47" s="62">
        <v>340.95</v>
      </c>
      <c r="DH47" s="62">
        <v>1.1100000000000001</v>
      </c>
      <c r="DI47" s="62" t="s">
        <v>9344</v>
      </c>
      <c r="DJ47" s="62">
        <v>168.38</v>
      </c>
      <c r="DK47" s="62">
        <v>3126.67</v>
      </c>
      <c r="DL47" s="62">
        <v>391.87</v>
      </c>
      <c r="DM47" s="62">
        <v>589.55999999999995</v>
      </c>
      <c r="DN47" s="62">
        <v>877.51</v>
      </c>
      <c r="DO47" s="62">
        <v>13.9</v>
      </c>
      <c r="DP47" s="62">
        <v>2324</v>
      </c>
    </row>
    <row r="48" spans="1:120" x14ac:dyDescent="0.3">
      <c r="A48" s="62">
        <v>42309</v>
      </c>
      <c r="B48" s="62">
        <v>174.25</v>
      </c>
      <c r="C48" s="62">
        <v>8.92</v>
      </c>
      <c r="D48" s="62" t="s">
        <v>9344</v>
      </c>
      <c r="E48" s="62">
        <v>3186.12</v>
      </c>
      <c r="F48" s="62">
        <v>7.36</v>
      </c>
      <c r="G48" s="62">
        <v>1.96</v>
      </c>
      <c r="H48" s="62">
        <v>908.12</v>
      </c>
      <c r="I48" s="62">
        <v>229.53</v>
      </c>
      <c r="J48" s="62">
        <v>100.39</v>
      </c>
      <c r="K48" s="62">
        <v>6429.5</v>
      </c>
      <c r="L48" s="62">
        <v>83.05</v>
      </c>
      <c r="M48" s="62">
        <v>76.290000000000006</v>
      </c>
      <c r="N48" s="62">
        <v>80.349999999999994</v>
      </c>
      <c r="O48" s="62">
        <v>1.1000000000000001</v>
      </c>
      <c r="P48" s="62">
        <v>28.66</v>
      </c>
      <c r="Q48" s="62">
        <v>626.16</v>
      </c>
      <c r="R48" s="62">
        <v>187.85</v>
      </c>
      <c r="S48" s="62">
        <v>27.47</v>
      </c>
      <c r="T48" s="62">
        <v>173.94</v>
      </c>
      <c r="U48" s="62">
        <v>1125.69</v>
      </c>
      <c r="V48" s="62">
        <v>179.82</v>
      </c>
      <c r="W48" s="62">
        <v>254.17</v>
      </c>
      <c r="X48" s="62">
        <v>3800.47</v>
      </c>
      <c r="Y48" s="62">
        <v>40.6</v>
      </c>
      <c r="Z48" s="62">
        <v>0.83</v>
      </c>
      <c r="AA48" s="62">
        <v>555.94000000000005</v>
      </c>
      <c r="AB48" s="62">
        <v>2053.33</v>
      </c>
      <c r="AC48" s="62">
        <v>153.43</v>
      </c>
      <c r="AD48" s="62">
        <v>154.06</v>
      </c>
      <c r="AE48" s="62">
        <v>28.63</v>
      </c>
      <c r="AF48" s="62">
        <v>4463.95</v>
      </c>
      <c r="AG48" s="62">
        <v>5062.1899999999996</v>
      </c>
      <c r="AH48" s="62">
        <v>75.72</v>
      </c>
      <c r="AI48" s="62">
        <v>8627.69</v>
      </c>
      <c r="AJ48" s="62">
        <v>506.09</v>
      </c>
      <c r="AK48" s="62">
        <v>908.45</v>
      </c>
      <c r="AL48" s="62">
        <v>12.68</v>
      </c>
      <c r="AM48" s="62">
        <v>4.3499999999999996</v>
      </c>
      <c r="AN48" s="62">
        <v>1875</v>
      </c>
      <c r="AO48" s="62">
        <v>25.6</v>
      </c>
      <c r="AP48" s="62">
        <v>14.68</v>
      </c>
      <c r="AQ48" s="62">
        <v>1472.63</v>
      </c>
      <c r="AR48" s="62">
        <v>358.74</v>
      </c>
      <c r="AS48" s="62">
        <v>221.61</v>
      </c>
      <c r="AT48" s="62">
        <v>579.08000000000004</v>
      </c>
      <c r="AU48" s="62">
        <v>40.1</v>
      </c>
      <c r="AV48" s="62">
        <v>1741.81</v>
      </c>
      <c r="AW48" s="62" t="s">
        <v>9344</v>
      </c>
      <c r="AX48" s="62">
        <v>12.56</v>
      </c>
      <c r="AY48" s="62">
        <v>1714.77</v>
      </c>
      <c r="AZ48" s="62">
        <v>118.11</v>
      </c>
      <c r="BA48" s="62">
        <v>1548.37</v>
      </c>
      <c r="BB48" s="62" t="s">
        <v>9344</v>
      </c>
      <c r="BC48" s="62">
        <v>95.01</v>
      </c>
      <c r="BD48" s="62">
        <v>115.64</v>
      </c>
      <c r="BE48" s="62">
        <v>18.72</v>
      </c>
      <c r="BF48" s="62">
        <v>3855.8</v>
      </c>
      <c r="BG48" s="62">
        <v>5625.78</v>
      </c>
      <c r="BH48" s="62">
        <v>955.12</v>
      </c>
      <c r="BI48" s="62">
        <v>273.83999999999997</v>
      </c>
      <c r="BJ48" s="62">
        <v>147.81</v>
      </c>
      <c r="BK48" s="62">
        <v>18.53</v>
      </c>
      <c r="BL48" s="62">
        <v>5.72</v>
      </c>
      <c r="BM48" s="62" t="s">
        <v>9344</v>
      </c>
      <c r="BN48" s="62">
        <v>143.66</v>
      </c>
      <c r="BO48" s="62">
        <v>22.47</v>
      </c>
      <c r="BP48" s="62" t="s">
        <v>9344</v>
      </c>
      <c r="BQ48" s="62">
        <v>253.36</v>
      </c>
      <c r="BR48" s="62" t="s">
        <v>9344</v>
      </c>
      <c r="BS48" s="62">
        <v>167.56</v>
      </c>
      <c r="BT48" s="62">
        <v>3.18</v>
      </c>
      <c r="BU48" s="62">
        <v>324.58</v>
      </c>
      <c r="BV48" s="62">
        <v>24.36</v>
      </c>
      <c r="BW48" s="62">
        <v>2463.6999999999998</v>
      </c>
      <c r="BX48" s="62">
        <v>1471.51</v>
      </c>
      <c r="BY48" s="62">
        <v>7.89</v>
      </c>
      <c r="BZ48" s="62">
        <v>683.46</v>
      </c>
      <c r="CA48" s="62">
        <v>450.17</v>
      </c>
      <c r="CB48" s="62">
        <v>52.54</v>
      </c>
      <c r="CC48" s="62">
        <v>427.7</v>
      </c>
      <c r="CD48" s="62">
        <v>134.99</v>
      </c>
      <c r="CE48" s="62">
        <v>3900</v>
      </c>
      <c r="CF48" s="62">
        <v>463.45</v>
      </c>
      <c r="CG48" s="62">
        <v>294.93</v>
      </c>
      <c r="CH48" s="62">
        <v>72.64</v>
      </c>
      <c r="CI48" s="62">
        <v>28.15</v>
      </c>
      <c r="CJ48" s="62">
        <v>54.36</v>
      </c>
      <c r="CK48" s="62">
        <v>49.71</v>
      </c>
      <c r="CL48" s="62">
        <v>296.92</v>
      </c>
      <c r="CM48" s="62">
        <v>2354.33</v>
      </c>
      <c r="CN48" s="62">
        <v>1751.13</v>
      </c>
      <c r="CO48" s="62">
        <v>28.51</v>
      </c>
      <c r="CP48" s="62">
        <v>26.87</v>
      </c>
      <c r="CQ48" s="62">
        <v>13.26</v>
      </c>
      <c r="CR48" s="62">
        <v>18.28</v>
      </c>
      <c r="CS48" s="62">
        <v>114.38</v>
      </c>
      <c r="CT48" s="62">
        <v>3.11</v>
      </c>
      <c r="CU48" s="62">
        <v>6201.7</v>
      </c>
      <c r="CV48" s="62">
        <v>251.78</v>
      </c>
      <c r="CW48" s="62">
        <v>740</v>
      </c>
      <c r="CX48" s="62">
        <v>859.73</v>
      </c>
      <c r="CY48" s="62">
        <v>349.75</v>
      </c>
      <c r="CZ48" s="62">
        <v>234.02</v>
      </c>
      <c r="DA48" s="62">
        <v>19.86</v>
      </c>
      <c r="DB48" s="62">
        <v>553.54999999999995</v>
      </c>
      <c r="DC48" s="62">
        <v>1081.51</v>
      </c>
      <c r="DD48" s="62">
        <v>5.42</v>
      </c>
      <c r="DE48" s="62" t="s">
        <v>9344</v>
      </c>
      <c r="DF48" s="62">
        <v>253.88</v>
      </c>
      <c r="DG48" s="62">
        <v>351.02</v>
      </c>
      <c r="DH48" s="62">
        <v>2.21</v>
      </c>
      <c r="DI48" s="62" t="s">
        <v>9344</v>
      </c>
      <c r="DJ48" s="62">
        <v>171.56</v>
      </c>
      <c r="DK48" s="62">
        <v>3345.74</v>
      </c>
      <c r="DL48" s="62">
        <v>427.86</v>
      </c>
      <c r="DM48" s="62">
        <v>632.65</v>
      </c>
      <c r="DN48" s="62">
        <v>936.48</v>
      </c>
      <c r="DO48" s="62">
        <v>13.9</v>
      </c>
      <c r="DP48" s="62">
        <v>2664</v>
      </c>
    </row>
    <row r="49" spans="1:120" x14ac:dyDescent="0.3">
      <c r="A49" s="62">
        <v>42339</v>
      </c>
      <c r="B49" s="62">
        <v>164.75</v>
      </c>
      <c r="C49" s="62">
        <v>12.49</v>
      </c>
      <c r="D49" s="62" t="s">
        <v>9344</v>
      </c>
      <c r="E49" s="62">
        <v>3141.24</v>
      </c>
      <c r="F49" s="62">
        <v>7.56</v>
      </c>
      <c r="G49" s="62">
        <v>1.96</v>
      </c>
      <c r="H49" s="62">
        <v>924.27</v>
      </c>
      <c r="I49" s="62">
        <v>256.85000000000002</v>
      </c>
      <c r="J49" s="62">
        <v>102.82</v>
      </c>
      <c r="K49" s="62">
        <v>6310.93</v>
      </c>
      <c r="L49" s="62">
        <v>85.23</v>
      </c>
      <c r="M49" s="62">
        <v>75.959999999999994</v>
      </c>
      <c r="N49" s="62">
        <v>81.63</v>
      </c>
      <c r="O49" s="62">
        <v>1.1000000000000001</v>
      </c>
      <c r="P49" s="62">
        <v>30.86</v>
      </c>
      <c r="Q49" s="62">
        <v>617.91999999999996</v>
      </c>
      <c r="R49" s="62">
        <v>168.17</v>
      </c>
      <c r="S49" s="62">
        <v>41.89</v>
      </c>
      <c r="T49" s="62">
        <v>165.66</v>
      </c>
      <c r="U49" s="62">
        <v>1226.76</v>
      </c>
      <c r="V49" s="62">
        <v>181.46</v>
      </c>
      <c r="W49" s="62">
        <v>329.22</v>
      </c>
      <c r="X49" s="62">
        <v>3631.25</v>
      </c>
      <c r="Y49" s="62">
        <v>37.22</v>
      </c>
      <c r="Z49" s="62">
        <v>0.83</v>
      </c>
      <c r="AA49" s="62">
        <v>540.78</v>
      </c>
      <c r="AB49" s="62">
        <v>2218.27</v>
      </c>
      <c r="AC49" s="62">
        <v>138.38999999999999</v>
      </c>
      <c r="AD49" s="62">
        <v>171.77</v>
      </c>
      <c r="AE49" s="62">
        <v>26.43</v>
      </c>
      <c r="AF49" s="62">
        <v>4809.5200000000004</v>
      </c>
      <c r="AG49" s="62">
        <v>5027.66</v>
      </c>
      <c r="AH49" s="62">
        <v>74.680000000000007</v>
      </c>
      <c r="AI49" s="62">
        <v>8819.77</v>
      </c>
      <c r="AJ49" s="62">
        <v>516.79999999999995</v>
      </c>
      <c r="AK49" s="62">
        <v>968.8</v>
      </c>
      <c r="AL49" s="62">
        <v>14.69</v>
      </c>
      <c r="AM49" s="62">
        <v>0.87</v>
      </c>
      <c r="AN49" s="62">
        <v>1960</v>
      </c>
      <c r="AO49" s="62">
        <v>26.14</v>
      </c>
      <c r="AP49" s="62">
        <v>13.72</v>
      </c>
      <c r="AQ49" s="62">
        <v>1538.49</v>
      </c>
      <c r="AR49" s="62">
        <v>364.16</v>
      </c>
      <c r="AS49" s="62">
        <v>192.57</v>
      </c>
      <c r="AT49" s="62">
        <v>625.15</v>
      </c>
      <c r="AU49" s="62">
        <v>35.090000000000003</v>
      </c>
      <c r="AV49" s="62">
        <v>1724.96</v>
      </c>
      <c r="AW49" s="62" t="s">
        <v>9344</v>
      </c>
      <c r="AX49" s="62">
        <v>15.25</v>
      </c>
      <c r="AY49" s="62">
        <v>1740.08</v>
      </c>
      <c r="AZ49" s="62">
        <v>119.59</v>
      </c>
      <c r="BA49" s="62">
        <v>1548.37</v>
      </c>
      <c r="BB49" s="62" t="s">
        <v>9344</v>
      </c>
      <c r="BC49" s="62">
        <v>97.02</v>
      </c>
      <c r="BD49" s="62">
        <v>115.64</v>
      </c>
      <c r="BE49" s="62">
        <v>18.72</v>
      </c>
      <c r="BF49" s="62">
        <v>3993.5</v>
      </c>
      <c r="BG49" s="62">
        <v>6023.05</v>
      </c>
      <c r="BH49" s="62">
        <v>912.57</v>
      </c>
      <c r="BI49" s="62">
        <v>305.3</v>
      </c>
      <c r="BJ49" s="62">
        <v>150.97999999999999</v>
      </c>
      <c r="BK49" s="62">
        <v>21.48</v>
      </c>
      <c r="BL49" s="62">
        <v>5.72</v>
      </c>
      <c r="BM49" s="62" t="s">
        <v>9344</v>
      </c>
      <c r="BN49" s="62">
        <v>153.87</v>
      </c>
      <c r="BO49" s="62">
        <v>24.49</v>
      </c>
      <c r="BP49" s="62" t="s">
        <v>9344</v>
      </c>
      <c r="BQ49" s="62">
        <v>266.56</v>
      </c>
      <c r="BR49" s="62" t="s">
        <v>9344</v>
      </c>
      <c r="BS49" s="62">
        <v>163.80000000000001</v>
      </c>
      <c r="BT49" s="62">
        <v>3.49</v>
      </c>
      <c r="BU49" s="62">
        <v>313.26</v>
      </c>
      <c r="BV49" s="62">
        <v>22.91</v>
      </c>
      <c r="BW49" s="62">
        <v>2524.96</v>
      </c>
      <c r="BX49" s="62">
        <v>1489.68</v>
      </c>
      <c r="BY49" s="62">
        <v>8.56</v>
      </c>
      <c r="BZ49" s="62">
        <v>693.92</v>
      </c>
      <c r="CA49" s="62">
        <v>444.98</v>
      </c>
      <c r="CB49" s="62">
        <v>45.85</v>
      </c>
      <c r="CC49" s="62">
        <v>413.02</v>
      </c>
      <c r="CD49" s="62">
        <v>122.72</v>
      </c>
      <c r="CE49" s="62">
        <v>3950</v>
      </c>
      <c r="CF49" s="62">
        <v>533.66999999999996</v>
      </c>
      <c r="CG49" s="62">
        <v>311.70999999999998</v>
      </c>
      <c r="CH49" s="62">
        <v>72.64</v>
      </c>
      <c r="CI49" s="62">
        <v>46.92</v>
      </c>
      <c r="CJ49" s="62">
        <v>55.18</v>
      </c>
      <c r="CK49" s="62">
        <v>48.71</v>
      </c>
      <c r="CL49" s="62">
        <v>289.20999999999998</v>
      </c>
      <c r="CM49" s="62">
        <v>2591.54</v>
      </c>
      <c r="CN49" s="62">
        <v>1790.04</v>
      </c>
      <c r="CO49" s="62">
        <v>25.76</v>
      </c>
      <c r="CP49" s="62">
        <v>27.92</v>
      </c>
      <c r="CQ49" s="62">
        <v>14.77</v>
      </c>
      <c r="CR49" s="62">
        <v>21.79</v>
      </c>
      <c r="CS49" s="62">
        <v>116.75</v>
      </c>
      <c r="CT49" s="62">
        <v>3.7</v>
      </c>
      <c r="CU49" s="62">
        <v>6220.69</v>
      </c>
      <c r="CV49" s="62">
        <v>197.44</v>
      </c>
      <c r="CW49" s="62">
        <v>774.26</v>
      </c>
      <c r="CX49" s="62">
        <v>853.15</v>
      </c>
      <c r="CY49" s="62">
        <v>383.41</v>
      </c>
      <c r="CZ49" s="62">
        <v>234.02</v>
      </c>
      <c r="DA49" s="62">
        <v>19.86</v>
      </c>
      <c r="DB49" s="62">
        <v>846.26</v>
      </c>
      <c r="DC49" s="62">
        <v>1172.1600000000001</v>
      </c>
      <c r="DD49" s="62">
        <v>5.42</v>
      </c>
      <c r="DE49" s="62" t="s">
        <v>9344</v>
      </c>
      <c r="DF49" s="62">
        <v>248.19</v>
      </c>
      <c r="DG49" s="62">
        <v>331.47</v>
      </c>
      <c r="DH49" s="62">
        <v>1.1100000000000001</v>
      </c>
      <c r="DI49" s="62" t="s">
        <v>9344</v>
      </c>
      <c r="DJ49" s="62">
        <v>193.8</v>
      </c>
      <c r="DK49" s="62">
        <v>3086.84</v>
      </c>
      <c r="DL49" s="62">
        <v>470.24</v>
      </c>
      <c r="DM49" s="62">
        <v>651.61</v>
      </c>
      <c r="DN49" s="62">
        <v>901.79</v>
      </c>
      <c r="DO49" s="62">
        <v>17.38</v>
      </c>
      <c r="DP49" s="62">
        <v>2680</v>
      </c>
    </row>
    <row r="50" spans="1:120" x14ac:dyDescent="0.3">
      <c r="A50" s="62">
        <v>42370</v>
      </c>
      <c r="B50" s="62">
        <v>160.52000000000001</v>
      </c>
      <c r="C50" s="62">
        <v>10.7</v>
      </c>
      <c r="D50" s="62">
        <v>306</v>
      </c>
      <c r="E50" s="62">
        <v>3315.13</v>
      </c>
      <c r="F50" s="62">
        <v>8.1199999999999992</v>
      </c>
      <c r="G50" s="62">
        <v>0.65</v>
      </c>
      <c r="H50" s="62">
        <v>927.59</v>
      </c>
      <c r="I50" s="62">
        <v>254.12</v>
      </c>
      <c r="J50" s="62">
        <v>109.3</v>
      </c>
      <c r="K50" s="62">
        <v>6846.77</v>
      </c>
      <c r="L50" s="62">
        <v>87.42</v>
      </c>
      <c r="M50" s="62">
        <v>74.67</v>
      </c>
      <c r="N50" s="62">
        <v>81</v>
      </c>
      <c r="O50" s="62">
        <v>1.1000000000000001</v>
      </c>
      <c r="P50" s="62">
        <v>36.369999999999997</v>
      </c>
      <c r="Q50" s="62">
        <v>624.45000000000005</v>
      </c>
      <c r="R50" s="62">
        <v>161.01</v>
      </c>
      <c r="S50" s="62">
        <v>41.89</v>
      </c>
      <c r="T50" s="62">
        <v>165.66</v>
      </c>
      <c r="U50" s="62">
        <v>1549.81</v>
      </c>
      <c r="V50" s="62">
        <v>179.82</v>
      </c>
      <c r="W50" s="62">
        <v>335.21</v>
      </c>
      <c r="X50" s="62">
        <v>3430.36</v>
      </c>
      <c r="Y50" s="62">
        <v>40.6</v>
      </c>
      <c r="Z50" s="62">
        <v>4.1500000000000004</v>
      </c>
      <c r="AA50" s="62">
        <v>596.37</v>
      </c>
      <c r="AB50" s="62">
        <v>2080.5700000000002</v>
      </c>
      <c r="AC50" s="62">
        <v>139.59</v>
      </c>
      <c r="AD50" s="62">
        <v>181.13</v>
      </c>
      <c r="AE50" s="62">
        <v>24.66</v>
      </c>
      <c r="AF50" s="62">
        <v>5015.21</v>
      </c>
      <c r="AG50" s="62">
        <v>5076</v>
      </c>
      <c r="AH50" s="62">
        <v>75.72</v>
      </c>
      <c r="AI50" s="62">
        <v>9604.11</v>
      </c>
      <c r="AJ50" s="62">
        <v>598.21</v>
      </c>
      <c r="AK50" s="62">
        <v>961.06</v>
      </c>
      <c r="AL50" s="62">
        <v>14.69</v>
      </c>
      <c r="AM50" s="62">
        <v>0.87</v>
      </c>
      <c r="AN50" s="62">
        <v>1930</v>
      </c>
      <c r="AO50" s="62">
        <v>33.880000000000003</v>
      </c>
      <c r="AP50" s="62">
        <v>13.72</v>
      </c>
      <c r="AQ50" s="62">
        <v>1578.61</v>
      </c>
      <c r="AR50" s="62">
        <v>347.13</v>
      </c>
      <c r="AS50" s="62">
        <v>198.5</v>
      </c>
      <c r="AT50" s="62">
        <v>625.15</v>
      </c>
      <c r="AU50" s="62">
        <v>35.090000000000003</v>
      </c>
      <c r="AV50" s="62">
        <v>1840.57</v>
      </c>
      <c r="AW50" s="62" t="s">
        <v>9344</v>
      </c>
      <c r="AX50" s="62">
        <v>15.25</v>
      </c>
      <c r="AY50" s="62">
        <v>1723.17</v>
      </c>
      <c r="AZ50" s="62">
        <v>119.89</v>
      </c>
      <c r="BA50" s="62">
        <v>1529.45</v>
      </c>
      <c r="BB50" s="62" t="s">
        <v>9344</v>
      </c>
      <c r="BC50" s="62">
        <v>93.41</v>
      </c>
      <c r="BD50" s="62">
        <v>118.12</v>
      </c>
      <c r="BE50" s="62">
        <v>15.91</v>
      </c>
      <c r="BF50" s="62">
        <v>3828.25</v>
      </c>
      <c r="BG50" s="62">
        <v>6125.57</v>
      </c>
      <c r="BH50" s="62">
        <v>984.9</v>
      </c>
      <c r="BI50" s="62">
        <v>318.25</v>
      </c>
      <c r="BJ50" s="62">
        <v>153.09</v>
      </c>
      <c r="BK50" s="62">
        <v>35.770000000000003</v>
      </c>
      <c r="BL50" s="62">
        <v>5.72</v>
      </c>
      <c r="BM50" s="62" t="s">
        <v>9344</v>
      </c>
      <c r="BN50" s="62">
        <v>143.72999999999999</v>
      </c>
      <c r="BO50" s="62">
        <v>26.5</v>
      </c>
      <c r="BP50" s="62" t="s">
        <v>9344</v>
      </c>
      <c r="BQ50" s="62">
        <v>282.39</v>
      </c>
      <c r="BR50" s="62" t="s">
        <v>9344</v>
      </c>
      <c r="BS50" s="62">
        <v>195.8</v>
      </c>
      <c r="BT50" s="62">
        <v>3.1</v>
      </c>
      <c r="BU50" s="62">
        <v>313.26</v>
      </c>
      <c r="BV50" s="62">
        <v>36.1</v>
      </c>
      <c r="BW50" s="62">
        <v>2545.37</v>
      </c>
      <c r="BX50" s="62">
        <v>1513.9</v>
      </c>
      <c r="BY50" s="62">
        <v>6.53</v>
      </c>
      <c r="BZ50" s="62">
        <v>718.55</v>
      </c>
      <c r="CA50" s="62">
        <v>405.32</v>
      </c>
      <c r="CB50" s="62">
        <v>58.27</v>
      </c>
      <c r="CC50" s="62">
        <v>434.55</v>
      </c>
      <c r="CD50" s="62">
        <v>116.58</v>
      </c>
      <c r="CE50" s="62">
        <v>4250</v>
      </c>
      <c r="CF50" s="62">
        <v>524.30999999999995</v>
      </c>
      <c r="CG50" s="62">
        <v>343.86</v>
      </c>
      <c r="CH50" s="62">
        <v>75.709999999999994</v>
      </c>
      <c r="CI50" s="62">
        <v>44.04</v>
      </c>
      <c r="CJ50" s="62">
        <v>56.32</v>
      </c>
      <c r="CK50" s="62">
        <v>56.93</v>
      </c>
      <c r="CL50" s="62">
        <v>291.14</v>
      </c>
      <c r="CM50" s="62">
        <v>2627.13</v>
      </c>
      <c r="CN50" s="62">
        <v>1786.15</v>
      </c>
      <c r="CO50" s="62">
        <v>22.33</v>
      </c>
      <c r="CP50" s="62">
        <v>29.51</v>
      </c>
      <c r="CQ50" s="62">
        <v>14.45</v>
      </c>
      <c r="CR50" s="62">
        <v>21.79</v>
      </c>
      <c r="CS50" s="62">
        <v>116.22</v>
      </c>
      <c r="CT50" s="62">
        <v>4.07</v>
      </c>
      <c r="CU50" s="62">
        <v>6037.84</v>
      </c>
      <c r="CV50" s="62">
        <v>202.89</v>
      </c>
      <c r="CW50" s="62">
        <v>792.48</v>
      </c>
      <c r="CX50" s="62">
        <v>898.67</v>
      </c>
      <c r="CY50" s="62">
        <v>462.44</v>
      </c>
      <c r="CZ50" s="62">
        <v>251.59</v>
      </c>
      <c r="DA50" s="62">
        <v>20.71</v>
      </c>
      <c r="DB50" s="62">
        <v>1345.34</v>
      </c>
      <c r="DC50" s="62">
        <v>1172.1600000000001</v>
      </c>
      <c r="DD50" s="62">
        <v>5.42</v>
      </c>
      <c r="DE50" s="62" t="s">
        <v>9344</v>
      </c>
      <c r="DF50" s="62">
        <v>249.32</v>
      </c>
      <c r="DG50" s="62">
        <v>322.16000000000003</v>
      </c>
      <c r="DH50" s="62">
        <v>1.1100000000000001</v>
      </c>
      <c r="DI50" s="62" t="s">
        <v>9344</v>
      </c>
      <c r="DJ50" s="62">
        <v>190.32</v>
      </c>
      <c r="DK50" s="62">
        <v>3156.54</v>
      </c>
      <c r="DL50" s="62">
        <v>460.64</v>
      </c>
      <c r="DM50" s="62">
        <v>645.52</v>
      </c>
      <c r="DN50" s="62">
        <v>926.07</v>
      </c>
      <c r="DO50" s="62">
        <v>18.53</v>
      </c>
      <c r="DP50" s="62">
        <v>2704</v>
      </c>
    </row>
    <row r="51" spans="1:120" x14ac:dyDescent="0.3">
      <c r="A51" s="62">
        <v>42401</v>
      </c>
      <c r="B51" s="62">
        <v>149.96</v>
      </c>
      <c r="C51" s="62">
        <v>14.27</v>
      </c>
      <c r="D51" s="62">
        <v>271.14</v>
      </c>
      <c r="E51" s="62">
        <v>3310.99</v>
      </c>
      <c r="F51" s="62">
        <v>7.96</v>
      </c>
      <c r="G51" s="62">
        <v>1.31</v>
      </c>
      <c r="H51" s="62">
        <v>923.54</v>
      </c>
      <c r="I51" s="62">
        <v>248.65</v>
      </c>
      <c r="J51" s="62">
        <v>102.82</v>
      </c>
      <c r="K51" s="62">
        <v>6644.34</v>
      </c>
      <c r="L51" s="62">
        <v>86.54</v>
      </c>
      <c r="M51" s="62">
        <v>73.040000000000006</v>
      </c>
      <c r="N51" s="62">
        <v>81</v>
      </c>
      <c r="O51" s="62">
        <v>1.1000000000000001</v>
      </c>
      <c r="P51" s="62">
        <v>31.96</v>
      </c>
      <c r="Q51" s="62">
        <v>628.86</v>
      </c>
      <c r="R51" s="62">
        <v>149.68</v>
      </c>
      <c r="S51" s="62">
        <v>37.770000000000003</v>
      </c>
      <c r="T51" s="62">
        <v>168.42</v>
      </c>
      <c r="U51" s="62">
        <v>1492.33</v>
      </c>
      <c r="V51" s="62">
        <v>177.86</v>
      </c>
      <c r="W51" s="62">
        <v>347.18</v>
      </c>
      <c r="X51" s="62">
        <v>3336.28</v>
      </c>
      <c r="Y51" s="62">
        <v>49.52</v>
      </c>
      <c r="Z51" s="62">
        <v>4.1500000000000004</v>
      </c>
      <c r="AA51" s="62">
        <v>593.34</v>
      </c>
      <c r="AB51" s="62">
        <v>2056.36</v>
      </c>
      <c r="AC51" s="62">
        <v>117.93</v>
      </c>
      <c r="AD51" s="62">
        <v>179.35</v>
      </c>
      <c r="AE51" s="62">
        <v>21.14</v>
      </c>
      <c r="AF51" s="62">
        <v>4897.21</v>
      </c>
      <c r="AG51" s="62">
        <v>4834.29</v>
      </c>
      <c r="AH51" s="62">
        <v>75.72</v>
      </c>
      <c r="AI51" s="62">
        <v>9524.07</v>
      </c>
      <c r="AJ51" s="62">
        <v>616.64</v>
      </c>
      <c r="AK51" s="62">
        <v>987.37</v>
      </c>
      <c r="AL51" s="62">
        <v>12.42</v>
      </c>
      <c r="AM51" s="62">
        <v>0.87</v>
      </c>
      <c r="AN51" s="62">
        <v>1860</v>
      </c>
      <c r="AO51" s="62">
        <v>29.04</v>
      </c>
      <c r="AP51" s="62">
        <v>13.69</v>
      </c>
      <c r="AQ51" s="62">
        <v>1597.7</v>
      </c>
      <c r="AR51" s="62">
        <v>341.67</v>
      </c>
      <c r="AS51" s="62">
        <v>197.9</v>
      </c>
      <c r="AT51" s="62">
        <v>582.53</v>
      </c>
      <c r="AU51" s="62">
        <v>36.9</v>
      </c>
      <c r="AV51" s="62">
        <v>1748.83</v>
      </c>
      <c r="AW51" s="62" t="s">
        <v>9344</v>
      </c>
      <c r="AX51" s="62">
        <v>12.56</v>
      </c>
      <c r="AY51" s="62">
        <v>1748.7</v>
      </c>
      <c r="AZ51" s="62">
        <v>118.41</v>
      </c>
      <c r="BA51" s="62">
        <v>1493.6</v>
      </c>
      <c r="BB51" s="62" t="s">
        <v>9344</v>
      </c>
      <c r="BC51" s="62">
        <v>90.07</v>
      </c>
      <c r="BD51" s="62">
        <v>119.77</v>
      </c>
      <c r="BE51" s="62">
        <v>15.91</v>
      </c>
      <c r="BF51" s="62">
        <v>3663.01</v>
      </c>
      <c r="BG51" s="62">
        <v>6010.23</v>
      </c>
      <c r="BH51" s="62">
        <v>940.94</v>
      </c>
      <c r="BI51" s="62">
        <v>299.75</v>
      </c>
      <c r="BJ51" s="62">
        <v>152.03</v>
      </c>
      <c r="BK51" s="62">
        <v>31.11</v>
      </c>
      <c r="BL51" s="62">
        <v>5.72</v>
      </c>
      <c r="BM51" s="62" t="s">
        <v>9344</v>
      </c>
      <c r="BN51" s="62">
        <v>142.04</v>
      </c>
      <c r="BO51" s="62">
        <v>24.2</v>
      </c>
      <c r="BP51" s="62" t="s">
        <v>9344</v>
      </c>
      <c r="BQ51" s="62">
        <v>281.45</v>
      </c>
      <c r="BR51" s="62" t="s">
        <v>9344</v>
      </c>
      <c r="BS51" s="62">
        <v>161.91</v>
      </c>
      <c r="BT51" s="62">
        <v>2.48</v>
      </c>
      <c r="BU51" s="62">
        <v>309.49</v>
      </c>
      <c r="BV51" s="62">
        <v>38.68</v>
      </c>
      <c r="BW51" s="62">
        <v>2520.87</v>
      </c>
      <c r="BX51" s="62">
        <v>1489.68</v>
      </c>
      <c r="BY51" s="62">
        <v>5.41</v>
      </c>
      <c r="BZ51" s="62">
        <v>729.74</v>
      </c>
      <c r="CA51" s="62">
        <v>406.12</v>
      </c>
      <c r="CB51" s="62">
        <v>49.67</v>
      </c>
      <c r="CC51" s="62">
        <v>413.99</v>
      </c>
      <c r="CD51" s="62">
        <v>85.9</v>
      </c>
      <c r="CE51" s="62">
        <v>3945</v>
      </c>
      <c r="CF51" s="62">
        <v>533.66999999999996</v>
      </c>
      <c r="CG51" s="62">
        <v>318.7</v>
      </c>
      <c r="CH51" s="62">
        <v>73.67</v>
      </c>
      <c r="CI51" s="62">
        <v>47.19</v>
      </c>
      <c r="CJ51" s="62">
        <v>60.08</v>
      </c>
      <c r="CK51" s="62">
        <v>52.5</v>
      </c>
      <c r="CL51" s="62">
        <v>279.57</v>
      </c>
      <c r="CM51" s="62">
        <v>2787.24</v>
      </c>
      <c r="CN51" s="62">
        <v>1770.59</v>
      </c>
      <c r="CO51" s="62">
        <v>18.89</v>
      </c>
      <c r="CP51" s="62">
        <v>28.45</v>
      </c>
      <c r="CQ51" s="62">
        <v>13.67</v>
      </c>
      <c r="CR51" s="62">
        <v>21.09</v>
      </c>
      <c r="CS51" s="62">
        <v>112.81</v>
      </c>
      <c r="CT51" s="62">
        <v>2.96</v>
      </c>
      <c r="CU51" s="62">
        <v>6156.77</v>
      </c>
      <c r="CV51" s="62">
        <v>195.65</v>
      </c>
      <c r="CW51" s="62">
        <v>787.01</v>
      </c>
      <c r="CX51" s="62">
        <v>881.05</v>
      </c>
      <c r="CY51" s="62">
        <v>421.46</v>
      </c>
      <c r="CZ51" s="62">
        <v>251.59</v>
      </c>
      <c r="DA51" s="62">
        <v>19.29</v>
      </c>
      <c r="DB51" s="62">
        <v>1258.54</v>
      </c>
      <c r="DC51" s="62">
        <v>1178.4100000000001</v>
      </c>
      <c r="DD51" s="62">
        <v>5.42</v>
      </c>
      <c r="DE51" s="62" t="s">
        <v>9344</v>
      </c>
      <c r="DF51" s="62">
        <v>255.02</v>
      </c>
      <c r="DG51" s="62">
        <v>307.79000000000002</v>
      </c>
      <c r="DH51" s="62">
        <v>2.21</v>
      </c>
      <c r="DI51" s="62" t="s">
        <v>9344</v>
      </c>
      <c r="DJ51" s="62">
        <v>183.95</v>
      </c>
      <c r="DK51" s="62">
        <v>3176.46</v>
      </c>
      <c r="DL51" s="62">
        <v>415.86</v>
      </c>
      <c r="DM51" s="62">
        <v>659.32</v>
      </c>
      <c r="DN51" s="62">
        <v>926.07</v>
      </c>
      <c r="DO51" s="62">
        <v>13.9</v>
      </c>
      <c r="DP51" s="62">
        <v>2696</v>
      </c>
    </row>
    <row r="52" spans="1:120" x14ac:dyDescent="0.3">
      <c r="A52" s="62">
        <v>42430</v>
      </c>
      <c r="B52" s="62">
        <v>153.36000000000001</v>
      </c>
      <c r="C52" s="62">
        <v>14.59</v>
      </c>
      <c r="D52" s="62">
        <v>255.64</v>
      </c>
      <c r="E52" s="62">
        <v>3108.97</v>
      </c>
      <c r="F52" s="62">
        <v>7.96</v>
      </c>
      <c r="G52" s="62">
        <v>1.31</v>
      </c>
      <c r="H52" s="62">
        <v>919.49</v>
      </c>
      <c r="I52" s="62">
        <v>248.65</v>
      </c>
      <c r="J52" s="62">
        <v>102.01</v>
      </c>
      <c r="K52" s="62">
        <v>7477.86</v>
      </c>
      <c r="L52" s="62">
        <v>84.8</v>
      </c>
      <c r="M52" s="62">
        <v>69.8</v>
      </c>
      <c r="N52" s="62">
        <v>80.989999999999995</v>
      </c>
      <c r="O52" s="62">
        <v>1.1000000000000001</v>
      </c>
      <c r="P52" s="62">
        <v>31.96</v>
      </c>
      <c r="Q52" s="62">
        <v>642</v>
      </c>
      <c r="R52" s="62">
        <v>115.69</v>
      </c>
      <c r="S52" s="62">
        <v>35.71</v>
      </c>
      <c r="T52" s="62">
        <v>176.7</v>
      </c>
      <c r="U52" s="62">
        <v>1547.82</v>
      </c>
      <c r="V52" s="62">
        <v>179.82</v>
      </c>
      <c r="W52" s="62">
        <v>367.13</v>
      </c>
      <c r="X52" s="62">
        <v>3221.91</v>
      </c>
      <c r="Y52" s="62">
        <v>46.22</v>
      </c>
      <c r="Z52" s="62">
        <v>4.1500000000000004</v>
      </c>
      <c r="AA52" s="62">
        <v>596.37</v>
      </c>
      <c r="AB52" s="62">
        <v>2436.16</v>
      </c>
      <c r="AC52" s="62">
        <v>120.34</v>
      </c>
      <c r="AD52" s="62">
        <v>174.02</v>
      </c>
      <c r="AE52" s="62">
        <v>20.260000000000002</v>
      </c>
      <c r="AF52" s="62">
        <v>5130.2299999999996</v>
      </c>
      <c r="AG52" s="62">
        <v>4855.01</v>
      </c>
      <c r="AH52" s="62">
        <v>74.16</v>
      </c>
      <c r="AI52" s="62">
        <v>9524.07</v>
      </c>
      <c r="AJ52" s="62">
        <v>617.32000000000005</v>
      </c>
      <c r="AK52" s="62">
        <v>936.3</v>
      </c>
      <c r="AL52" s="62">
        <v>10.68</v>
      </c>
      <c r="AM52" s="62">
        <v>0.87</v>
      </c>
      <c r="AN52" s="62">
        <v>1950</v>
      </c>
      <c r="AO52" s="62">
        <v>26.62</v>
      </c>
      <c r="AP52" s="62">
        <v>10.27</v>
      </c>
      <c r="AQ52" s="62">
        <v>1591.34</v>
      </c>
      <c r="AR52" s="62">
        <v>355.33</v>
      </c>
      <c r="AS52" s="62">
        <v>171.83</v>
      </c>
      <c r="AT52" s="62">
        <v>549.38</v>
      </c>
      <c r="AU52" s="62">
        <v>35.380000000000003</v>
      </c>
      <c r="AV52" s="62">
        <v>1737.59</v>
      </c>
      <c r="AW52" s="62" t="s">
        <v>9344</v>
      </c>
      <c r="AX52" s="62">
        <v>16.600000000000001</v>
      </c>
      <c r="AY52" s="62">
        <v>1748.7</v>
      </c>
      <c r="AZ52" s="62">
        <v>88.59</v>
      </c>
      <c r="BA52" s="62">
        <v>1461.74</v>
      </c>
      <c r="BB52" s="62" t="s">
        <v>9344</v>
      </c>
      <c r="BC52" s="62">
        <v>91.19</v>
      </c>
      <c r="BD52" s="62">
        <v>118.95</v>
      </c>
      <c r="BE52" s="62">
        <v>12.48</v>
      </c>
      <c r="BF52" s="62">
        <v>3621.7</v>
      </c>
      <c r="BG52" s="62">
        <v>6356.23</v>
      </c>
      <c r="BH52" s="62">
        <v>1013.32</v>
      </c>
      <c r="BI52" s="62">
        <v>288.64999999999998</v>
      </c>
      <c r="BJ52" s="62">
        <v>158.37</v>
      </c>
      <c r="BK52" s="62">
        <v>28.52</v>
      </c>
      <c r="BL52" s="62">
        <v>4.09</v>
      </c>
      <c r="BM52" s="62" t="s">
        <v>9344</v>
      </c>
      <c r="BN52" s="62">
        <v>152.18</v>
      </c>
      <c r="BO52" s="62">
        <v>25.93</v>
      </c>
      <c r="BP52" s="62" t="s">
        <v>9344</v>
      </c>
      <c r="BQ52" s="62">
        <v>270.73</v>
      </c>
      <c r="BR52" s="62" t="s">
        <v>9344</v>
      </c>
      <c r="BS52" s="62">
        <v>192.04</v>
      </c>
      <c r="BT52" s="62">
        <v>2.71</v>
      </c>
      <c r="BU52" s="62">
        <v>313.26</v>
      </c>
      <c r="BV52" s="62">
        <v>30.45</v>
      </c>
      <c r="BW52" s="62">
        <v>2485.48</v>
      </c>
      <c r="BX52" s="62">
        <v>1465.46</v>
      </c>
      <c r="BY52" s="62">
        <v>5.41</v>
      </c>
      <c r="BZ52" s="62">
        <v>720.78</v>
      </c>
      <c r="CA52" s="62">
        <v>394.51</v>
      </c>
      <c r="CB52" s="62">
        <v>43.94</v>
      </c>
      <c r="CC52" s="62">
        <v>409.1</v>
      </c>
      <c r="CD52" s="62">
        <v>92.04</v>
      </c>
      <c r="CE52" s="62">
        <v>4040</v>
      </c>
      <c r="CF52" s="62">
        <v>599.21</v>
      </c>
      <c r="CG52" s="62">
        <v>328.48</v>
      </c>
      <c r="CH52" s="62">
        <v>74.69</v>
      </c>
      <c r="CI52" s="62">
        <v>40.9</v>
      </c>
      <c r="CJ52" s="62">
        <v>62.04</v>
      </c>
      <c r="CK52" s="62">
        <v>46.81</v>
      </c>
      <c r="CL52" s="62">
        <v>250.65</v>
      </c>
      <c r="CM52" s="62">
        <v>2621.19</v>
      </c>
      <c r="CN52" s="62">
        <v>1622.71</v>
      </c>
      <c r="CO52" s="62">
        <v>19.75</v>
      </c>
      <c r="CP52" s="62">
        <v>26.87</v>
      </c>
      <c r="CQ52" s="62">
        <v>12.41</v>
      </c>
      <c r="CR52" s="62">
        <v>24.46</v>
      </c>
      <c r="CS52" s="62">
        <v>121.99</v>
      </c>
      <c r="CT52" s="62">
        <v>2.96</v>
      </c>
      <c r="CU52" s="62">
        <v>6449.51</v>
      </c>
      <c r="CV52" s="62">
        <v>211.05</v>
      </c>
      <c r="CW52" s="62">
        <v>779.73</v>
      </c>
      <c r="CX52" s="62">
        <v>863.43</v>
      </c>
      <c r="CY52" s="62">
        <v>395.12</v>
      </c>
      <c r="CZ52" s="62">
        <v>251.59</v>
      </c>
      <c r="DA52" s="62">
        <v>19.86</v>
      </c>
      <c r="DB52" s="62">
        <v>1256.2</v>
      </c>
      <c r="DC52" s="62">
        <v>1119.02</v>
      </c>
      <c r="DD52" s="62">
        <v>5.42</v>
      </c>
      <c r="DE52" s="62" t="s">
        <v>9344</v>
      </c>
      <c r="DF52" s="62">
        <v>273.23</v>
      </c>
      <c r="DG52" s="62">
        <v>266.92</v>
      </c>
      <c r="DH52" s="62">
        <v>1.1100000000000001</v>
      </c>
      <c r="DI52" s="62" t="s">
        <v>9344</v>
      </c>
      <c r="DJ52" s="62">
        <v>171.26</v>
      </c>
      <c r="DK52" s="62">
        <v>3256.12</v>
      </c>
      <c r="DL52" s="62">
        <v>380.67</v>
      </c>
      <c r="DM52" s="62">
        <v>662.78</v>
      </c>
      <c r="DN52" s="62">
        <v>922.6</v>
      </c>
      <c r="DO52" s="62">
        <v>17.61</v>
      </c>
      <c r="DP52" s="62">
        <v>2596</v>
      </c>
    </row>
    <row r="53" spans="1:120" x14ac:dyDescent="0.3">
      <c r="A53" s="62">
        <v>42461</v>
      </c>
      <c r="B53" s="62">
        <v>152.94</v>
      </c>
      <c r="C53" s="62">
        <v>12.5</v>
      </c>
      <c r="D53" s="62">
        <v>272.11</v>
      </c>
      <c r="E53" s="62">
        <v>3194.4</v>
      </c>
      <c r="F53" s="62">
        <v>7.96</v>
      </c>
      <c r="G53" s="62">
        <v>1.31</v>
      </c>
      <c r="H53" s="62">
        <v>950.76</v>
      </c>
      <c r="I53" s="62">
        <v>278.70999999999998</v>
      </c>
      <c r="J53" s="62">
        <v>107.68</v>
      </c>
      <c r="K53" s="62">
        <v>7525.49</v>
      </c>
      <c r="L53" s="62">
        <v>91.35</v>
      </c>
      <c r="M53" s="62">
        <v>76.290000000000006</v>
      </c>
      <c r="N53" s="62">
        <v>82.97</v>
      </c>
      <c r="O53" s="62">
        <v>1.26</v>
      </c>
      <c r="P53" s="62">
        <v>29.76</v>
      </c>
      <c r="Q53" s="62">
        <v>653.66</v>
      </c>
      <c r="R53" s="62">
        <v>128.21</v>
      </c>
      <c r="S53" s="62">
        <v>39.15</v>
      </c>
      <c r="T53" s="62">
        <v>173.94</v>
      </c>
      <c r="U53" s="62">
        <v>1591.42</v>
      </c>
      <c r="V53" s="62">
        <v>204.34</v>
      </c>
      <c r="W53" s="62">
        <v>399.52</v>
      </c>
      <c r="X53" s="62">
        <v>3572.51</v>
      </c>
      <c r="Y53" s="62">
        <v>45.39</v>
      </c>
      <c r="Z53" s="62">
        <v>4.1500000000000004</v>
      </c>
      <c r="AA53" s="62">
        <v>586.26</v>
      </c>
      <c r="AB53" s="62">
        <v>2576.88</v>
      </c>
      <c r="AC53" s="62">
        <v>165.46</v>
      </c>
      <c r="AD53" s="62">
        <v>184.68</v>
      </c>
      <c r="AE53" s="62">
        <v>19.82</v>
      </c>
      <c r="AF53" s="62">
        <v>5497.45</v>
      </c>
      <c r="AG53" s="62">
        <v>5262.47</v>
      </c>
      <c r="AH53" s="62">
        <v>73.11</v>
      </c>
      <c r="AI53" s="62">
        <v>9508.07</v>
      </c>
      <c r="AJ53" s="62">
        <v>619.94000000000005</v>
      </c>
      <c r="AK53" s="62">
        <v>973.44</v>
      </c>
      <c r="AL53" s="62">
        <v>9.35</v>
      </c>
      <c r="AM53" s="62">
        <v>0.87</v>
      </c>
      <c r="AN53" s="62">
        <v>2040</v>
      </c>
      <c r="AO53" s="62">
        <v>31.06</v>
      </c>
      <c r="AP53" s="62">
        <v>10.27</v>
      </c>
      <c r="AQ53" s="62">
        <v>1705.92</v>
      </c>
      <c r="AR53" s="62">
        <v>369</v>
      </c>
      <c r="AS53" s="62">
        <v>180.72</v>
      </c>
      <c r="AT53" s="62">
        <v>577.79</v>
      </c>
      <c r="AU53" s="62">
        <v>31.74</v>
      </c>
      <c r="AV53" s="62">
        <v>1838.8</v>
      </c>
      <c r="AW53" s="62" t="s">
        <v>9344</v>
      </c>
      <c r="AX53" s="62">
        <v>15.25</v>
      </c>
      <c r="AY53" s="62">
        <v>1844.43</v>
      </c>
      <c r="AZ53" s="62">
        <v>64.959999999999994</v>
      </c>
      <c r="BA53" s="62">
        <v>1566.29</v>
      </c>
      <c r="BB53" s="62" t="s">
        <v>9344</v>
      </c>
      <c r="BC53" s="62">
        <v>91</v>
      </c>
      <c r="BD53" s="62">
        <v>126.38</v>
      </c>
      <c r="BE53" s="62">
        <v>9.0500000000000007</v>
      </c>
      <c r="BF53" s="62">
        <v>3938.42</v>
      </c>
      <c r="BG53" s="62">
        <v>6689.43</v>
      </c>
      <c r="BH53" s="62">
        <v>1104.8599999999999</v>
      </c>
      <c r="BI53" s="62">
        <v>314.55</v>
      </c>
      <c r="BJ53" s="62">
        <v>168.93</v>
      </c>
      <c r="BK53" s="62">
        <v>33.700000000000003</v>
      </c>
      <c r="BL53" s="62">
        <v>3.27</v>
      </c>
      <c r="BM53" s="62" t="s">
        <v>9344</v>
      </c>
      <c r="BN53" s="62">
        <v>162.33000000000001</v>
      </c>
      <c r="BO53" s="62">
        <v>24.49</v>
      </c>
      <c r="BP53" s="62" t="s">
        <v>9344</v>
      </c>
      <c r="BQ53" s="62">
        <v>276.22000000000003</v>
      </c>
      <c r="BR53" s="62" t="s">
        <v>9344</v>
      </c>
      <c r="BS53" s="62">
        <v>248.52</v>
      </c>
      <c r="BT53" s="62">
        <v>4.2699999999999996</v>
      </c>
      <c r="BU53" s="62">
        <v>301.94</v>
      </c>
      <c r="BV53" s="62">
        <v>34.15</v>
      </c>
      <c r="BW53" s="62">
        <v>2516.79</v>
      </c>
      <c r="BX53" s="62">
        <v>1526.01</v>
      </c>
      <c r="BY53" s="62">
        <v>4.96</v>
      </c>
      <c r="BZ53" s="62">
        <v>732.14</v>
      </c>
      <c r="CA53" s="62">
        <v>531.67999999999995</v>
      </c>
      <c r="CB53" s="62">
        <v>47.76</v>
      </c>
      <c r="CC53" s="62">
        <v>477.61</v>
      </c>
      <c r="CD53" s="62">
        <v>104.31</v>
      </c>
      <c r="CE53" s="62">
        <v>4205</v>
      </c>
      <c r="CF53" s="62">
        <v>580.49</v>
      </c>
      <c r="CG53" s="62">
        <v>430.52</v>
      </c>
      <c r="CH53" s="62">
        <v>85.43</v>
      </c>
      <c r="CI53" s="62">
        <v>40.9</v>
      </c>
      <c r="CJ53" s="62">
        <v>61.71</v>
      </c>
      <c r="CK53" s="62">
        <v>41.75</v>
      </c>
      <c r="CL53" s="62">
        <v>256.43</v>
      </c>
      <c r="CM53" s="62">
        <v>2985.5</v>
      </c>
      <c r="CN53" s="62">
        <v>1941.81</v>
      </c>
      <c r="CO53" s="62">
        <v>30.06</v>
      </c>
      <c r="CP53" s="62">
        <v>27.92</v>
      </c>
      <c r="CQ53" s="62">
        <v>10.210000000000001</v>
      </c>
      <c r="CR53" s="62">
        <v>27.42</v>
      </c>
      <c r="CS53" s="62">
        <v>119.37</v>
      </c>
      <c r="CT53" s="62">
        <v>2.96</v>
      </c>
      <c r="CU53" s="62">
        <v>6513.55</v>
      </c>
      <c r="CV53" s="62">
        <v>202.89</v>
      </c>
      <c r="CW53" s="62">
        <v>807.05</v>
      </c>
      <c r="CX53" s="62">
        <v>967.2</v>
      </c>
      <c r="CY53" s="62">
        <v>481.46</v>
      </c>
      <c r="CZ53" s="62">
        <v>258.77</v>
      </c>
      <c r="DA53" s="62">
        <v>22.41</v>
      </c>
      <c r="DB53" s="62">
        <v>1351.47</v>
      </c>
      <c r="DC53" s="62">
        <v>975.24</v>
      </c>
      <c r="DD53" s="62">
        <v>5.42</v>
      </c>
      <c r="DE53" s="62" t="s">
        <v>9344</v>
      </c>
      <c r="DF53" s="62">
        <v>304.16000000000003</v>
      </c>
      <c r="DG53" s="62">
        <v>298.52999999999997</v>
      </c>
      <c r="DH53" s="62">
        <v>3.32</v>
      </c>
      <c r="DI53" s="62" t="s">
        <v>9344</v>
      </c>
      <c r="DJ53" s="62">
        <v>191.26</v>
      </c>
      <c r="DK53" s="62">
        <v>3285.99</v>
      </c>
      <c r="DL53" s="62">
        <v>431.85</v>
      </c>
      <c r="DM53" s="62">
        <v>712.07</v>
      </c>
      <c r="DN53" s="62">
        <v>971.16</v>
      </c>
      <c r="DO53" s="62">
        <v>22.24</v>
      </c>
      <c r="DP53" s="62">
        <v>2740</v>
      </c>
    </row>
    <row r="54" spans="1:120" x14ac:dyDescent="0.3">
      <c r="A54" s="62">
        <v>42491</v>
      </c>
      <c r="B54" s="62">
        <v>172.29</v>
      </c>
      <c r="C54" s="62">
        <v>12.5</v>
      </c>
      <c r="D54" s="62">
        <v>290.5</v>
      </c>
      <c r="E54" s="62">
        <v>2818.26</v>
      </c>
      <c r="F54" s="62">
        <v>7.8</v>
      </c>
      <c r="G54" s="62">
        <v>1.31</v>
      </c>
      <c r="H54" s="62">
        <v>962.95</v>
      </c>
      <c r="I54" s="62">
        <v>292.37</v>
      </c>
      <c r="J54" s="62">
        <v>110.92</v>
      </c>
      <c r="K54" s="62">
        <v>7275.54</v>
      </c>
      <c r="L54" s="62">
        <v>98.78</v>
      </c>
      <c r="M54" s="62">
        <v>79.540000000000006</v>
      </c>
      <c r="N54" s="62">
        <v>81.62</v>
      </c>
      <c r="O54" s="62">
        <v>1.26</v>
      </c>
      <c r="P54" s="62">
        <v>37.47</v>
      </c>
      <c r="Q54" s="62">
        <v>665.24</v>
      </c>
      <c r="R54" s="62">
        <v>119.27</v>
      </c>
      <c r="S54" s="62">
        <v>44.64</v>
      </c>
      <c r="T54" s="62">
        <v>184.98</v>
      </c>
      <c r="U54" s="62">
        <v>1627.25</v>
      </c>
      <c r="V54" s="62">
        <v>207.94</v>
      </c>
      <c r="W54" s="62">
        <v>468.56</v>
      </c>
      <c r="X54" s="62">
        <v>3627.71</v>
      </c>
      <c r="Y54" s="62">
        <v>45.39</v>
      </c>
      <c r="Z54" s="62">
        <v>3.32</v>
      </c>
      <c r="AA54" s="62">
        <v>596.37</v>
      </c>
      <c r="AB54" s="62">
        <v>2405.9</v>
      </c>
      <c r="AC54" s="62">
        <v>159.65</v>
      </c>
      <c r="AD54" s="62">
        <v>186.45</v>
      </c>
      <c r="AE54" s="62">
        <v>17.62</v>
      </c>
      <c r="AF54" s="62">
        <v>5142.5200000000004</v>
      </c>
      <c r="AG54" s="62">
        <v>5720.06</v>
      </c>
      <c r="AH54" s="62">
        <v>74.16</v>
      </c>
      <c r="AI54" s="62">
        <v>9307.74</v>
      </c>
      <c r="AJ54" s="62">
        <v>614.54999999999995</v>
      </c>
      <c r="AK54" s="62">
        <v>1027.6099999999999</v>
      </c>
      <c r="AL54" s="62">
        <v>15.35</v>
      </c>
      <c r="AM54" s="62">
        <v>0.87</v>
      </c>
      <c r="AN54" s="62">
        <v>2040</v>
      </c>
      <c r="AO54" s="62">
        <v>29.09</v>
      </c>
      <c r="AP54" s="62">
        <v>9.94</v>
      </c>
      <c r="AQ54" s="62">
        <v>1699.55</v>
      </c>
      <c r="AR54" s="62">
        <v>396.33</v>
      </c>
      <c r="AS54" s="62">
        <v>168.87</v>
      </c>
      <c r="AT54" s="62">
        <v>568.32000000000005</v>
      </c>
      <c r="AU54" s="62">
        <v>32.75</v>
      </c>
      <c r="AV54" s="62">
        <v>1830.37</v>
      </c>
      <c r="AW54" s="62" t="s">
        <v>9344</v>
      </c>
      <c r="AX54" s="62">
        <v>13.64</v>
      </c>
      <c r="AY54" s="62">
        <v>1876.41</v>
      </c>
      <c r="AZ54" s="62">
        <v>62.01</v>
      </c>
      <c r="BA54" s="62">
        <v>1637.98</v>
      </c>
      <c r="BB54" s="62" t="s">
        <v>9344</v>
      </c>
      <c r="BC54" s="62">
        <v>91</v>
      </c>
      <c r="BD54" s="62">
        <v>124.31</v>
      </c>
      <c r="BE54" s="62">
        <v>9.36</v>
      </c>
      <c r="BF54" s="62">
        <v>4034.82</v>
      </c>
      <c r="BG54" s="62">
        <v>6548.46</v>
      </c>
      <c r="BH54" s="62">
        <v>1106.99</v>
      </c>
      <c r="BI54" s="62">
        <v>320.10000000000002</v>
      </c>
      <c r="BJ54" s="62">
        <v>182.65</v>
      </c>
      <c r="BK54" s="62">
        <v>33.700000000000003</v>
      </c>
      <c r="BL54" s="62">
        <v>9.81</v>
      </c>
      <c r="BM54" s="62" t="s">
        <v>9344</v>
      </c>
      <c r="BN54" s="62">
        <v>163.72999999999999</v>
      </c>
      <c r="BO54" s="62">
        <v>26.5</v>
      </c>
      <c r="BP54" s="62" t="s">
        <v>9344</v>
      </c>
      <c r="BQ54" s="62">
        <v>270.86</v>
      </c>
      <c r="BR54" s="62" t="s">
        <v>9344</v>
      </c>
      <c r="BS54" s="62">
        <v>237.22</v>
      </c>
      <c r="BT54" s="62">
        <v>3.49</v>
      </c>
      <c r="BU54" s="62">
        <v>305.70999999999998</v>
      </c>
      <c r="BV54" s="62">
        <v>32.090000000000003</v>
      </c>
      <c r="BW54" s="62">
        <v>2518.15</v>
      </c>
      <c r="BX54" s="62">
        <v>1556.29</v>
      </c>
      <c r="BY54" s="62">
        <v>7.21</v>
      </c>
      <c r="BZ54" s="62">
        <v>741.12</v>
      </c>
      <c r="CA54" s="62">
        <v>520.12</v>
      </c>
      <c r="CB54" s="62">
        <v>51.58</v>
      </c>
      <c r="CC54" s="62">
        <v>522.58000000000004</v>
      </c>
      <c r="CD54" s="62">
        <v>104.31</v>
      </c>
      <c r="CE54" s="62">
        <v>4445</v>
      </c>
      <c r="CF54" s="62">
        <v>561.76</v>
      </c>
      <c r="CG54" s="62">
        <v>468.26</v>
      </c>
      <c r="CH54" s="62">
        <v>134.43</v>
      </c>
      <c r="CI54" s="62">
        <v>37.76</v>
      </c>
      <c r="CJ54" s="62">
        <v>68.05</v>
      </c>
      <c r="CK54" s="62">
        <v>51.87</v>
      </c>
      <c r="CL54" s="62">
        <v>252.58</v>
      </c>
      <c r="CM54" s="62">
        <v>3010.22</v>
      </c>
      <c r="CN54" s="62">
        <v>2101.35</v>
      </c>
      <c r="CO54" s="62">
        <v>34.35</v>
      </c>
      <c r="CP54" s="62">
        <v>27.4</v>
      </c>
      <c r="CQ54" s="62">
        <v>10.53</v>
      </c>
      <c r="CR54" s="62">
        <v>33.74</v>
      </c>
      <c r="CS54" s="62">
        <v>127.24</v>
      </c>
      <c r="CT54" s="62">
        <v>2.96</v>
      </c>
      <c r="CU54" s="62">
        <v>6751.4</v>
      </c>
      <c r="CV54" s="62">
        <v>201.99</v>
      </c>
      <c r="CW54" s="62">
        <v>808.88</v>
      </c>
      <c r="CX54" s="62">
        <v>959.34</v>
      </c>
      <c r="CY54" s="62">
        <v>519.51</v>
      </c>
      <c r="CZ54" s="62">
        <v>276.75</v>
      </c>
      <c r="DA54" s="62">
        <v>20.43</v>
      </c>
      <c r="DB54" s="62">
        <v>1244.77</v>
      </c>
      <c r="DC54" s="62">
        <v>937.73</v>
      </c>
      <c r="DD54" s="62">
        <v>5.42</v>
      </c>
      <c r="DE54" s="62" t="s">
        <v>9344</v>
      </c>
      <c r="DF54" s="62">
        <v>307.39</v>
      </c>
      <c r="DG54" s="62">
        <v>308.64999999999998</v>
      </c>
      <c r="DH54" s="62">
        <v>3.32</v>
      </c>
      <c r="DI54" s="62" t="s">
        <v>9344</v>
      </c>
      <c r="DJ54" s="62">
        <v>181.09</v>
      </c>
      <c r="DK54" s="62">
        <v>3295.95</v>
      </c>
      <c r="DL54" s="62">
        <v>469.76</v>
      </c>
      <c r="DM54" s="62">
        <v>715.52</v>
      </c>
      <c r="DN54" s="62">
        <v>943.41</v>
      </c>
      <c r="DO54" s="62">
        <v>20.85</v>
      </c>
      <c r="DP54" s="62">
        <v>3152</v>
      </c>
    </row>
    <row r="55" spans="1:120" x14ac:dyDescent="0.3">
      <c r="A55" s="62">
        <v>42522</v>
      </c>
      <c r="B55" s="62">
        <v>169.1</v>
      </c>
      <c r="C55" s="62">
        <v>8.34</v>
      </c>
      <c r="D55" s="62">
        <v>295.35000000000002</v>
      </c>
      <c r="E55" s="62">
        <v>2492.64</v>
      </c>
      <c r="F55" s="62">
        <v>8.6</v>
      </c>
      <c r="G55" s="62">
        <v>1.4</v>
      </c>
      <c r="H55" s="62">
        <v>967.01</v>
      </c>
      <c r="I55" s="62">
        <v>341.56</v>
      </c>
      <c r="J55" s="62">
        <v>110.11</v>
      </c>
      <c r="K55" s="62">
        <v>7400.56</v>
      </c>
      <c r="L55" s="62">
        <v>97.16</v>
      </c>
      <c r="M55" s="62">
        <v>76.290000000000006</v>
      </c>
      <c r="N55" s="62">
        <v>93.23</v>
      </c>
      <c r="O55" s="62">
        <v>1.26</v>
      </c>
      <c r="P55" s="62">
        <v>37.47</v>
      </c>
      <c r="Q55" s="62">
        <v>672.03</v>
      </c>
      <c r="R55" s="62">
        <v>125.23</v>
      </c>
      <c r="S55" s="62">
        <v>46.01</v>
      </c>
      <c r="T55" s="62">
        <v>191.09</v>
      </c>
      <c r="U55" s="62">
        <v>1643.28</v>
      </c>
      <c r="V55" s="62">
        <v>199.44</v>
      </c>
      <c r="W55" s="62">
        <v>498.9</v>
      </c>
      <c r="X55" s="62">
        <v>3856.68</v>
      </c>
      <c r="Y55" s="62">
        <v>45.39</v>
      </c>
      <c r="Z55" s="62">
        <v>2.0699999999999998</v>
      </c>
      <c r="AA55" s="62">
        <v>636.79999999999995</v>
      </c>
      <c r="AB55" s="62">
        <v>2470.96</v>
      </c>
      <c r="AC55" s="62">
        <v>148.81</v>
      </c>
      <c r="AD55" s="62">
        <v>166.92</v>
      </c>
      <c r="AE55" s="62">
        <v>19.82</v>
      </c>
      <c r="AF55" s="62">
        <v>6057.25</v>
      </c>
      <c r="AG55" s="62">
        <v>6114.78</v>
      </c>
      <c r="AH55" s="62">
        <v>80.94</v>
      </c>
      <c r="AI55" s="62">
        <v>9211.6200000000008</v>
      </c>
      <c r="AJ55" s="62">
        <v>608.53</v>
      </c>
      <c r="AK55" s="62">
        <v>1053.92</v>
      </c>
      <c r="AL55" s="62">
        <v>16.02</v>
      </c>
      <c r="AM55" s="62">
        <v>0.87</v>
      </c>
      <c r="AN55" s="62">
        <v>2100</v>
      </c>
      <c r="AO55" s="62">
        <v>28.1</v>
      </c>
      <c r="AP55" s="62">
        <v>9.94</v>
      </c>
      <c r="AQ55" s="62">
        <v>1710.23</v>
      </c>
      <c r="AR55" s="62">
        <v>389.5</v>
      </c>
      <c r="AS55" s="62">
        <v>161.76</v>
      </c>
      <c r="AT55" s="62">
        <v>601.47</v>
      </c>
      <c r="AU55" s="62">
        <v>37.78</v>
      </c>
      <c r="AV55" s="62">
        <v>1855.67</v>
      </c>
      <c r="AW55" s="62" t="s">
        <v>9344</v>
      </c>
      <c r="AX55" s="62">
        <v>15.34</v>
      </c>
      <c r="AY55" s="62">
        <v>1895.56</v>
      </c>
      <c r="AZ55" s="62">
        <v>64.959999999999994</v>
      </c>
      <c r="BA55" s="62">
        <v>1717.54</v>
      </c>
      <c r="BB55" s="62" t="s">
        <v>9344</v>
      </c>
      <c r="BC55" s="62">
        <v>92.13</v>
      </c>
      <c r="BD55" s="62">
        <v>125.97</v>
      </c>
      <c r="BE55" s="62">
        <v>8.74</v>
      </c>
      <c r="BF55" s="62">
        <v>4131.21</v>
      </c>
      <c r="BG55" s="62">
        <v>6843.21</v>
      </c>
      <c r="BH55" s="62">
        <v>1253.8800000000001</v>
      </c>
      <c r="BI55" s="62">
        <v>318.25</v>
      </c>
      <c r="BJ55" s="62">
        <v>200.6</v>
      </c>
      <c r="BK55" s="62">
        <v>33.18</v>
      </c>
      <c r="BL55" s="62">
        <v>10.34</v>
      </c>
      <c r="BM55" s="62" t="s">
        <v>9344</v>
      </c>
      <c r="BN55" s="62">
        <v>164.83</v>
      </c>
      <c r="BO55" s="62">
        <v>26.21</v>
      </c>
      <c r="BP55" s="62" t="s">
        <v>9344</v>
      </c>
      <c r="BQ55" s="62">
        <v>271</v>
      </c>
      <c r="BR55" s="62" t="s">
        <v>9344</v>
      </c>
      <c r="BS55" s="62">
        <v>218.4</v>
      </c>
      <c r="BT55" s="62">
        <v>4.58</v>
      </c>
      <c r="BU55" s="62">
        <v>298.17</v>
      </c>
      <c r="BV55" s="62">
        <v>30.45</v>
      </c>
      <c r="BW55" s="62">
        <v>2627.04</v>
      </c>
      <c r="BX55" s="62">
        <v>1574.46</v>
      </c>
      <c r="BY55" s="62">
        <v>9.01</v>
      </c>
      <c r="BZ55" s="62">
        <v>749.91</v>
      </c>
      <c r="CA55" s="62">
        <v>464.64</v>
      </c>
      <c r="CB55" s="62">
        <v>45.85</v>
      </c>
      <c r="CC55" s="62">
        <v>570.92999999999995</v>
      </c>
      <c r="CD55" s="62">
        <v>102.26</v>
      </c>
      <c r="CE55" s="62">
        <v>4795</v>
      </c>
      <c r="CF55" s="62">
        <v>543.03</v>
      </c>
      <c r="CG55" s="62">
        <v>462.67</v>
      </c>
      <c r="CH55" s="62">
        <v>134.43</v>
      </c>
      <c r="CI55" s="62">
        <v>40.9</v>
      </c>
      <c r="CJ55" s="62">
        <v>76.25</v>
      </c>
      <c r="CK55" s="62">
        <v>43.65</v>
      </c>
      <c r="CL55" s="62">
        <v>254.5</v>
      </c>
      <c r="CM55" s="62">
        <v>3021.31</v>
      </c>
      <c r="CN55" s="62">
        <v>1774.48</v>
      </c>
      <c r="CO55" s="62">
        <v>32.630000000000003</v>
      </c>
      <c r="CP55" s="62">
        <v>26.87</v>
      </c>
      <c r="CQ55" s="62">
        <v>9.58</v>
      </c>
      <c r="CR55" s="62">
        <v>33.04</v>
      </c>
      <c r="CS55" s="62">
        <v>131.16999999999999</v>
      </c>
      <c r="CT55" s="62">
        <v>2.96</v>
      </c>
      <c r="CU55" s="62">
        <v>6788.54</v>
      </c>
      <c r="CV55" s="62">
        <v>175.72</v>
      </c>
      <c r="CW55" s="62">
        <v>812.74</v>
      </c>
      <c r="CX55" s="62">
        <v>1034.1500000000001</v>
      </c>
      <c r="CY55" s="62">
        <v>446.34</v>
      </c>
      <c r="CZ55" s="62">
        <v>293.52</v>
      </c>
      <c r="DA55" s="62">
        <v>18.440000000000001</v>
      </c>
      <c r="DB55" s="62">
        <v>1116.74</v>
      </c>
      <c r="DC55" s="62">
        <v>784.57</v>
      </c>
      <c r="DD55" s="62">
        <v>2.04</v>
      </c>
      <c r="DE55" s="62" t="s">
        <v>9344</v>
      </c>
      <c r="DF55" s="62">
        <v>337.21</v>
      </c>
      <c r="DG55" s="62">
        <v>257.20999999999998</v>
      </c>
      <c r="DH55" s="62">
        <v>3.32</v>
      </c>
      <c r="DI55" s="62" t="s">
        <v>9344</v>
      </c>
      <c r="DJ55" s="62">
        <v>193.16</v>
      </c>
      <c r="DK55" s="62">
        <v>3385.57</v>
      </c>
      <c r="DL55" s="62">
        <v>497.87</v>
      </c>
      <c r="DM55" s="62">
        <v>796.75</v>
      </c>
      <c r="DN55" s="62">
        <v>943.41</v>
      </c>
      <c r="DO55" s="62">
        <v>25.49</v>
      </c>
      <c r="DP55" s="62">
        <v>3276</v>
      </c>
    </row>
    <row r="56" spans="1:120" x14ac:dyDescent="0.3">
      <c r="A56" s="62">
        <v>42552</v>
      </c>
      <c r="B56" s="62">
        <v>161.66</v>
      </c>
      <c r="C56" s="62">
        <v>32.979999999999997</v>
      </c>
      <c r="D56" s="62">
        <v>295.35000000000002</v>
      </c>
      <c r="E56" s="62">
        <v>2346.67</v>
      </c>
      <c r="F56" s="62">
        <v>7.48</v>
      </c>
      <c r="G56" s="62">
        <v>1.4</v>
      </c>
      <c r="H56" s="62">
        <v>937.2</v>
      </c>
      <c r="I56" s="62">
        <v>323.22000000000003</v>
      </c>
      <c r="J56" s="62">
        <v>107.68</v>
      </c>
      <c r="K56" s="62">
        <v>7918.54</v>
      </c>
      <c r="L56" s="62">
        <v>96.28</v>
      </c>
      <c r="M56" s="62">
        <v>75.959999999999994</v>
      </c>
      <c r="N56" s="62">
        <v>91.11</v>
      </c>
      <c r="O56" s="62">
        <v>1.26</v>
      </c>
      <c r="P56" s="62">
        <v>40.98</v>
      </c>
      <c r="Q56" s="62">
        <v>676.46</v>
      </c>
      <c r="R56" s="62">
        <v>92.43</v>
      </c>
      <c r="S56" s="62">
        <v>51.51</v>
      </c>
      <c r="T56" s="62">
        <v>191.09</v>
      </c>
      <c r="U56" s="62">
        <v>1703.4</v>
      </c>
      <c r="V56" s="62">
        <v>202.71</v>
      </c>
      <c r="W56" s="62">
        <v>475.93</v>
      </c>
      <c r="X56" s="62">
        <v>3777.97</v>
      </c>
      <c r="Y56" s="62">
        <v>43.33</v>
      </c>
      <c r="Z56" s="62">
        <v>2.0699999999999998</v>
      </c>
      <c r="AA56" s="62">
        <v>616.59</v>
      </c>
      <c r="AB56" s="62">
        <v>2436.16</v>
      </c>
      <c r="AC56" s="62">
        <v>130.72999999999999</v>
      </c>
      <c r="AD56" s="62">
        <v>158.47</v>
      </c>
      <c r="AE56" s="62">
        <v>19.82</v>
      </c>
      <c r="AF56" s="62">
        <v>5752.7</v>
      </c>
      <c r="AG56" s="62">
        <v>5997.05</v>
      </c>
      <c r="AH56" s="62">
        <v>83.56</v>
      </c>
      <c r="AI56" s="62">
        <v>8750.75</v>
      </c>
      <c r="AJ56" s="62">
        <v>596.88</v>
      </c>
      <c r="AK56" s="62">
        <v>1007.49</v>
      </c>
      <c r="AL56" s="62">
        <v>15.35</v>
      </c>
      <c r="AM56" s="62">
        <v>0.87</v>
      </c>
      <c r="AN56" s="62">
        <v>2170</v>
      </c>
      <c r="AO56" s="62">
        <v>28.6</v>
      </c>
      <c r="AP56" s="62">
        <v>12.81</v>
      </c>
      <c r="AQ56" s="62">
        <v>1671.94</v>
      </c>
      <c r="AR56" s="62">
        <v>354.79</v>
      </c>
      <c r="AS56" s="62">
        <v>158.80000000000001</v>
      </c>
      <c r="AT56" s="62">
        <v>568.32000000000005</v>
      </c>
      <c r="AU56" s="62">
        <v>32.75</v>
      </c>
      <c r="AV56" s="62">
        <v>1827.56</v>
      </c>
      <c r="AW56" s="62" t="s">
        <v>9344</v>
      </c>
      <c r="AX56" s="62">
        <v>15.34</v>
      </c>
      <c r="AY56" s="62">
        <v>1922.9</v>
      </c>
      <c r="AZ56" s="62">
        <v>81.2</v>
      </c>
      <c r="BA56" s="62">
        <v>1683.68</v>
      </c>
      <c r="BB56" s="62">
        <v>93.85</v>
      </c>
      <c r="BC56" s="62">
        <v>90.7</v>
      </c>
      <c r="BD56" s="62">
        <v>126.79</v>
      </c>
      <c r="BE56" s="62">
        <v>9.36</v>
      </c>
      <c r="BF56" s="62">
        <v>4117.4399999999996</v>
      </c>
      <c r="BG56" s="62">
        <v>6689.43</v>
      </c>
      <c r="BH56" s="62">
        <v>1181.5</v>
      </c>
      <c r="BI56" s="62">
        <v>336.75</v>
      </c>
      <c r="BJ56" s="62">
        <v>190.04</v>
      </c>
      <c r="BK56" s="62">
        <v>35.25</v>
      </c>
      <c r="BL56" s="62">
        <v>12.06</v>
      </c>
      <c r="BM56" s="62" t="s">
        <v>9344</v>
      </c>
      <c r="BN56" s="62">
        <v>163.15</v>
      </c>
      <c r="BO56" s="62">
        <v>26.5</v>
      </c>
      <c r="BP56" s="62">
        <v>143.09</v>
      </c>
      <c r="BQ56" s="62">
        <v>271</v>
      </c>
      <c r="BR56" s="62" t="s">
        <v>9344</v>
      </c>
      <c r="BS56" s="62">
        <v>207.1</v>
      </c>
      <c r="BT56" s="62">
        <v>4.8899999999999997</v>
      </c>
      <c r="BU56" s="62">
        <v>313.26</v>
      </c>
      <c r="BV56" s="62">
        <v>29.25</v>
      </c>
      <c r="BW56" s="62">
        <v>2695.1</v>
      </c>
      <c r="BX56" s="62">
        <v>1501.79</v>
      </c>
      <c r="BY56" s="62">
        <v>8.11</v>
      </c>
      <c r="BZ56" s="62">
        <v>729.64</v>
      </c>
      <c r="CA56" s="62">
        <v>471.58</v>
      </c>
      <c r="CB56" s="62">
        <v>43.94</v>
      </c>
      <c r="CC56" s="62">
        <v>553.45000000000005</v>
      </c>
      <c r="CD56" s="62">
        <v>98.17</v>
      </c>
      <c r="CE56" s="62">
        <v>4625</v>
      </c>
      <c r="CF56" s="62">
        <v>520.55999999999995</v>
      </c>
      <c r="CG56" s="62">
        <v>416.54</v>
      </c>
      <c r="CH56" s="62">
        <v>141.88999999999999</v>
      </c>
      <c r="CI56" s="62">
        <v>37.76</v>
      </c>
      <c r="CJ56" s="62">
        <v>77.92</v>
      </c>
      <c r="CK56" s="62">
        <v>41.12</v>
      </c>
      <c r="CL56" s="62">
        <v>241.01</v>
      </c>
      <c r="CM56" s="62">
        <v>3048.42</v>
      </c>
      <c r="CN56" s="62">
        <v>1867.87</v>
      </c>
      <c r="CO56" s="62">
        <v>30.92</v>
      </c>
      <c r="CP56" s="62">
        <v>30.56</v>
      </c>
      <c r="CQ56" s="62">
        <v>9.74</v>
      </c>
      <c r="CR56" s="62">
        <v>33.04</v>
      </c>
      <c r="CS56" s="62">
        <v>120.68</v>
      </c>
      <c r="CT56" s="62">
        <v>2.96</v>
      </c>
      <c r="CU56" s="62">
        <v>6468.32</v>
      </c>
      <c r="CV56" s="62">
        <v>168.48</v>
      </c>
      <c r="CW56" s="62">
        <v>854.65</v>
      </c>
      <c r="CX56" s="62">
        <v>985.74</v>
      </c>
      <c r="CY56" s="62">
        <v>468.29</v>
      </c>
      <c r="CZ56" s="62">
        <v>306.36</v>
      </c>
      <c r="DA56" s="62">
        <v>11.91</v>
      </c>
      <c r="DB56" s="62">
        <v>1302.32</v>
      </c>
      <c r="DC56" s="62">
        <v>759.56</v>
      </c>
      <c r="DD56" s="62">
        <v>0.57999999999999996</v>
      </c>
      <c r="DE56" s="62" t="s">
        <v>9344</v>
      </c>
      <c r="DF56" s="62">
        <v>305.44</v>
      </c>
      <c r="DG56" s="62">
        <v>231.07</v>
      </c>
      <c r="DH56" s="62">
        <v>4.43</v>
      </c>
      <c r="DI56" s="62" t="s">
        <v>9344</v>
      </c>
      <c r="DJ56" s="62">
        <v>184.27</v>
      </c>
      <c r="DK56" s="62">
        <v>3236.2</v>
      </c>
      <c r="DL56" s="62">
        <v>469.76</v>
      </c>
      <c r="DM56" s="62">
        <v>926.13</v>
      </c>
      <c r="DN56" s="62">
        <v>978.1</v>
      </c>
      <c r="DO56" s="62">
        <v>23.17</v>
      </c>
      <c r="DP56" s="62">
        <v>3220</v>
      </c>
    </row>
    <row r="57" spans="1:120" x14ac:dyDescent="0.3">
      <c r="A57" s="62">
        <v>42583</v>
      </c>
      <c r="B57" s="62">
        <v>174.42</v>
      </c>
      <c r="C57" s="62">
        <v>32.979999999999997</v>
      </c>
      <c r="D57" s="62">
        <v>302.13</v>
      </c>
      <c r="E57" s="62">
        <v>2537.5500000000002</v>
      </c>
      <c r="F57" s="62">
        <v>7.96</v>
      </c>
      <c r="G57" s="62">
        <v>1.4</v>
      </c>
      <c r="H57" s="62">
        <v>933.13</v>
      </c>
      <c r="I57" s="62">
        <v>328.79</v>
      </c>
      <c r="J57" s="62">
        <v>106.87</v>
      </c>
      <c r="K57" s="62">
        <v>8728.26</v>
      </c>
      <c r="L57" s="62">
        <v>98.03</v>
      </c>
      <c r="M57" s="62">
        <v>76.290000000000006</v>
      </c>
      <c r="N57" s="62">
        <v>92.52</v>
      </c>
      <c r="O57" s="62">
        <v>1.26</v>
      </c>
      <c r="P57" s="62">
        <v>64.239999999999995</v>
      </c>
      <c r="Q57" s="62">
        <v>713.55</v>
      </c>
      <c r="R57" s="62">
        <v>95.41</v>
      </c>
      <c r="S57" s="62">
        <v>65.25</v>
      </c>
      <c r="T57" s="62">
        <v>185.55</v>
      </c>
      <c r="U57" s="62">
        <v>1799.59</v>
      </c>
      <c r="V57" s="62">
        <v>207.61</v>
      </c>
      <c r="W57" s="62">
        <v>461.93</v>
      </c>
      <c r="X57" s="62">
        <v>3835.22</v>
      </c>
      <c r="Y57" s="62">
        <v>33.01</v>
      </c>
      <c r="Z57" s="62">
        <v>2.0699999999999998</v>
      </c>
      <c r="AA57" s="62">
        <v>616.59</v>
      </c>
      <c r="AB57" s="62">
        <v>2489.12</v>
      </c>
      <c r="AC57" s="62">
        <v>125.31</v>
      </c>
      <c r="AD57" s="62">
        <v>163.81</v>
      </c>
      <c r="AE57" s="62">
        <v>20.260000000000002</v>
      </c>
      <c r="AF57" s="62">
        <v>5998.66</v>
      </c>
      <c r="AG57" s="62">
        <v>6620.3</v>
      </c>
      <c r="AH57" s="62">
        <v>83.56</v>
      </c>
      <c r="AI57" s="62">
        <v>9279.65</v>
      </c>
      <c r="AJ57" s="62">
        <v>638.83000000000004</v>
      </c>
      <c r="AK57" s="62">
        <v>1036.9000000000001</v>
      </c>
      <c r="AL57" s="62">
        <v>14.02</v>
      </c>
      <c r="AM57" s="62">
        <v>0.87</v>
      </c>
      <c r="AN57" s="62">
        <v>2250</v>
      </c>
      <c r="AO57" s="62">
        <v>33.81</v>
      </c>
      <c r="AP57" s="62">
        <v>14.04</v>
      </c>
      <c r="AQ57" s="62">
        <v>1697.47</v>
      </c>
      <c r="AR57" s="62">
        <v>378.26</v>
      </c>
      <c r="AS57" s="62">
        <v>157.02000000000001</v>
      </c>
      <c r="AT57" s="62">
        <v>639.36</v>
      </c>
      <c r="AU57" s="62">
        <v>35.770000000000003</v>
      </c>
      <c r="AV57" s="62">
        <v>1911.91</v>
      </c>
      <c r="AW57" s="62">
        <v>431.92</v>
      </c>
      <c r="AX57" s="62">
        <v>15.34</v>
      </c>
      <c r="AY57" s="62">
        <v>2006.5</v>
      </c>
      <c r="AZ57" s="62">
        <v>76.77</v>
      </c>
      <c r="BA57" s="62">
        <v>1751.15</v>
      </c>
      <c r="BB57" s="62">
        <v>105.58</v>
      </c>
      <c r="BC57" s="62">
        <v>90.7</v>
      </c>
      <c r="BD57" s="62">
        <v>136.29</v>
      </c>
      <c r="BE57" s="62">
        <v>12.48</v>
      </c>
      <c r="BF57" s="62">
        <v>4324.8999999999996</v>
      </c>
      <c r="BG57" s="62">
        <v>7330.18</v>
      </c>
      <c r="BH57" s="62">
        <v>1198.53</v>
      </c>
      <c r="BI57" s="62">
        <v>351.56</v>
      </c>
      <c r="BJ57" s="62">
        <v>190.04</v>
      </c>
      <c r="BK57" s="62">
        <v>43.03</v>
      </c>
      <c r="BL57" s="62">
        <v>10.34</v>
      </c>
      <c r="BM57" s="62" t="s">
        <v>9344</v>
      </c>
      <c r="BN57" s="62">
        <v>158.1</v>
      </c>
      <c r="BO57" s="62">
        <v>24.2</v>
      </c>
      <c r="BP57" s="62">
        <v>168.57</v>
      </c>
      <c r="BQ57" s="62">
        <v>276.36</v>
      </c>
      <c r="BR57" s="62" t="s">
        <v>9344</v>
      </c>
      <c r="BS57" s="62">
        <v>206.14</v>
      </c>
      <c r="BT57" s="62">
        <v>4.5</v>
      </c>
      <c r="BU57" s="62">
        <v>354.78</v>
      </c>
      <c r="BV57" s="62">
        <v>27.42</v>
      </c>
      <c r="BW57" s="62">
        <v>2640.65</v>
      </c>
      <c r="BX57" s="62">
        <v>1519.96</v>
      </c>
      <c r="BY57" s="62">
        <v>9.01</v>
      </c>
      <c r="BZ57" s="62">
        <v>729.64</v>
      </c>
      <c r="CA57" s="62">
        <v>582.54</v>
      </c>
      <c r="CB57" s="62">
        <v>42.98</v>
      </c>
      <c r="CC57" s="62">
        <v>565.79</v>
      </c>
      <c r="CD57" s="62">
        <v>96.13</v>
      </c>
      <c r="CE57" s="62">
        <v>4740</v>
      </c>
      <c r="CF57" s="62">
        <v>526.17999999999995</v>
      </c>
      <c r="CG57" s="62">
        <v>457.08</v>
      </c>
      <c r="CH57" s="62">
        <v>144.13</v>
      </c>
      <c r="CI57" s="62">
        <v>34.61</v>
      </c>
      <c r="CJ57" s="62">
        <v>73.73</v>
      </c>
      <c r="CK57" s="62">
        <v>41.75</v>
      </c>
      <c r="CL57" s="62">
        <v>252.58</v>
      </c>
      <c r="CM57" s="62">
        <v>3324.35</v>
      </c>
      <c r="CN57" s="62">
        <v>1945.7</v>
      </c>
      <c r="CO57" s="62">
        <v>38.64</v>
      </c>
      <c r="CP57" s="62">
        <v>32.14</v>
      </c>
      <c r="CQ57" s="62">
        <v>9.27</v>
      </c>
      <c r="CR57" s="62">
        <v>30.93</v>
      </c>
      <c r="CS57" s="62">
        <v>131.16999999999999</v>
      </c>
      <c r="CT57" s="62">
        <v>2.96</v>
      </c>
      <c r="CU57" s="62">
        <v>7172.79</v>
      </c>
      <c r="CV57" s="62">
        <v>187.5</v>
      </c>
      <c r="CW57" s="62">
        <v>728.91</v>
      </c>
      <c r="CX57" s="62">
        <v>1041.24</v>
      </c>
      <c r="CY57" s="62">
        <v>504.88</v>
      </c>
      <c r="CZ57" s="62">
        <v>355.38</v>
      </c>
      <c r="DA57" s="62">
        <v>11.91</v>
      </c>
      <c r="DB57" s="62">
        <v>1424</v>
      </c>
      <c r="DC57" s="62">
        <v>787.69</v>
      </c>
      <c r="DD57" s="62">
        <v>0.57999999999999996</v>
      </c>
      <c r="DE57" s="62" t="s">
        <v>9344</v>
      </c>
      <c r="DF57" s="62">
        <v>340.15</v>
      </c>
      <c r="DG57" s="62">
        <v>229.38</v>
      </c>
      <c r="DH57" s="62">
        <v>4.8499999999999996</v>
      </c>
      <c r="DI57" s="62" t="s">
        <v>9344</v>
      </c>
      <c r="DJ57" s="62">
        <v>195.07</v>
      </c>
      <c r="DK57" s="62">
        <v>3485.14</v>
      </c>
      <c r="DL57" s="62">
        <v>505.9</v>
      </c>
      <c r="DM57" s="62">
        <v>945.16</v>
      </c>
      <c r="DN57" s="62">
        <v>985.03</v>
      </c>
      <c r="DO57" s="62">
        <v>22.01</v>
      </c>
      <c r="DP57" s="62">
        <v>3432</v>
      </c>
    </row>
    <row r="58" spans="1:120" x14ac:dyDescent="0.3">
      <c r="A58" s="62">
        <v>42614</v>
      </c>
      <c r="B58" s="62">
        <v>178.16</v>
      </c>
      <c r="C58" s="62">
        <v>29.31</v>
      </c>
      <c r="D58" s="62">
        <v>291.47000000000003</v>
      </c>
      <c r="E58" s="62">
        <v>2537.5500000000002</v>
      </c>
      <c r="F58" s="62">
        <v>9.32</v>
      </c>
      <c r="G58" s="62">
        <v>1.66</v>
      </c>
      <c r="H58" s="62">
        <v>937.2</v>
      </c>
      <c r="I58" s="62">
        <v>331.58</v>
      </c>
      <c r="J58" s="62">
        <v>103.63</v>
      </c>
      <c r="K58" s="62">
        <v>9109.2999999999993</v>
      </c>
      <c r="L58" s="62">
        <v>94.53</v>
      </c>
      <c r="M58" s="62">
        <v>75.959999999999994</v>
      </c>
      <c r="N58" s="62">
        <v>93.8</v>
      </c>
      <c r="O58" s="62">
        <v>1.26</v>
      </c>
      <c r="P58" s="62">
        <v>59.81</v>
      </c>
      <c r="Q58" s="62">
        <v>835.29</v>
      </c>
      <c r="R58" s="62">
        <v>103.17</v>
      </c>
      <c r="S58" s="62">
        <v>59.06</v>
      </c>
      <c r="T58" s="62">
        <v>213.25</v>
      </c>
      <c r="U58" s="62">
        <v>1663.32</v>
      </c>
      <c r="V58" s="62">
        <v>225.59</v>
      </c>
      <c r="W58" s="62">
        <v>397.94</v>
      </c>
      <c r="X58" s="62">
        <v>3720.73</v>
      </c>
      <c r="Y58" s="62">
        <v>37.14</v>
      </c>
      <c r="Z58" s="62">
        <v>4.1500000000000004</v>
      </c>
      <c r="AA58" s="62">
        <v>615.58000000000004</v>
      </c>
      <c r="AB58" s="62">
        <v>2711.55</v>
      </c>
      <c r="AC58" s="62">
        <v>139.77000000000001</v>
      </c>
      <c r="AD58" s="62">
        <v>167.37</v>
      </c>
      <c r="AE58" s="62">
        <v>22.02</v>
      </c>
      <c r="AF58" s="62">
        <v>5581.38</v>
      </c>
      <c r="AG58" s="62">
        <v>7382.06</v>
      </c>
      <c r="AH58" s="62">
        <v>85.64</v>
      </c>
      <c r="AI58" s="62">
        <v>9199.51</v>
      </c>
      <c r="AJ58" s="62">
        <v>656.78</v>
      </c>
      <c r="AK58" s="62">
        <v>1052.3699999999999</v>
      </c>
      <c r="AL58" s="62">
        <v>15.22</v>
      </c>
      <c r="AM58" s="62">
        <v>1.03</v>
      </c>
      <c r="AN58" s="62">
        <v>2210</v>
      </c>
      <c r="AO58" s="62">
        <v>30.29</v>
      </c>
      <c r="AP58" s="62">
        <v>13.83</v>
      </c>
      <c r="AQ58" s="62">
        <v>1748.52</v>
      </c>
      <c r="AR58" s="62">
        <v>378.26</v>
      </c>
      <c r="AS58" s="62">
        <v>167.69</v>
      </c>
      <c r="AT58" s="62">
        <v>705.67</v>
      </c>
      <c r="AU58" s="62">
        <v>36.159999999999997</v>
      </c>
      <c r="AV58" s="62">
        <v>1883.79</v>
      </c>
      <c r="AW58" s="62">
        <v>424.07</v>
      </c>
      <c r="AX58" s="62">
        <v>18.84</v>
      </c>
      <c r="AY58" s="62">
        <v>2032.23</v>
      </c>
      <c r="AZ58" s="62">
        <v>69.39</v>
      </c>
      <c r="BA58" s="62">
        <v>1735.04</v>
      </c>
      <c r="BB58" s="62">
        <v>108.51</v>
      </c>
      <c r="BC58" s="62">
        <v>91.82</v>
      </c>
      <c r="BD58" s="62">
        <v>140.41999999999999</v>
      </c>
      <c r="BE58" s="62">
        <v>9.36</v>
      </c>
      <c r="BF58" s="62">
        <v>4407.54</v>
      </c>
      <c r="BG58" s="62">
        <v>7304.55</v>
      </c>
      <c r="BH58" s="62">
        <v>1307.0999999999999</v>
      </c>
      <c r="BI58" s="62">
        <v>373.76</v>
      </c>
      <c r="BJ58" s="62">
        <v>226.78</v>
      </c>
      <c r="BK58" s="62">
        <v>40.44</v>
      </c>
      <c r="BL58" s="62">
        <v>12.46</v>
      </c>
      <c r="BM58" s="62" t="s">
        <v>9344</v>
      </c>
      <c r="BN58" s="62">
        <v>179.96</v>
      </c>
      <c r="BO58" s="62">
        <v>23.62</v>
      </c>
      <c r="BP58" s="62">
        <v>156.81</v>
      </c>
      <c r="BQ58" s="62">
        <v>273.68</v>
      </c>
      <c r="BR58" s="62" t="s">
        <v>9344</v>
      </c>
      <c r="BS58" s="62">
        <v>198.5</v>
      </c>
      <c r="BT58" s="62">
        <v>4.2699999999999996</v>
      </c>
      <c r="BU58" s="62">
        <v>400.07</v>
      </c>
      <c r="BV58" s="62">
        <v>22.85</v>
      </c>
      <c r="BW58" s="62">
        <v>2695.1</v>
      </c>
      <c r="BX58" s="62">
        <v>1574.46</v>
      </c>
      <c r="BY58" s="62">
        <v>13.97</v>
      </c>
      <c r="BZ58" s="62">
        <v>752.16</v>
      </c>
      <c r="CA58" s="62">
        <v>594.13</v>
      </c>
      <c r="CB58" s="62">
        <v>39.159999999999997</v>
      </c>
      <c r="CC58" s="62">
        <v>569.91</v>
      </c>
      <c r="CD58" s="62">
        <v>106.35</v>
      </c>
      <c r="CE58" s="62">
        <v>4815</v>
      </c>
      <c r="CF58" s="62">
        <v>547.72</v>
      </c>
      <c r="CG58" s="62">
        <v>448.69</v>
      </c>
      <c r="CH58" s="62">
        <v>144.88</v>
      </c>
      <c r="CI58" s="62">
        <v>37.76</v>
      </c>
      <c r="CJ58" s="62">
        <v>73.73</v>
      </c>
      <c r="CK58" s="62">
        <v>41.12</v>
      </c>
      <c r="CL58" s="62">
        <v>269.93</v>
      </c>
      <c r="CM58" s="62">
        <v>3219.23</v>
      </c>
      <c r="CN58" s="62">
        <v>1922.35</v>
      </c>
      <c r="CO58" s="62">
        <v>32.630000000000003</v>
      </c>
      <c r="CP58" s="62">
        <v>35.83</v>
      </c>
      <c r="CQ58" s="62">
        <v>9.11</v>
      </c>
      <c r="CR58" s="62">
        <v>33.18</v>
      </c>
      <c r="CS58" s="62">
        <v>127.24</v>
      </c>
      <c r="CT58" s="62">
        <v>2.96</v>
      </c>
      <c r="CU58" s="62">
        <v>6989.81</v>
      </c>
      <c r="CV58" s="62">
        <v>201.08</v>
      </c>
      <c r="CW58" s="62">
        <v>754.42</v>
      </c>
      <c r="CX58" s="62">
        <v>1208.54</v>
      </c>
      <c r="CY58" s="62">
        <v>545.85</v>
      </c>
      <c r="CZ58" s="62">
        <v>382.33</v>
      </c>
      <c r="DA58" s="62">
        <v>11.35</v>
      </c>
      <c r="DB58" s="62">
        <v>1378.11</v>
      </c>
      <c r="DC58" s="62">
        <v>722.05</v>
      </c>
      <c r="DD58" s="62">
        <v>0.46</v>
      </c>
      <c r="DE58" s="62" t="s">
        <v>9344</v>
      </c>
      <c r="DF58" s="62">
        <v>367.92</v>
      </c>
      <c r="DG58" s="62">
        <v>226.01</v>
      </c>
      <c r="DH58" s="62">
        <v>3.64</v>
      </c>
      <c r="DI58" s="62" t="s">
        <v>9344</v>
      </c>
      <c r="DJ58" s="62">
        <v>195.33</v>
      </c>
      <c r="DK58" s="62">
        <v>3454.94</v>
      </c>
      <c r="DL58" s="62">
        <v>513.92999999999995</v>
      </c>
      <c r="DM58" s="62">
        <v>975</v>
      </c>
      <c r="DN58" s="62">
        <v>981.57</v>
      </c>
      <c r="DO58" s="62">
        <v>27.8</v>
      </c>
      <c r="DP58" s="62">
        <v>3376</v>
      </c>
    </row>
    <row r="59" spans="1:120" x14ac:dyDescent="0.3">
      <c r="A59" s="62">
        <v>42644</v>
      </c>
      <c r="B59" s="62">
        <v>186.75</v>
      </c>
      <c r="C59" s="62">
        <v>29.31</v>
      </c>
      <c r="D59" s="62">
        <v>302.13</v>
      </c>
      <c r="E59" s="62">
        <v>2043.52</v>
      </c>
      <c r="F59" s="62">
        <v>8.83</v>
      </c>
      <c r="G59" s="62">
        <v>1.1399999999999999</v>
      </c>
      <c r="H59" s="62">
        <v>911.83</v>
      </c>
      <c r="I59" s="62">
        <v>391.08</v>
      </c>
      <c r="J59" s="62">
        <v>111.73</v>
      </c>
      <c r="K59" s="62">
        <v>8752.07</v>
      </c>
      <c r="L59" s="62">
        <v>91.91</v>
      </c>
      <c r="M59" s="62">
        <v>77.91</v>
      </c>
      <c r="N59" s="62">
        <v>94.6</v>
      </c>
      <c r="O59" s="62">
        <v>1.26</v>
      </c>
      <c r="P59" s="62">
        <v>55.38</v>
      </c>
      <c r="Q59" s="62">
        <v>822.4</v>
      </c>
      <c r="R59" s="62">
        <v>98.4</v>
      </c>
      <c r="S59" s="62">
        <v>57</v>
      </c>
      <c r="T59" s="62">
        <v>202.17</v>
      </c>
      <c r="U59" s="62">
        <v>1569.13</v>
      </c>
      <c r="V59" s="62">
        <v>241.94</v>
      </c>
      <c r="W59" s="62">
        <v>449.13</v>
      </c>
      <c r="X59" s="62">
        <v>3599.09</v>
      </c>
      <c r="Y59" s="62">
        <v>37.14</v>
      </c>
      <c r="Z59" s="62">
        <v>5.39</v>
      </c>
      <c r="AA59" s="62">
        <v>620.63</v>
      </c>
      <c r="AB59" s="62">
        <v>2881.81</v>
      </c>
      <c r="AC59" s="62">
        <v>102.42</v>
      </c>
      <c r="AD59" s="62">
        <v>181.61</v>
      </c>
      <c r="AE59" s="62">
        <v>22.02</v>
      </c>
      <c r="AF59" s="62">
        <v>5694.69</v>
      </c>
      <c r="AG59" s="62">
        <v>7326.66</v>
      </c>
      <c r="AH59" s="62">
        <v>83.56</v>
      </c>
      <c r="AI59" s="62">
        <v>9544.2199999999993</v>
      </c>
      <c r="AJ59" s="62">
        <v>705.1</v>
      </c>
      <c r="AK59" s="62">
        <v>1013.3</v>
      </c>
      <c r="AL59" s="62">
        <v>13.08</v>
      </c>
      <c r="AM59" s="62">
        <v>1.1399999999999999</v>
      </c>
      <c r="AN59" s="62">
        <v>2120</v>
      </c>
      <c r="AO59" s="62">
        <v>28.88</v>
      </c>
      <c r="AP59" s="62">
        <v>15</v>
      </c>
      <c r="AQ59" s="62">
        <v>1671.94</v>
      </c>
      <c r="AR59" s="62">
        <v>372.74</v>
      </c>
      <c r="AS59" s="62">
        <v>181.93</v>
      </c>
      <c r="AT59" s="62">
        <v>710.4</v>
      </c>
      <c r="AU59" s="62">
        <v>37.28</v>
      </c>
      <c r="AV59" s="62">
        <v>1819.12</v>
      </c>
      <c r="AW59" s="62">
        <v>413.6</v>
      </c>
      <c r="AX59" s="62">
        <v>18.78</v>
      </c>
      <c r="AY59" s="62">
        <v>1948.62</v>
      </c>
      <c r="AZ59" s="62">
        <v>76.77</v>
      </c>
      <c r="BA59" s="62">
        <v>1792.43</v>
      </c>
      <c r="BB59" s="62">
        <v>108.51</v>
      </c>
      <c r="BC59" s="62">
        <v>92.67</v>
      </c>
      <c r="BD59" s="62">
        <v>152.81</v>
      </c>
      <c r="BE59" s="62">
        <v>6.24</v>
      </c>
      <c r="BF59" s="62">
        <v>4214.71</v>
      </c>
      <c r="BG59" s="62">
        <v>6868.84</v>
      </c>
      <c r="BH59" s="62">
        <v>1332.65</v>
      </c>
      <c r="BI59" s="62">
        <v>410.77</v>
      </c>
      <c r="BJ59" s="62">
        <v>223.61</v>
      </c>
      <c r="BK59" s="62">
        <v>47.14</v>
      </c>
      <c r="BL59" s="62">
        <v>14.54</v>
      </c>
      <c r="BM59" s="62" t="s">
        <v>9344</v>
      </c>
      <c r="BN59" s="62">
        <v>175.37</v>
      </c>
      <c r="BO59" s="62">
        <v>19.59</v>
      </c>
      <c r="BP59" s="62">
        <v>143.09</v>
      </c>
      <c r="BQ59" s="62">
        <v>281.73</v>
      </c>
      <c r="BR59" s="62" t="s">
        <v>9344</v>
      </c>
      <c r="BS59" s="62">
        <v>179.42</v>
      </c>
      <c r="BT59" s="62">
        <v>3.1</v>
      </c>
      <c r="BU59" s="62">
        <v>392.52</v>
      </c>
      <c r="BV59" s="62">
        <v>29.25</v>
      </c>
      <c r="BW59" s="62">
        <v>2678.77</v>
      </c>
      <c r="BX59" s="62">
        <v>1568.4</v>
      </c>
      <c r="BY59" s="62">
        <v>14.42</v>
      </c>
      <c r="BZ59" s="62">
        <v>742.48</v>
      </c>
      <c r="CA59" s="62">
        <v>591.82000000000005</v>
      </c>
      <c r="CB59" s="62">
        <v>40.119999999999997</v>
      </c>
      <c r="CC59" s="62">
        <v>590.48</v>
      </c>
      <c r="CD59" s="62">
        <v>85.9</v>
      </c>
      <c r="CE59" s="62">
        <v>4790</v>
      </c>
      <c r="CF59" s="62">
        <v>597.34</v>
      </c>
      <c r="CG59" s="62">
        <v>447.29</v>
      </c>
      <c r="CH59" s="62">
        <v>158.32</v>
      </c>
      <c r="CI59" s="62">
        <v>45.14</v>
      </c>
      <c r="CJ59" s="62">
        <v>78.56</v>
      </c>
      <c r="CK59" s="62">
        <v>33.53</v>
      </c>
      <c r="CL59" s="62">
        <v>262.22000000000003</v>
      </c>
      <c r="CM59" s="62">
        <v>3055.96</v>
      </c>
      <c r="CN59" s="62">
        <v>1922.35</v>
      </c>
      <c r="CO59" s="62">
        <v>30.06</v>
      </c>
      <c r="CP59" s="62">
        <v>38.46</v>
      </c>
      <c r="CQ59" s="62">
        <v>8.64</v>
      </c>
      <c r="CR59" s="62">
        <v>31.63</v>
      </c>
      <c r="CS59" s="62">
        <v>150.85</v>
      </c>
      <c r="CT59" s="62">
        <v>2.96</v>
      </c>
      <c r="CU59" s="62">
        <v>6639.27</v>
      </c>
      <c r="CV59" s="62">
        <v>202.89</v>
      </c>
      <c r="CW59" s="62">
        <v>717.98</v>
      </c>
      <c r="CX59" s="62">
        <v>1175.0999999999999</v>
      </c>
      <c r="CY59" s="62">
        <v>583.25</v>
      </c>
      <c r="CZ59" s="62">
        <v>404.39</v>
      </c>
      <c r="DA59" s="62">
        <v>12.2</v>
      </c>
      <c r="DB59" s="62">
        <v>1342.4</v>
      </c>
      <c r="DC59" s="62">
        <v>768.94</v>
      </c>
      <c r="DD59" s="62">
        <v>0.46</v>
      </c>
      <c r="DE59" s="62" t="s">
        <v>9344</v>
      </c>
      <c r="DF59" s="62">
        <v>380.65</v>
      </c>
      <c r="DG59" s="62">
        <v>156.01</v>
      </c>
      <c r="DH59" s="62">
        <v>3.64</v>
      </c>
      <c r="DI59" s="62" t="s">
        <v>9344</v>
      </c>
      <c r="DJ59" s="62">
        <v>193.41</v>
      </c>
      <c r="DK59" s="62">
        <v>3290</v>
      </c>
      <c r="DL59" s="62">
        <v>521.96</v>
      </c>
      <c r="DM59" s="62">
        <v>957.16</v>
      </c>
      <c r="DN59" s="62">
        <v>1019.72</v>
      </c>
      <c r="DO59" s="62">
        <v>34.520000000000003</v>
      </c>
      <c r="DP59" s="62">
        <v>3336</v>
      </c>
    </row>
    <row r="60" spans="1:120" x14ac:dyDescent="0.3">
      <c r="A60" s="62">
        <v>42675</v>
      </c>
      <c r="B60" s="62">
        <v>171.72</v>
      </c>
      <c r="C60" s="62">
        <v>18.32</v>
      </c>
      <c r="D60" s="62">
        <v>297.27999999999997</v>
      </c>
      <c r="E60" s="62">
        <v>2155.8000000000002</v>
      </c>
      <c r="F60" s="62">
        <v>8.83</v>
      </c>
      <c r="G60" s="62">
        <v>1.1399999999999999</v>
      </c>
      <c r="H60" s="62">
        <v>858.67</v>
      </c>
      <c r="I60" s="62">
        <v>381.06</v>
      </c>
      <c r="J60" s="62">
        <v>111.73</v>
      </c>
      <c r="K60" s="62">
        <v>7907.43</v>
      </c>
      <c r="L60" s="62">
        <v>89.28</v>
      </c>
      <c r="M60" s="62">
        <v>78.56</v>
      </c>
      <c r="N60" s="62">
        <v>91.69</v>
      </c>
      <c r="O60" s="62">
        <v>1.26</v>
      </c>
      <c r="P60" s="62">
        <v>49.84</v>
      </c>
      <c r="Q60" s="62">
        <v>818.67</v>
      </c>
      <c r="R60" s="62">
        <v>91.84</v>
      </c>
      <c r="S60" s="62">
        <v>53.57</v>
      </c>
      <c r="T60" s="62">
        <v>199.4</v>
      </c>
      <c r="U60" s="62">
        <v>1485.51</v>
      </c>
      <c r="V60" s="62">
        <v>235.4</v>
      </c>
      <c r="W60" s="62">
        <v>396.09</v>
      </c>
      <c r="X60" s="62">
        <v>3420.21</v>
      </c>
      <c r="Y60" s="62">
        <v>37.14</v>
      </c>
      <c r="Z60" s="62">
        <v>8.2899999999999991</v>
      </c>
      <c r="AA60" s="62">
        <v>601.42999999999995</v>
      </c>
      <c r="AB60" s="62">
        <v>2585.58</v>
      </c>
      <c r="AC60" s="62">
        <v>109.04</v>
      </c>
      <c r="AD60" s="62">
        <v>179.83</v>
      </c>
      <c r="AE60" s="62">
        <v>22.02</v>
      </c>
      <c r="AF60" s="62">
        <v>4964.6499999999996</v>
      </c>
      <c r="AG60" s="62">
        <v>7196.63</v>
      </c>
      <c r="AH60" s="62">
        <v>83.56</v>
      </c>
      <c r="AI60" s="62">
        <v>9431.93</v>
      </c>
      <c r="AJ60" s="62">
        <v>709.72</v>
      </c>
      <c r="AK60" s="62">
        <v>986.96</v>
      </c>
      <c r="AL60" s="62">
        <v>13.35</v>
      </c>
      <c r="AM60" s="62">
        <v>1.1399999999999999</v>
      </c>
      <c r="AN60" s="62">
        <v>1920</v>
      </c>
      <c r="AO60" s="62">
        <v>28.88</v>
      </c>
      <c r="AP60" s="62">
        <v>15.25</v>
      </c>
      <c r="AQ60" s="62">
        <v>1576.22</v>
      </c>
      <c r="AR60" s="62">
        <v>359.19</v>
      </c>
      <c r="AS60" s="62">
        <v>178.95</v>
      </c>
      <c r="AT60" s="62">
        <v>727.26</v>
      </c>
      <c r="AU60" s="62">
        <v>37.28</v>
      </c>
      <c r="AV60" s="62">
        <v>1686.98</v>
      </c>
      <c r="AW60" s="62">
        <v>395.28</v>
      </c>
      <c r="AX60" s="62">
        <v>18.77</v>
      </c>
      <c r="AY60" s="62">
        <v>1871.45</v>
      </c>
      <c r="AZ60" s="62">
        <v>78.25</v>
      </c>
      <c r="BA60" s="62">
        <v>1868.96</v>
      </c>
      <c r="BB60" s="62">
        <v>101.18</v>
      </c>
      <c r="BC60" s="62">
        <v>91.47</v>
      </c>
      <c r="BD60" s="62">
        <v>142.49</v>
      </c>
      <c r="BE60" s="62">
        <v>13.18</v>
      </c>
      <c r="BF60" s="62">
        <v>4200.93</v>
      </c>
      <c r="BG60" s="62">
        <v>6586.91</v>
      </c>
      <c r="BH60" s="62">
        <v>1207.74</v>
      </c>
      <c r="BI60" s="62">
        <v>403.37</v>
      </c>
      <c r="BJ60" s="62">
        <v>232.05</v>
      </c>
      <c r="BK60" s="62">
        <v>42.86</v>
      </c>
      <c r="BL60" s="62">
        <v>12.46</v>
      </c>
      <c r="BM60" s="62">
        <v>75.459999999999994</v>
      </c>
      <c r="BN60" s="62">
        <v>167.4</v>
      </c>
      <c r="BO60" s="62">
        <v>20.16</v>
      </c>
      <c r="BP60" s="62">
        <v>129.37</v>
      </c>
      <c r="BQ60" s="62">
        <v>276.36</v>
      </c>
      <c r="BR60" s="62" t="s">
        <v>9344</v>
      </c>
      <c r="BS60" s="62">
        <v>175.6</v>
      </c>
      <c r="BT60" s="62">
        <v>3.1</v>
      </c>
      <c r="BU60" s="62">
        <v>362.33</v>
      </c>
      <c r="BV60" s="62">
        <v>21.94</v>
      </c>
      <c r="BW60" s="62">
        <v>2613.4299999999998</v>
      </c>
      <c r="BX60" s="62">
        <v>1507.84</v>
      </c>
      <c r="BY60" s="62">
        <v>17.579999999999998</v>
      </c>
      <c r="BZ60" s="62">
        <v>735.71</v>
      </c>
      <c r="CA60" s="62">
        <v>420.53</v>
      </c>
      <c r="CB60" s="62">
        <v>38.21</v>
      </c>
      <c r="CC60" s="62">
        <v>648.61</v>
      </c>
      <c r="CD60" s="62">
        <v>89.99</v>
      </c>
      <c r="CE60" s="62">
        <v>4450</v>
      </c>
      <c r="CF60" s="62">
        <v>586.1</v>
      </c>
      <c r="CG60" s="62">
        <v>433.31</v>
      </c>
      <c r="CH60" s="62">
        <v>155.34</v>
      </c>
      <c r="CI60" s="62">
        <v>45.14</v>
      </c>
      <c r="CJ60" s="62">
        <v>78.39</v>
      </c>
      <c r="CK60" s="62">
        <v>29.89</v>
      </c>
      <c r="CL60" s="62">
        <v>275.70999999999998</v>
      </c>
      <c r="CM60" s="62">
        <v>2546.63</v>
      </c>
      <c r="CN60" s="62">
        <v>1751.13</v>
      </c>
      <c r="CO60" s="62">
        <v>23.36</v>
      </c>
      <c r="CP60" s="62">
        <v>38.46</v>
      </c>
      <c r="CQ60" s="62">
        <v>7.15</v>
      </c>
      <c r="CR60" s="62">
        <v>30.93</v>
      </c>
      <c r="CS60" s="62">
        <v>148.22999999999999</v>
      </c>
      <c r="CT60" s="62">
        <v>5.18</v>
      </c>
      <c r="CU60" s="62">
        <v>6639.43</v>
      </c>
      <c r="CV60" s="62">
        <v>198.37</v>
      </c>
      <c r="CW60" s="62">
        <v>677.89</v>
      </c>
      <c r="CX60" s="62">
        <v>1045.02</v>
      </c>
      <c r="CY60" s="62">
        <v>554.89</v>
      </c>
      <c r="CZ60" s="62">
        <v>410.52</v>
      </c>
      <c r="DA60" s="62">
        <v>11.35</v>
      </c>
      <c r="DB60" s="62">
        <v>1335.14</v>
      </c>
      <c r="DC60" s="62">
        <v>703.3</v>
      </c>
      <c r="DD60" s="62">
        <v>0.46</v>
      </c>
      <c r="DE60" s="62">
        <v>688.54</v>
      </c>
      <c r="DF60" s="62">
        <v>375</v>
      </c>
      <c r="DG60" s="62">
        <v>151.80000000000001</v>
      </c>
      <c r="DH60" s="62">
        <v>2.4300000000000002</v>
      </c>
      <c r="DI60" s="62">
        <v>1533.57</v>
      </c>
      <c r="DJ60" s="62">
        <v>227.3</v>
      </c>
      <c r="DK60" s="62">
        <v>3170</v>
      </c>
      <c r="DL60" s="62">
        <v>481.81</v>
      </c>
      <c r="DM60" s="62">
        <v>869.76</v>
      </c>
      <c r="DN60" s="62">
        <v>1023.19</v>
      </c>
      <c r="DO60" s="62">
        <v>35.68</v>
      </c>
      <c r="DP60" s="62">
        <v>3088</v>
      </c>
    </row>
    <row r="61" spans="1:120" x14ac:dyDescent="0.3">
      <c r="A61" s="62">
        <v>42705</v>
      </c>
      <c r="B61" s="62">
        <v>179.66</v>
      </c>
      <c r="C61" s="62">
        <v>7.33</v>
      </c>
      <c r="D61" s="62">
        <v>280.82</v>
      </c>
      <c r="E61" s="62">
        <v>2436.5</v>
      </c>
      <c r="F61" s="62">
        <v>11.24</v>
      </c>
      <c r="G61" s="62">
        <v>1.1399999999999999</v>
      </c>
      <c r="H61" s="62">
        <v>850.49</v>
      </c>
      <c r="I61" s="62">
        <v>394.43</v>
      </c>
      <c r="J61" s="62">
        <v>108.49</v>
      </c>
      <c r="K61" s="62">
        <v>7550.26</v>
      </c>
      <c r="L61" s="62">
        <v>91.03</v>
      </c>
      <c r="M61" s="62">
        <v>86.03</v>
      </c>
      <c r="N61" s="62">
        <v>91.69</v>
      </c>
      <c r="O61" s="62">
        <v>1.26</v>
      </c>
      <c r="P61" s="62">
        <v>52.06</v>
      </c>
      <c r="Q61" s="62">
        <v>823.19</v>
      </c>
      <c r="R61" s="62">
        <v>82.89</v>
      </c>
      <c r="S61" s="62">
        <v>56.32</v>
      </c>
      <c r="T61" s="62">
        <v>199.4</v>
      </c>
      <c r="U61" s="62">
        <v>1615.75</v>
      </c>
      <c r="V61" s="62">
        <v>228.86</v>
      </c>
      <c r="W61" s="62">
        <v>395.24</v>
      </c>
      <c r="X61" s="62">
        <v>3362.97</v>
      </c>
      <c r="Y61" s="62">
        <v>37.14</v>
      </c>
      <c r="Z61" s="62">
        <v>8.2899999999999991</v>
      </c>
      <c r="AA61" s="62">
        <v>586.26</v>
      </c>
      <c r="AB61" s="62">
        <v>2527.85</v>
      </c>
      <c r="AC61" s="62">
        <v>106.63</v>
      </c>
      <c r="AD61" s="62">
        <v>188.74</v>
      </c>
      <c r="AE61" s="62">
        <v>22.02</v>
      </c>
      <c r="AF61" s="62">
        <v>4653.04</v>
      </c>
      <c r="AG61" s="62">
        <v>7252.14</v>
      </c>
      <c r="AH61" s="62">
        <v>78.33</v>
      </c>
      <c r="AI61" s="62">
        <v>9464.01</v>
      </c>
      <c r="AJ61" s="62">
        <v>722.49</v>
      </c>
      <c r="AK61" s="62">
        <v>1036.54</v>
      </c>
      <c r="AL61" s="62">
        <v>14.42</v>
      </c>
      <c r="AM61" s="62">
        <v>0.98</v>
      </c>
      <c r="AN61" s="62">
        <v>2035</v>
      </c>
      <c r="AO61" s="62">
        <v>32.4</v>
      </c>
      <c r="AP61" s="62">
        <v>11.48</v>
      </c>
      <c r="AQ61" s="62">
        <v>1555.47</v>
      </c>
      <c r="AR61" s="62">
        <v>356.43</v>
      </c>
      <c r="AS61" s="62">
        <v>176.56</v>
      </c>
      <c r="AT61" s="62">
        <v>737.91</v>
      </c>
      <c r="AU61" s="62">
        <v>22.49</v>
      </c>
      <c r="AV61" s="62">
        <v>1572.41</v>
      </c>
      <c r="AW61" s="62">
        <v>374.33</v>
      </c>
      <c r="AX61" s="62">
        <v>18.77</v>
      </c>
      <c r="AY61" s="62">
        <v>1884.31</v>
      </c>
      <c r="AZ61" s="62">
        <v>76.77</v>
      </c>
      <c r="BA61" s="62">
        <v>2053.2399999999998</v>
      </c>
      <c r="BB61" s="62">
        <v>101.18</v>
      </c>
      <c r="BC61" s="62">
        <v>92.6</v>
      </c>
      <c r="BD61" s="62">
        <v>148.68</v>
      </c>
      <c r="BE61" s="62">
        <v>13.18</v>
      </c>
      <c r="BF61" s="62">
        <v>4159.62</v>
      </c>
      <c r="BG61" s="62">
        <v>6663.8</v>
      </c>
      <c r="BH61" s="62">
        <v>1192.83</v>
      </c>
      <c r="BI61" s="62">
        <v>358.96</v>
      </c>
      <c r="BJ61" s="62">
        <v>242.6</v>
      </c>
      <c r="BK61" s="62">
        <v>43.93</v>
      </c>
      <c r="BL61" s="62">
        <v>12.46</v>
      </c>
      <c r="BM61" s="62">
        <v>164.41</v>
      </c>
      <c r="BN61" s="62">
        <v>199.28</v>
      </c>
      <c r="BO61" s="62">
        <v>24.2</v>
      </c>
      <c r="BP61" s="62">
        <v>109.77</v>
      </c>
      <c r="BQ61" s="62">
        <v>268.32</v>
      </c>
      <c r="BR61" s="62" t="s">
        <v>9344</v>
      </c>
      <c r="BS61" s="62">
        <v>198.52</v>
      </c>
      <c r="BT61" s="62">
        <v>3.1</v>
      </c>
      <c r="BU61" s="62">
        <v>354.78</v>
      </c>
      <c r="BV61" s="62">
        <v>18.28</v>
      </c>
      <c r="BW61" s="62">
        <v>2552.1799999999998</v>
      </c>
      <c r="BX61" s="62">
        <v>1447.29</v>
      </c>
      <c r="BY61" s="62">
        <v>31.01</v>
      </c>
      <c r="BZ61" s="62">
        <v>696.79</v>
      </c>
      <c r="CA61" s="62">
        <v>425.65</v>
      </c>
      <c r="CB61" s="62">
        <v>37.25</v>
      </c>
      <c r="CC61" s="62">
        <v>631.41</v>
      </c>
      <c r="CD61" s="62">
        <v>83.86</v>
      </c>
      <c r="CE61" s="62">
        <v>4385</v>
      </c>
      <c r="CF61" s="62">
        <v>631.98</v>
      </c>
      <c r="CG61" s="62">
        <v>485.03</v>
      </c>
      <c r="CH61" s="62">
        <v>153.84</v>
      </c>
      <c r="CI61" s="62">
        <v>36.11</v>
      </c>
      <c r="CJ61" s="62">
        <v>76.819999999999993</v>
      </c>
      <c r="CK61" s="62">
        <v>26.24</v>
      </c>
      <c r="CL61" s="62">
        <v>291.14</v>
      </c>
      <c r="CM61" s="62">
        <v>2606.16</v>
      </c>
      <c r="CN61" s="62">
        <v>1848.41</v>
      </c>
      <c r="CO61" s="62">
        <v>28.34</v>
      </c>
      <c r="CP61" s="62">
        <v>39.520000000000003</v>
      </c>
      <c r="CQ61" s="62">
        <v>6.28</v>
      </c>
      <c r="CR61" s="62">
        <v>33.04</v>
      </c>
      <c r="CS61" s="62">
        <v>144.29</v>
      </c>
      <c r="CT61" s="62">
        <v>2.57</v>
      </c>
      <c r="CU61" s="62">
        <v>6448.98</v>
      </c>
      <c r="CV61" s="62">
        <v>213.76</v>
      </c>
      <c r="CW61" s="62">
        <v>663.31</v>
      </c>
      <c r="CX61" s="62">
        <v>1073.69</v>
      </c>
      <c r="CY61" s="62">
        <v>585.70000000000005</v>
      </c>
      <c r="CZ61" s="62">
        <v>392.14</v>
      </c>
      <c r="DA61" s="62">
        <v>11.63</v>
      </c>
      <c r="DB61" s="62">
        <v>1872.1</v>
      </c>
      <c r="DC61" s="62">
        <v>809.57</v>
      </c>
      <c r="DD61" s="62">
        <v>0.57999999999999996</v>
      </c>
      <c r="DE61" s="62">
        <v>588.39</v>
      </c>
      <c r="DF61" s="62">
        <v>377.31</v>
      </c>
      <c r="DG61" s="62">
        <v>121.44</v>
      </c>
      <c r="DH61" s="62">
        <v>3.64</v>
      </c>
      <c r="DI61" s="62">
        <v>1377.08</v>
      </c>
      <c r="DJ61" s="62">
        <v>257.11</v>
      </c>
      <c r="DK61" s="62">
        <v>3140</v>
      </c>
      <c r="DL61" s="62">
        <v>480.2</v>
      </c>
      <c r="DM61" s="62">
        <v>856.97</v>
      </c>
      <c r="DN61" s="62">
        <v>1040.53</v>
      </c>
      <c r="DO61" s="62">
        <v>36.61</v>
      </c>
      <c r="DP61" s="62">
        <v>2840</v>
      </c>
    </row>
    <row r="62" spans="1:120" x14ac:dyDescent="0.3">
      <c r="A62" s="62">
        <v>42736</v>
      </c>
      <c r="B62" s="62">
        <v>180.31</v>
      </c>
      <c r="C62" s="62">
        <v>10.99</v>
      </c>
      <c r="D62" s="62">
        <v>266.3</v>
      </c>
      <c r="E62" s="62">
        <v>2464.5700000000002</v>
      </c>
      <c r="F62" s="62">
        <v>11.73</v>
      </c>
      <c r="G62" s="62">
        <v>2.2799999999999998</v>
      </c>
      <c r="H62" s="62">
        <v>829.21</v>
      </c>
      <c r="I62" s="62">
        <v>421.17</v>
      </c>
      <c r="J62" s="62">
        <v>103.63</v>
      </c>
      <c r="K62" s="62">
        <v>7443.08</v>
      </c>
      <c r="L62" s="62">
        <v>85.78</v>
      </c>
      <c r="M62" s="62">
        <v>84.4</v>
      </c>
      <c r="N62" s="62">
        <v>93.93</v>
      </c>
      <c r="O62" s="62">
        <v>1.26</v>
      </c>
      <c r="P62" s="62">
        <v>44.31</v>
      </c>
      <c r="Q62" s="62">
        <v>884.65</v>
      </c>
      <c r="R62" s="62">
        <v>83.49</v>
      </c>
      <c r="S62" s="62">
        <v>53.57</v>
      </c>
      <c r="T62" s="62">
        <v>199.4</v>
      </c>
      <c r="U62" s="62">
        <v>1615.75</v>
      </c>
      <c r="V62" s="62">
        <v>228.86</v>
      </c>
      <c r="W62" s="62">
        <v>340.92</v>
      </c>
      <c r="X62" s="62">
        <v>3334.35</v>
      </c>
      <c r="Y62" s="62">
        <v>37.14</v>
      </c>
      <c r="Z62" s="62">
        <v>8.2899999999999991</v>
      </c>
      <c r="AA62" s="62">
        <v>586.26</v>
      </c>
      <c r="AB62" s="62">
        <v>2536.9699999999998</v>
      </c>
      <c r="AC62" s="62">
        <v>96.39</v>
      </c>
      <c r="AD62" s="62">
        <v>178.28</v>
      </c>
      <c r="AE62" s="62">
        <v>22.02</v>
      </c>
      <c r="AF62" s="62">
        <v>4834.63</v>
      </c>
      <c r="AG62" s="62">
        <v>7356.24</v>
      </c>
      <c r="AH62" s="62">
        <v>77.81</v>
      </c>
      <c r="AI62" s="62">
        <v>9624.42</v>
      </c>
      <c r="AJ62" s="62">
        <v>727.51</v>
      </c>
      <c r="AK62" s="62">
        <v>1045.83</v>
      </c>
      <c r="AL62" s="62">
        <v>15.35</v>
      </c>
      <c r="AM62" s="62">
        <v>1.1399999999999999</v>
      </c>
      <c r="AN62" s="62">
        <v>2100</v>
      </c>
      <c r="AO62" s="62">
        <v>33.1</v>
      </c>
      <c r="AP62" s="62">
        <v>12.7</v>
      </c>
      <c r="AQ62" s="62">
        <v>1561.87</v>
      </c>
      <c r="AR62" s="62">
        <v>348.22</v>
      </c>
      <c r="AS62" s="62">
        <v>181.93</v>
      </c>
      <c r="AT62" s="62">
        <v>748.75</v>
      </c>
      <c r="AU62" s="62">
        <v>25.07</v>
      </c>
      <c r="AV62" s="62">
        <v>1542.9</v>
      </c>
      <c r="AW62" s="62">
        <v>358.63</v>
      </c>
      <c r="AX62" s="62">
        <v>20.56</v>
      </c>
      <c r="AY62" s="62">
        <v>1799.65</v>
      </c>
      <c r="AZ62" s="62">
        <v>75.59</v>
      </c>
      <c r="BA62" s="62">
        <v>2085.4699999999998</v>
      </c>
      <c r="BB62" s="62">
        <v>96.78</v>
      </c>
      <c r="BC62" s="62">
        <v>93.46</v>
      </c>
      <c r="BD62" s="62">
        <v>148.68</v>
      </c>
      <c r="BE62" s="62">
        <v>21.89</v>
      </c>
      <c r="BF62" s="62">
        <v>4076.98</v>
      </c>
      <c r="BG62" s="62">
        <v>6663.8</v>
      </c>
      <c r="BH62" s="62">
        <v>1182.18</v>
      </c>
      <c r="BI62" s="62">
        <v>355.26</v>
      </c>
      <c r="BJ62" s="62">
        <v>261.58999999999997</v>
      </c>
      <c r="BK62" s="62">
        <v>40.76</v>
      </c>
      <c r="BL62" s="62">
        <v>12.46</v>
      </c>
      <c r="BM62" s="62">
        <v>176.84</v>
      </c>
      <c r="BN62" s="62">
        <v>200.88</v>
      </c>
      <c r="BO62" s="62">
        <v>24.49</v>
      </c>
      <c r="BP62" s="62">
        <v>115.65</v>
      </c>
      <c r="BQ62" s="62">
        <v>281.73</v>
      </c>
      <c r="BR62" s="62" t="s">
        <v>9344</v>
      </c>
      <c r="BS62" s="62">
        <v>225.24</v>
      </c>
      <c r="BT62" s="62">
        <v>2.71</v>
      </c>
      <c r="BU62" s="62">
        <v>373.65</v>
      </c>
      <c r="BV62" s="62">
        <v>29.65</v>
      </c>
      <c r="BW62" s="62">
        <v>2620.2399999999998</v>
      </c>
      <c r="BX62" s="62">
        <v>1453.34</v>
      </c>
      <c r="BY62" s="62">
        <v>26.28</v>
      </c>
      <c r="BZ62" s="62">
        <v>714.88</v>
      </c>
      <c r="CA62" s="62">
        <v>350.54</v>
      </c>
      <c r="CB62" s="62">
        <v>42.03</v>
      </c>
      <c r="CC62" s="62">
        <v>624.04</v>
      </c>
      <c r="CD62" s="62">
        <v>89.99</v>
      </c>
      <c r="CE62" s="62">
        <v>4055</v>
      </c>
      <c r="CF62" s="62">
        <v>634.79</v>
      </c>
      <c r="CG62" s="62">
        <v>482.24</v>
      </c>
      <c r="CH62" s="62">
        <v>160.56</v>
      </c>
      <c r="CI62" s="62">
        <v>36.11</v>
      </c>
      <c r="CJ62" s="62">
        <v>80.14</v>
      </c>
      <c r="CK62" s="62">
        <v>21.14</v>
      </c>
      <c r="CL62" s="62">
        <v>293.06</v>
      </c>
      <c r="CM62" s="62">
        <v>2599.5500000000002</v>
      </c>
      <c r="CN62" s="62">
        <v>1770.59</v>
      </c>
      <c r="CO62" s="62">
        <v>29.2</v>
      </c>
      <c r="CP62" s="62">
        <v>36.35</v>
      </c>
      <c r="CQ62" s="62">
        <v>5.97</v>
      </c>
      <c r="CR62" s="62">
        <v>33.04</v>
      </c>
      <c r="CS62" s="62">
        <v>144.29</v>
      </c>
      <c r="CT62" s="62">
        <v>2.57</v>
      </c>
      <c r="CU62" s="62">
        <v>6249.07</v>
      </c>
      <c r="CV62" s="62">
        <v>214.67</v>
      </c>
      <c r="CW62" s="62">
        <v>645.09</v>
      </c>
      <c r="CX62" s="62">
        <v>1035.8599999999999</v>
      </c>
      <c r="CY62" s="62">
        <v>557.04</v>
      </c>
      <c r="CZ62" s="62">
        <v>392.14</v>
      </c>
      <c r="DA62" s="62">
        <v>12.2</v>
      </c>
      <c r="DB62" s="62">
        <v>1545.57</v>
      </c>
      <c r="DC62" s="62">
        <v>812.7</v>
      </c>
      <c r="DD62" s="62">
        <v>0.57999999999999996</v>
      </c>
      <c r="DE62" s="62">
        <v>607.16999999999996</v>
      </c>
      <c r="DF62" s="62">
        <v>428.24</v>
      </c>
      <c r="DG62" s="62">
        <v>140.83000000000001</v>
      </c>
      <c r="DH62" s="62">
        <v>1.21</v>
      </c>
      <c r="DI62" s="62">
        <v>1483.49</v>
      </c>
      <c r="DJ62" s="62">
        <v>260.83</v>
      </c>
      <c r="DK62" s="62">
        <v>3240</v>
      </c>
      <c r="DL62" s="62">
        <v>458.87</v>
      </c>
      <c r="DM62" s="62">
        <v>862.66</v>
      </c>
      <c r="DN62" s="62">
        <v>988.5</v>
      </c>
      <c r="DO62" s="62">
        <v>37.53</v>
      </c>
      <c r="DP62" s="62">
        <v>2904</v>
      </c>
    </row>
    <row r="63" spans="1:120" x14ac:dyDescent="0.3">
      <c r="A63" s="62">
        <v>42767</v>
      </c>
      <c r="B63" s="62">
        <v>193.19</v>
      </c>
      <c r="C63" s="62">
        <v>10.99</v>
      </c>
      <c r="D63" s="62">
        <v>256.61</v>
      </c>
      <c r="E63" s="62">
        <v>2369.13</v>
      </c>
      <c r="F63" s="62">
        <v>12.05</v>
      </c>
      <c r="G63" s="62">
        <v>2.42</v>
      </c>
      <c r="H63" s="62">
        <v>849.74</v>
      </c>
      <c r="I63" s="62">
        <v>444.57</v>
      </c>
      <c r="J63" s="62">
        <v>104.44</v>
      </c>
      <c r="K63" s="62">
        <v>8157.61</v>
      </c>
      <c r="L63" s="62">
        <v>87.09</v>
      </c>
      <c r="M63" s="62">
        <v>87.65</v>
      </c>
      <c r="N63" s="62">
        <v>92.46</v>
      </c>
      <c r="O63" s="62">
        <v>1.26</v>
      </c>
      <c r="P63" s="62">
        <v>54.27</v>
      </c>
      <c r="Q63" s="62">
        <v>895.63</v>
      </c>
      <c r="R63" s="62">
        <v>71.56</v>
      </c>
      <c r="S63" s="62">
        <v>53.57</v>
      </c>
      <c r="T63" s="62">
        <v>221.56</v>
      </c>
      <c r="U63" s="62">
        <v>1672.73</v>
      </c>
      <c r="V63" s="62">
        <v>237.04</v>
      </c>
      <c r="W63" s="62">
        <v>301.43</v>
      </c>
      <c r="X63" s="62">
        <v>3427.37</v>
      </c>
      <c r="Y63" s="62">
        <v>37.14</v>
      </c>
      <c r="Z63" s="62">
        <v>8.2899999999999991</v>
      </c>
      <c r="AA63" s="62">
        <v>601.42999999999995</v>
      </c>
      <c r="AB63" s="62">
        <v>2603.81</v>
      </c>
      <c r="AC63" s="62">
        <v>108.44</v>
      </c>
      <c r="AD63" s="62">
        <v>199.67</v>
      </c>
      <c r="AE63" s="62">
        <v>22.02</v>
      </c>
      <c r="AF63" s="62">
        <v>4931.1899999999996</v>
      </c>
      <c r="AG63" s="62">
        <v>7168.87</v>
      </c>
      <c r="AH63" s="62">
        <v>77.290000000000006</v>
      </c>
      <c r="AI63" s="62">
        <v>9929.2000000000007</v>
      </c>
      <c r="AJ63" s="62">
        <v>768.17</v>
      </c>
      <c r="AK63" s="62">
        <v>1083.02</v>
      </c>
      <c r="AL63" s="62">
        <v>17.36</v>
      </c>
      <c r="AM63" s="62">
        <v>1.37</v>
      </c>
      <c r="AN63" s="62">
        <v>2150</v>
      </c>
      <c r="AO63" s="62">
        <v>33.81</v>
      </c>
      <c r="AP63" s="62">
        <v>12.7</v>
      </c>
      <c r="AQ63" s="62">
        <v>1632.28</v>
      </c>
      <c r="AR63" s="62">
        <v>338.99</v>
      </c>
      <c r="AS63" s="62">
        <v>193.26</v>
      </c>
      <c r="AT63" s="62">
        <v>778.7</v>
      </c>
      <c r="AU63" s="62">
        <v>21.85</v>
      </c>
      <c r="AV63" s="62">
        <v>1596.15</v>
      </c>
      <c r="AW63" s="62">
        <v>363.86</v>
      </c>
      <c r="AX63" s="62">
        <v>20.56</v>
      </c>
      <c r="AY63" s="62">
        <v>1877.62</v>
      </c>
      <c r="AZ63" s="62">
        <v>75.3</v>
      </c>
      <c r="BA63" s="62">
        <v>2123.73</v>
      </c>
      <c r="BB63" s="62">
        <v>96.78</v>
      </c>
      <c r="BC63" s="62">
        <v>92.29</v>
      </c>
      <c r="BD63" s="62">
        <v>148.27000000000001</v>
      </c>
      <c r="BE63" s="62">
        <v>21.89</v>
      </c>
      <c r="BF63" s="62">
        <v>4228.4799999999996</v>
      </c>
      <c r="BG63" s="62">
        <v>6945.73</v>
      </c>
      <c r="BH63" s="62">
        <v>1171.53</v>
      </c>
      <c r="BI63" s="62">
        <v>349.71</v>
      </c>
      <c r="BJ63" s="62">
        <v>300.61</v>
      </c>
      <c r="BK63" s="62">
        <v>39.69</v>
      </c>
      <c r="BL63" s="62">
        <v>10.38</v>
      </c>
      <c r="BM63" s="62">
        <v>187.89</v>
      </c>
      <c r="BN63" s="62">
        <v>202.66</v>
      </c>
      <c r="BO63" s="62">
        <v>23.05</v>
      </c>
      <c r="BP63" s="62">
        <v>131.33000000000001</v>
      </c>
      <c r="BQ63" s="62">
        <v>295.14999999999998</v>
      </c>
      <c r="BR63" s="62" t="s">
        <v>9344</v>
      </c>
      <c r="BS63" s="62">
        <v>198.52</v>
      </c>
      <c r="BT63" s="62">
        <v>3.02</v>
      </c>
      <c r="BU63" s="62">
        <v>400.07</v>
      </c>
      <c r="BV63" s="62">
        <v>25.02</v>
      </c>
      <c r="BW63" s="62">
        <v>2960.53</v>
      </c>
      <c r="BX63" s="62">
        <v>1501.79</v>
      </c>
      <c r="BY63" s="62">
        <v>30.48</v>
      </c>
      <c r="BZ63" s="62">
        <v>728.46</v>
      </c>
      <c r="CA63" s="62">
        <v>395.61</v>
      </c>
      <c r="CB63" s="62">
        <v>40.119999999999997</v>
      </c>
      <c r="CC63" s="62">
        <v>665.81</v>
      </c>
      <c r="CD63" s="62">
        <v>100.22</v>
      </c>
      <c r="CE63" s="62">
        <v>4360</v>
      </c>
      <c r="CF63" s="62">
        <v>655.39</v>
      </c>
      <c r="CG63" s="62">
        <v>476.65</v>
      </c>
      <c r="CH63" s="62">
        <v>167.28</v>
      </c>
      <c r="CI63" s="62">
        <v>36.11</v>
      </c>
      <c r="CJ63" s="62">
        <v>79.260000000000005</v>
      </c>
      <c r="CK63" s="62">
        <v>24.06</v>
      </c>
      <c r="CL63" s="62">
        <v>304.63</v>
      </c>
      <c r="CM63" s="62">
        <v>2500.33</v>
      </c>
      <c r="CN63" s="62">
        <v>1778.37</v>
      </c>
      <c r="CO63" s="62">
        <v>31.77</v>
      </c>
      <c r="CP63" s="62">
        <v>39.520000000000003</v>
      </c>
      <c r="CQ63" s="62">
        <v>5.66</v>
      </c>
      <c r="CR63" s="62">
        <v>32.619999999999997</v>
      </c>
      <c r="CS63" s="62">
        <v>149.54</v>
      </c>
      <c r="CT63" s="62">
        <v>2.57</v>
      </c>
      <c r="CU63" s="62">
        <v>6414.01</v>
      </c>
      <c r="CV63" s="62">
        <v>238.25</v>
      </c>
      <c r="CW63" s="62">
        <v>652.38</v>
      </c>
      <c r="CX63" s="62">
        <v>1084.55</v>
      </c>
      <c r="CY63" s="62">
        <v>557.15</v>
      </c>
      <c r="CZ63" s="62">
        <v>392.14</v>
      </c>
      <c r="DA63" s="62">
        <v>12.77</v>
      </c>
      <c r="DB63" s="62">
        <v>1618.13</v>
      </c>
      <c r="DC63" s="62">
        <v>853.33</v>
      </c>
      <c r="DD63" s="62">
        <v>0.69</v>
      </c>
      <c r="DE63" s="62">
        <v>713.58</v>
      </c>
      <c r="DF63" s="62">
        <v>459.82</v>
      </c>
      <c r="DG63" s="62">
        <v>141.68</v>
      </c>
      <c r="DH63" s="62">
        <v>2.4300000000000002</v>
      </c>
      <c r="DI63" s="62">
        <v>1480.36</v>
      </c>
      <c r="DJ63" s="62">
        <v>286.92</v>
      </c>
      <c r="DK63" s="62">
        <v>3230</v>
      </c>
      <c r="DL63" s="62">
        <v>454.77</v>
      </c>
      <c r="DM63" s="62">
        <v>879.74</v>
      </c>
      <c r="DN63" s="62">
        <v>912.2</v>
      </c>
      <c r="DO63" s="62">
        <v>46.34</v>
      </c>
      <c r="DP63" s="62">
        <v>2848</v>
      </c>
    </row>
    <row r="64" spans="1:120" x14ac:dyDescent="0.3">
      <c r="A64" s="62">
        <v>42795</v>
      </c>
      <c r="B64" s="62">
        <v>191.04</v>
      </c>
      <c r="C64" s="62">
        <v>10.99</v>
      </c>
      <c r="D64" s="62">
        <v>266.3</v>
      </c>
      <c r="E64" s="62">
        <v>2734.04</v>
      </c>
      <c r="F64" s="62">
        <v>11.24</v>
      </c>
      <c r="G64" s="62">
        <v>2.42</v>
      </c>
      <c r="H64" s="62">
        <v>825.11</v>
      </c>
      <c r="I64" s="62">
        <v>451.25</v>
      </c>
      <c r="J64" s="62">
        <v>102.01</v>
      </c>
      <c r="K64" s="62">
        <v>8753.06</v>
      </c>
      <c r="L64" s="62">
        <v>90.15</v>
      </c>
      <c r="M64" s="62">
        <v>89.27</v>
      </c>
      <c r="N64" s="62">
        <v>93.93</v>
      </c>
      <c r="O64" s="62">
        <v>1.26</v>
      </c>
      <c r="P64" s="62">
        <v>47.63</v>
      </c>
      <c r="Q64" s="62">
        <v>959.35</v>
      </c>
      <c r="R64" s="62">
        <v>68.58</v>
      </c>
      <c r="S64" s="62">
        <v>39.83</v>
      </c>
      <c r="T64" s="62">
        <v>235.41</v>
      </c>
      <c r="U64" s="62">
        <v>1656.45</v>
      </c>
      <c r="V64" s="62">
        <v>240.31</v>
      </c>
      <c r="W64" s="62">
        <v>308.64999999999998</v>
      </c>
      <c r="X64" s="62">
        <v>3434.52</v>
      </c>
      <c r="Y64" s="62">
        <v>41.27</v>
      </c>
      <c r="Z64" s="62">
        <v>8.2899999999999991</v>
      </c>
      <c r="AA64" s="62">
        <v>626.70000000000005</v>
      </c>
      <c r="AB64" s="62">
        <v>2825.6</v>
      </c>
      <c r="AC64" s="62">
        <v>126.52</v>
      </c>
      <c r="AD64" s="62">
        <v>194.32</v>
      </c>
      <c r="AE64" s="62">
        <v>22.02</v>
      </c>
      <c r="AF64" s="62">
        <v>5226.53</v>
      </c>
      <c r="AG64" s="62">
        <v>6669.2</v>
      </c>
      <c r="AH64" s="62">
        <v>78.33</v>
      </c>
      <c r="AI64" s="62">
        <v>10185.85</v>
      </c>
      <c r="AJ64" s="62">
        <v>781.26</v>
      </c>
      <c r="AK64" s="62">
        <v>1089.22</v>
      </c>
      <c r="AL64" s="62">
        <v>18.690000000000001</v>
      </c>
      <c r="AM64" s="62">
        <v>1.37</v>
      </c>
      <c r="AN64" s="62">
        <v>2140</v>
      </c>
      <c r="AO64" s="62">
        <v>29.58</v>
      </c>
      <c r="AP64" s="62">
        <v>12</v>
      </c>
      <c r="AQ64" s="62">
        <v>1587.48</v>
      </c>
      <c r="AR64" s="62">
        <v>326.44</v>
      </c>
      <c r="AS64" s="62">
        <v>200.42</v>
      </c>
      <c r="AT64" s="62">
        <v>793.73</v>
      </c>
      <c r="AU64" s="62">
        <v>24.42</v>
      </c>
      <c r="AV64" s="62">
        <v>1612.95</v>
      </c>
      <c r="AW64" s="62">
        <v>350.77</v>
      </c>
      <c r="AX64" s="62">
        <v>35.76</v>
      </c>
      <c r="AY64" s="62">
        <v>1838.64</v>
      </c>
      <c r="AZ64" s="62">
        <v>76.77</v>
      </c>
      <c r="BA64" s="62">
        <v>2155.96</v>
      </c>
      <c r="BB64" s="62">
        <v>87.98</v>
      </c>
      <c r="BC64" s="62">
        <v>93.46</v>
      </c>
      <c r="BD64" s="62">
        <v>171.4</v>
      </c>
      <c r="BE64" s="62">
        <v>21.89</v>
      </c>
      <c r="BF64" s="62">
        <v>4214.71</v>
      </c>
      <c r="BG64" s="62">
        <v>6894.46</v>
      </c>
      <c r="BH64" s="62">
        <v>1267.3900000000001</v>
      </c>
      <c r="BI64" s="62">
        <v>277.54000000000002</v>
      </c>
      <c r="BJ64" s="62">
        <v>319.60000000000002</v>
      </c>
      <c r="BK64" s="62">
        <v>38.61</v>
      </c>
      <c r="BL64" s="62">
        <v>10.38</v>
      </c>
      <c r="BM64" s="62">
        <v>189.28</v>
      </c>
      <c r="BN64" s="62">
        <v>204.07</v>
      </c>
      <c r="BO64" s="62">
        <v>24.77</v>
      </c>
      <c r="BP64" s="62">
        <v>156.81</v>
      </c>
      <c r="BQ64" s="62">
        <v>297.83</v>
      </c>
      <c r="BR64" s="62" t="s">
        <v>9344</v>
      </c>
      <c r="BS64" s="62">
        <v>203.63</v>
      </c>
      <c r="BT64" s="62">
        <v>1.86</v>
      </c>
      <c r="BU64" s="62">
        <v>407.62</v>
      </c>
      <c r="BV64" s="62">
        <v>24.09</v>
      </c>
      <c r="BW64" s="62">
        <v>2974.14</v>
      </c>
      <c r="BX64" s="62">
        <v>1447.29</v>
      </c>
      <c r="BY64" s="62">
        <v>30.48</v>
      </c>
      <c r="BZ64" s="62">
        <v>719.41</v>
      </c>
      <c r="CA64" s="62">
        <v>473.23</v>
      </c>
      <c r="CB64" s="62">
        <v>46.96</v>
      </c>
      <c r="CC64" s="62">
        <v>646.16</v>
      </c>
      <c r="CD64" s="62">
        <v>92.04</v>
      </c>
      <c r="CE64" s="62">
        <v>4460</v>
      </c>
      <c r="CF64" s="62">
        <v>702.2</v>
      </c>
      <c r="CG64" s="62">
        <v>482.24</v>
      </c>
      <c r="CH64" s="62">
        <v>176.25</v>
      </c>
      <c r="CI64" s="62">
        <v>27.08</v>
      </c>
      <c r="CJ64" s="62">
        <v>85.55</v>
      </c>
      <c r="CK64" s="62">
        <v>20.97</v>
      </c>
      <c r="CL64" s="62">
        <v>294.99</v>
      </c>
      <c r="CM64" s="62">
        <v>2685.54</v>
      </c>
      <c r="CN64" s="62">
        <v>1478.73</v>
      </c>
      <c r="CO64" s="62">
        <v>35.21</v>
      </c>
      <c r="CP64" s="62">
        <v>36.35</v>
      </c>
      <c r="CQ64" s="62">
        <v>5.66</v>
      </c>
      <c r="CR64" s="62">
        <v>33.74</v>
      </c>
      <c r="CS64" s="62">
        <v>152.16</v>
      </c>
      <c r="CT64" s="62">
        <v>2.57</v>
      </c>
      <c r="CU64" s="62">
        <v>6514.8</v>
      </c>
      <c r="CV64" s="62">
        <v>221.03</v>
      </c>
      <c r="CW64" s="62">
        <v>663.31</v>
      </c>
      <c r="CX64" s="62">
        <v>1173.0899999999999</v>
      </c>
      <c r="CY64" s="62">
        <v>564.32000000000005</v>
      </c>
      <c r="CZ64" s="62">
        <v>428.9</v>
      </c>
      <c r="DA64" s="62">
        <v>22.13</v>
      </c>
      <c r="DB64" s="62">
        <v>1697.95</v>
      </c>
      <c r="DC64" s="62">
        <v>834.58</v>
      </c>
      <c r="DD64" s="62">
        <v>0.92</v>
      </c>
      <c r="DE64" s="62">
        <v>672.89</v>
      </c>
      <c r="DF64" s="62">
        <v>464.58</v>
      </c>
      <c r="DG64" s="62">
        <v>222.63</v>
      </c>
      <c r="DH64" s="62">
        <v>1.21</v>
      </c>
      <c r="DI64" s="62">
        <v>1439.68</v>
      </c>
      <c r="DJ64" s="62">
        <v>283.19</v>
      </c>
      <c r="DK64" s="62">
        <v>3270</v>
      </c>
      <c r="DL64" s="62">
        <v>447.39</v>
      </c>
      <c r="DM64" s="62">
        <v>886.14</v>
      </c>
      <c r="DN64" s="62">
        <v>908.73</v>
      </c>
      <c r="DO64" s="62">
        <v>55.6</v>
      </c>
      <c r="DP64" s="62">
        <v>2908</v>
      </c>
    </row>
    <row r="65" spans="1:120" x14ac:dyDescent="0.3">
      <c r="A65" s="62">
        <v>42826</v>
      </c>
      <c r="B65" s="62">
        <v>184.39</v>
      </c>
      <c r="C65" s="62">
        <v>14.66</v>
      </c>
      <c r="D65" s="62">
        <v>256.61</v>
      </c>
      <c r="E65" s="62">
        <v>2717.2</v>
      </c>
      <c r="F65" s="62">
        <v>10.119999999999999</v>
      </c>
      <c r="G65" s="62">
        <v>1.21</v>
      </c>
      <c r="H65" s="62">
        <v>806.47</v>
      </c>
      <c r="I65" s="62">
        <v>424.51</v>
      </c>
      <c r="J65" s="62">
        <v>95.53</v>
      </c>
      <c r="K65" s="62">
        <v>8074.25</v>
      </c>
      <c r="L65" s="62">
        <v>88.4</v>
      </c>
      <c r="M65" s="62">
        <v>86.03</v>
      </c>
      <c r="N65" s="62">
        <v>89.53</v>
      </c>
      <c r="O65" s="62">
        <v>1.26</v>
      </c>
      <c r="P65" s="62">
        <v>40.98</v>
      </c>
      <c r="Q65" s="62">
        <v>957.31</v>
      </c>
      <c r="R65" s="62">
        <v>72.16</v>
      </c>
      <c r="S65" s="62">
        <v>43.27</v>
      </c>
      <c r="T65" s="62">
        <v>232.64</v>
      </c>
      <c r="U65" s="62">
        <v>1709.36</v>
      </c>
      <c r="V65" s="62">
        <v>241.94</v>
      </c>
      <c r="W65" s="62">
        <v>363.03</v>
      </c>
      <c r="X65" s="62">
        <v>3692.11</v>
      </c>
      <c r="Y65" s="62">
        <v>41.27</v>
      </c>
      <c r="Z65" s="62">
        <v>8.2899999999999991</v>
      </c>
      <c r="AA65" s="62">
        <v>636.79999999999995</v>
      </c>
      <c r="AB65" s="62">
        <v>2790.66</v>
      </c>
      <c r="AC65" s="62">
        <v>127.12</v>
      </c>
      <c r="AD65" s="62">
        <v>194.32</v>
      </c>
      <c r="AE65" s="62">
        <v>22.02</v>
      </c>
      <c r="AF65" s="62">
        <v>5591.32</v>
      </c>
      <c r="AG65" s="62">
        <v>5773.96</v>
      </c>
      <c r="AH65" s="62">
        <v>71.02</v>
      </c>
      <c r="AI65" s="62">
        <v>9800.8700000000008</v>
      </c>
      <c r="AJ65" s="62">
        <v>763.63</v>
      </c>
      <c r="AK65" s="62">
        <v>1154.29</v>
      </c>
      <c r="AL65" s="62">
        <v>22.7</v>
      </c>
      <c r="AM65" s="62">
        <v>1.18</v>
      </c>
      <c r="AN65" s="62">
        <v>2065</v>
      </c>
      <c r="AO65" s="62">
        <v>30.99</v>
      </c>
      <c r="AP65" s="62">
        <v>13.41</v>
      </c>
      <c r="AQ65" s="62">
        <v>1549.07</v>
      </c>
      <c r="AR65" s="62">
        <v>306.91000000000003</v>
      </c>
      <c r="AS65" s="62">
        <v>211.75</v>
      </c>
      <c r="AT65" s="62">
        <v>851.42</v>
      </c>
      <c r="AU65" s="62">
        <v>25.71</v>
      </c>
      <c r="AV65" s="62">
        <v>1629.75</v>
      </c>
      <c r="AW65" s="62">
        <v>345.54</v>
      </c>
      <c r="AX65" s="62">
        <v>34.869999999999997</v>
      </c>
      <c r="AY65" s="62">
        <v>1864.62</v>
      </c>
      <c r="AZ65" s="62">
        <v>76.77</v>
      </c>
      <c r="BA65" s="62">
        <v>2265.7199999999998</v>
      </c>
      <c r="BB65" s="62">
        <v>87.98</v>
      </c>
      <c r="BC65" s="62">
        <v>89.92</v>
      </c>
      <c r="BD65" s="62">
        <v>175.53</v>
      </c>
      <c r="BE65" s="62">
        <v>19.010000000000002</v>
      </c>
      <c r="BF65" s="62">
        <v>4304.2299999999996</v>
      </c>
      <c r="BG65" s="62">
        <v>7176.4</v>
      </c>
      <c r="BH65" s="62">
        <v>1320.64</v>
      </c>
      <c r="BI65" s="62">
        <v>242.85</v>
      </c>
      <c r="BJ65" s="62">
        <v>305.89</v>
      </c>
      <c r="BK65" s="62">
        <v>37.54</v>
      </c>
      <c r="BL65" s="62">
        <v>10.38</v>
      </c>
      <c r="BM65" s="62">
        <v>186.51</v>
      </c>
      <c r="BN65" s="62">
        <v>186.53</v>
      </c>
      <c r="BO65" s="62">
        <v>23.05</v>
      </c>
      <c r="BP65" s="62">
        <v>182.29</v>
      </c>
      <c r="BQ65" s="62">
        <v>287.10000000000002</v>
      </c>
      <c r="BR65" s="62" t="s">
        <v>9344</v>
      </c>
      <c r="BS65" s="62">
        <v>231.58</v>
      </c>
      <c r="BT65" s="62">
        <v>1.55</v>
      </c>
      <c r="BU65" s="62">
        <v>407.62</v>
      </c>
      <c r="BV65" s="62">
        <v>22.24</v>
      </c>
      <c r="BW65" s="62">
        <v>2810.8</v>
      </c>
      <c r="BX65" s="62">
        <v>1453.34</v>
      </c>
      <c r="BY65" s="62">
        <v>17.95</v>
      </c>
      <c r="BZ65" s="62">
        <v>728.46</v>
      </c>
      <c r="CA65" s="62">
        <v>450.69</v>
      </c>
      <c r="CB65" s="62">
        <v>44.89</v>
      </c>
      <c r="CC65" s="62">
        <v>665.81</v>
      </c>
      <c r="CD65" s="62">
        <v>98.17</v>
      </c>
      <c r="CE65" s="62">
        <v>4255</v>
      </c>
      <c r="CF65" s="62">
        <v>685.35</v>
      </c>
      <c r="CG65" s="62">
        <v>479.44</v>
      </c>
      <c r="CH65" s="62">
        <v>205.37</v>
      </c>
      <c r="CI65" s="62">
        <v>31.6</v>
      </c>
      <c r="CJ65" s="62">
        <v>93.58</v>
      </c>
      <c r="CK65" s="62">
        <v>21.72</v>
      </c>
      <c r="CL65" s="62">
        <v>287.27999999999997</v>
      </c>
      <c r="CM65" s="62">
        <v>2769.61</v>
      </c>
      <c r="CN65" s="62">
        <v>1509.86</v>
      </c>
      <c r="CO65" s="62">
        <v>36.93</v>
      </c>
      <c r="CP65" s="62">
        <v>36.35</v>
      </c>
      <c r="CQ65" s="62">
        <v>4.24</v>
      </c>
      <c r="CR65" s="62">
        <v>34.450000000000003</v>
      </c>
      <c r="CS65" s="62">
        <v>136.41999999999999</v>
      </c>
      <c r="CT65" s="62">
        <v>2.57</v>
      </c>
      <c r="CU65" s="62">
        <v>6615.59</v>
      </c>
      <c r="CV65" s="62">
        <v>212.88</v>
      </c>
      <c r="CW65" s="62">
        <v>626.86</v>
      </c>
      <c r="CX65" s="62">
        <v>1151.6400000000001</v>
      </c>
      <c r="CY65" s="62">
        <v>621.75</v>
      </c>
      <c r="CZ65" s="62">
        <v>422.77</v>
      </c>
      <c r="DA65" s="62">
        <v>27.52</v>
      </c>
      <c r="DB65" s="62">
        <v>2209.13</v>
      </c>
      <c r="DC65" s="62">
        <v>740.81</v>
      </c>
      <c r="DD65" s="62">
        <v>2.0699999999999998</v>
      </c>
      <c r="DE65" s="62">
        <v>666.63</v>
      </c>
      <c r="DF65" s="62">
        <v>440.76</v>
      </c>
      <c r="DG65" s="62">
        <v>212.51</v>
      </c>
      <c r="DH65" s="62">
        <v>1.21</v>
      </c>
      <c r="DI65" s="62">
        <v>1424.03</v>
      </c>
      <c r="DJ65" s="62">
        <v>268.27999999999997</v>
      </c>
      <c r="DK65" s="62">
        <v>3150</v>
      </c>
      <c r="DL65" s="62">
        <v>487.54</v>
      </c>
      <c r="DM65" s="62">
        <v>879.08</v>
      </c>
      <c r="DN65" s="62">
        <v>797.74</v>
      </c>
      <c r="DO65" s="62">
        <v>60.24</v>
      </c>
      <c r="DP65" s="62">
        <v>2848</v>
      </c>
    </row>
    <row r="66" spans="1:120" x14ac:dyDescent="0.3">
      <c r="A66" s="62">
        <v>42856</v>
      </c>
      <c r="B66" s="62">
        <v>186.75</v>
      </c>
      <c r="C66" s="62">
        <v>14.66</v>
      </c>
      <c r="D66" s="62">
        <v>222.72</v>
      </c>
      <c r="E66" s="62">
        <v>2930.53</v>
      </c>
      <c r="F66" s="62">
        <v>11.79</v>
      </c>
      <c r="G66" s="62">
        <v>1.21</v>
      </c>
      <c r="H66" s="62">
        <v>831.16</v>
      </c>
      <c r="I66" s="62">
        <v>441.22</v>
      </c>
      <c r="J66" s="62">
        <v>101.2</v>
      </c>
      <c r="K66" s="62">
        <v>8269.02</v>
      </c>
      <c r="L66" s="62">
        <v>88.4</v>
      </c>
      <c r="M66" s="62">
        <v>95.77</v>
      </c>
      <c r="N66" s="62">
        <v>88.76</v>
      </c>
      <c r="O66" s="62">
        <v>1.26</v>
      </c>
      <c r="P66" s="62">
        <v>40.98</v>
      </c>
      <c r="Q66" s="62">
        <v>881.74</v>
      </c>
      <c r="R66" s="62">
        <v>95.41</v>
      </c>
      <c r="S66" s="62">
        <v>39.83</v>
      </c>
      <c r="T66" s="62">
        <v>235.41</v>
      </c>
      <c r="U66" s="62">
        <v>1824.85</v>
      </c>
      <c r="V66" s="62">
        <v>248.48</v>
      </c>
      <c r="W66" s="62">
        <v>295.08999999999997</v>
      </c>
      <c r="X66" s="62">
        <v>3692.11</v>
      </c>
      <c r="Y66" s="62">
        <v>28.75</v>
      </c>
      <c r="Z66" s="62">
        <v>7.88</v>
      </c>
      <c r="AA66" s="62">
        <v>621.64</v>
      </c>
      <c r="AB66" s="62">
        <v>2787.63</v>
      </c>
      <c r="AC66" s="62">
        <v>114.47</v>
      </c>
      <c r="AD66" s="62">
        <v>192.54</v>
      </c>
      <c r="AE66" s="62">
        <v>22.02</v>
      </c>
      <c r="AF66" s="62">
        <v>5762.52</v>
      </c>
      <c r="AG66" s="62">
        <v>5866.61</v>
      </c>
      <c r="AH66" s="62">
        <v>67.89</v>
      </c>
      <c r="AI66" s="62">
        <v>9545.18</v>
      </c>
      <c r="AJ66" s="62">
        <v>741.58</v>
      </c>
      <c r="AK66" s="62">
        <v>1165.1400000000001</v>
      </c>
      <c r="AL66" s="62">
        <v>26.9</v>
      </c>
      <c r="AM66" s="62">
        <v>1.18</v>
      </c>
      <c r="AN66" s="62">
        <v>2150</v>
      </c>
      <c r="AO66" s="62">
        <v>31.7</v>
      </c>
      <c r="AP66" s="62">
        <v>13.06</v>
      </c>
      <c r="AQ66" s="62">
        <v>1561.87</v>
      </c>
      <c r="AR66" s="62">
        <v>320.86</v>
      </c>
      <c r="AS66" s="62">
        <v>188.49</v>
      </c>
      <c r="AT66" s="62">
        <v>872.44</v>
      </c>
      <c r="AU66" s="62">
        <v>23.14</v>
      </c>
      <c r="AV66" s="62">
        <v>1671.76</v>
      </c>
      <c r="AW66" s="62">
        <v>345.54</v>
      </c>
      <c r="AX66" s="62">
        <v>33.520000000000003</v>
      </c>
      <c r="AY66" s="62">
        <v>1851.72</v>
      </c>
      <c r="AZ66" s="62">
        <v>76.77</v>
      </c>
      <c r="BA66" s="62">
        <v>2219.4</v>
      </c>
      <c r="BB66" s="62">
        <v>87.98</v>
      </c>
      <c r="BC66" s="62">
        <v>91.75</v>
      </c>
      <c r="BD66" s="62">
        <v>179.66</v>
      </c>
      <c r="BE66" s="62">
        <v>19.579999999999998</v>
      </c>
      <c r="BF66" s="62">
        <v>4366.22</v>
      </c>
      <c r="BG66" s="62">
        <v>7150.77</v>
      </c>
      <c r="BH66" s="62">
        <v>1229.04</v>
      </c>
      <c r="BI66" s="62">
        <v>250.26</v>
      </c>
      <c r="BJ66" s="62">
        <v>304.83</v>
      </c>
      <c r="BK66" s="62">
        <v>34.86</v>
      </c>
      <c r="BL66" s="62">
        <v>12.46</v>
      </c>
      <c r="BM66" s="62">
        <v>182.37</v>
      </c>
      <c r="BN66" s="62">
        <v>200.88</v>
      </c>
      <c r="BO66" s="62">
        <v>24.49</v>
      </c>
      <c r="BP66" s="62">
        <v>178.37</v>
      </c>
      <c r="BQ66" s="62">
        <v>287.27</v>
      </c>
      <c r="BR66" s="62" t="s">
        <v>9344</v>
      </c>
      <c r="BS66" s="62">
        <v>235.73</v>
      </c>
      <c r="BT66" s="62">
        <v>1.24</v>
      </c>
      <c r="BU66" s="62">
        <v>422.72</v>
      </c>
      <c r="BV66" s="62">
        <v>19.46</v>
      </c>
      <c r="BW66" s="62">
        <v>2763.16</v>
      </c>
      <c r="BX66" s="62">
        <v>1471.51</v>
      </c>
      <c r="BY66" s="62">
        <v>21.93</v>
      </c>
      <c r="BZ66" s="62">
        <v>737.51</v>
      </c>
      <c r="CA66" s="62">
        <v>430.95</v>
      </c>
      <c r="CB66" s="62">
        <v>43.52</v>
      </c>
      <c r="CC66" s="62">
        <v>658.44</v>
      </c>
      <c r="CD66" s="62">
        <v>92.04</v>
      </c>
      <c r="CE66" s="62">
        <v>4350</v>
      </c>
      <c r="CF66" s="62">
        <v>680.67</v>
      </c>
      <c r="CG66" s="62">
        <v>468.26</v>
      </c>
      <c r="CH66" s="62">
        <v>224.04</v>
      </c>
      <c r="CI66" s="62">
        <v>31.6</v>
      </c>
      <c r="CJ66" s="62">
        <v>87.44</v>
      </c>
      <c r="CK66" s="62">
        <v>25.46</v>
      </c>
      <c r="CL66" s="62">
        <v>294.99</v>
      </c>
      <c r="CM66" s="62">
        <v>2909.76</v>
      </c>
      <c r="CN66" s="62">
        <v>1470.95</v>
      </c>
      <c r="CO66" s="62">
        <v>32.630000000000003</v>
      </c>
      <c r="CP66" s="62">
        <v>37.409999999999997</v>
      </c>
      <c r="CQ66" s="62">
        <v>1.41</v>
      </c>
      <c r="CR66" s="62">
        <v>32.06</v>
      </c>
      <c r="CS66" s="62">
        <v>142.97999999999999</v>
      </c>
      <c r="CT66" s="62">
        <v>2.57</v>
      </c>
      <c r="CU66" s="62">
        <v>6753.04</v>
      </c>
      <c r="CV66" s="62">
        <v>218.32</v>
      </c>
      <c r="CW66" s="62">
        <v>638.5</v>
      </c>
      <c r="CX66" s="62">
        <v>1153.8699999999999</v>
      </c>
      <c r="CY66" s="62">
        <v>681.05</v>
      </c>
      <c r="CZ66" s="62">
        <v>465.66</v>
      </c>
      <c r="DA66" s="62">
        <v>19.86</v>
      </c>
      <c r="DB66" s="62">
        <v>2493.5700000000002</v>
      </c>
      <c r="DC66" s="62">
        <v>725.18</v>
      </c>
      <c r="DD66" s="62">
        <v>1.38</v>
      </c>
      <c r="DE66" s="62">
        <v>679.15</v>
      </c>
      <c r="DF66" s="62">
        <v>450.95</v>
      </c>
      <c r="DG66" s="62">
        <v>205.77</v>
      </c>
      <c r="DH66" s="62">
        <v>1.21</v>
      </c>
      <c r="DI66" s="62">
        <v>1508.53</v>
      </c>
      <c r="DJ66" s="62">
        <v>266.79000000000002</v>
      </c>
      <c r="DK66" s="62">
        <v>3260</v>
      </c>
      <c r="DL66" s="62">
        <v>485.35</v>
      </c>
      <c r="DM66" s="62">
        <v>949.66</v>
      </c>
      <c r="DN66" s="62">
        <v>742.24</v>
      </c>
      <c r="DO66" s="62">
        <v>67.25</v>
      </c>
      <c r="DP66" s="62">
        <v>2960</v>
      </c>
    </row>
    <row r="67" spans="1:120" x14ac:dyDescent="0.3">
      <c r="A67" s="62">
        <v>42887</v>
      </c>
      <c r="B67" s="62">
        <v>191.04</v>
      </c>
      <c r="C67" s="62">
        <v>10.99</v>
      </c>
      <c r="D67" s="62">
        <v>217.88</v>
      </c>
      <c r="E67" s="62">
        <v>3390.89</v>
      </c>
      <c r="F67" s="62">
        <v>10.17</v>
      </c>
      <c r="G67" s="62">
        <v>1.31</v>
      </c>
      <c r="H67" s="62">
        <v>843.5</v>
      </c>
      <c r="I67" s="62">
        <v>457.94</v>
      </c>
      <c r="J67" s="62">
        <v>97.15</v>
      </c>
      <c r="K67" s="62">
        <v>8388.34</v>
      </c>
      <c r="L67" s="62">
        <v>88.4</v>
      </c>
      <c r="M67" s="62">
        <v>94.92</v>
      </c>
      <c r="N67" s="62">
        <v>91.69</v>
      </c>
      <c r="O67" s="62">
        <v>1.26</v>
      </c>
      <c r="P67" s="62">
        <v>34.340000000000003</v>
      </c>
      <c r="Q67" s="62">
        <v>910.49</v>
      </c>
      <c r="R67" s="62">
        <v>99.59</v>
      </c>
      <c r="S67" s="62">
        <v>34.340000000000003</v>
      </c>
      <c r="T67" s="62">
        <v>224.79</v>
      </c>
      <c r="U67" s="62">
        <v>1843.34</v>
      </c>
      <c r="V67" s="62">
        <v>243.57</v>
      </c>
      <c r="W67" s="62">
        <v>242.02</v>
      </c>
      <c r="X67" s="62">
        <v>3677.8</v>
      </c>
      <c r="Y67" s="62">
        <v>28.75</v>
      </c>
      <c r="Z67" s="62">
        <v>7.88</v>
      </c>
      <c r="AA67" s="62">
        <v>657.02</v>
      </c>
      <c r="AB67" s="62">
        <v>2620.52</v>
      </c>
      <c r="AC67" s="62">
        <v>105.43</v>
      </c>
      <c r="AD67" s="62">
        <v>181.84</v>
      </c>
      <c r="AE67" s="62">
        <v>22.02</v>
      </c>
      <c r="AF67" s="62">
        <v>6108.38</v>
      </c>
      <c r="AG67" s="62">
        <v>5198.53</v>
      </c>
      <c r="AH67" s="62">
        <v>71.02</v>
      </c>
      <c r="AI67" s="62">
        <v>9625.52</v>
      </c>
      <c r="AJ67" s="62">
        <v>744.13</v>
      </c>
      <c r="AK67" s="62">
        <v>1182.18</v>
      </c>
      <c r="AL67" s="62">
        <v>24.07</v>
      </c>
      <c r="AM67" s="62">
        <v>1.18</v>
      </c>
      <c r="AN67" s="62">
        <v>2320</v>
      </c>
      <c r="AO67" s="62">
        <v>40.85</v>
      </c>
      <c r="AP67" s="62">
        <v>14.49</v>
      </c>
      <c r="AQ67" s="62">
        <v>1606.68</v>
      </c>
      <c r="AR67" s="62">
        <v>316.67</v>
      </c>
      <c r="AS67" s="62">
        <v>178.95</v>
      </c>
      <c r="AT67" s="62">
        <v>887.93</v>
      </c>
      <c r="AU67" s="62">
        <v>25.07</v>
      </c>
      <c r="AV67" s="62">
        <v>1654.96</v>
      </c>
      <c r="AW67" s="62">
        <v>356.01</v>
      </c>
      <c r="AX67" s="62">
        <v>24.49</v>
      </c>
      <c r="AY67" s="62">
        <v>1884.21</v>
      </c>
      <c r="AZ67" s="62">
        <v>73.819999999999993</v>
      </c>
      <c r="BA67" s="62">
        <v>2285.86</v>
      </c>
      <c r="BB67" s="62">
        <v>87.98</v>
      </c>
      <c r="BC67" s="62">
        <v>92.86</v>
      </c>
      <c r="BD67" s="62">
        <v>177.59</v>
      </c>
      <c r="BE67" s="62">
        <v>19.579999999999998</v>
      </c>
      <c r="BF67" s="62">
        <v>4503.95</v>
      </c>
      <c r="BG67" s="62">
        <v>7407.07</v>
      </c>
      <c r="BH67" s="62">
        <v>1173.6600000000001</v>
      </c>
      <c r="BI67" s="62">
        <v>252.11</v>
      </c>
      <c r="BJ67" s="62">
        <v>289.01</v>
      </c>
      <c r="BK67" s="62">
        <v>34.86</v>
      </c>
      <c r="BL67" s="62">
        <v>12.46</v>
      </c>
      <c r="BM67" s="62">
        <v>187.89</v>
      </c>
      <c r="BN67" s="62">
        <v>102.03</v>
      </c>
      <c r="BO67" s="62">
        <v>24.49</v>
      </c>
      <c r="BP67" s="62">
        <v>150.93</v>
      </c>
      <c r="BQ67" s="62">
        <v>292.64</v>
      </c>
      <c r="BR67" s="62">
        <v>506.51</v>
      </c>
      <c r="BS67" s="62">
        <v>187.78</v>
      </c>
      <c r="BT67" s="62">
        <v>1.18</v>
      </c>
      <c r="BU67" s="62">
        <v>452.91</v>
      </c>
      <c r="BV67" s="62">
        <v>9.27</v>
      </c>
      <c r="BW67" s="62">
        <v>3035.39</v>
      </c>
      <c r="BX67" s="62">
        <v>1453.34</v>
      </c>
      <c r="BY67" s="62">
        <v>19.940000000000001</v>
      </c>
      <c r="BZ67" s="62">
        <v>737.51</v>
      </c>
      <c r="CA67" s="62">
        <v>408.52</v>
      </c>
      <c r="CB67" s="62">
        <v>43.52</v>
      </c>
      <c r="CC67" s="62">
        <v>730.92</v>
      </c>
      <c r="CD67" s="62">
        <v>92.04</v>
      </c>
      <c r="CE67" s="62">
        <v>4200</v>
      </c>
      <c r="CF67" s="62">
        <v>669.43</v>
      </c>
      <c r="CG67" s="62">
        <v>465.46</v>
      </c>
      <c r="CH67" s="62">
        <v>201.64</v>
      </c>
      <c r="CI67" s="62">
        <v>27.08</v>
      </c>
      <c r="CJ67" s="62">
        <v>89.01</v>
      </c>
      <c r="CK67" s="62">
        <v>34.450000000000003</v>
      </c>
      <c r="CL67" s="62">
        <v>304.63</v>
      </c>
      <c r="CM67" s="62">
        <v>2969.82</v>
      </c>
      <c r="CN67" s="62">
        <v>1432.03</v>
      </c>
      <c r="CO67" s="62">
        <v>32.630000000000003</v>
      </c>
      <c r="CP67" s="62">
        <v>37.94</v>
      </c>
      <c r="CQ67" s="62">
        <v>1.95</v>
      </c>
      <c r="CR67" s="62">
        <v>30.93</v>
      </c>
      <c r="CS67" s="62">
        <v>149.54</v>
      </c>
      <c r="CT67" s="62">
        <v>3.6</v>
      </c>
      <c r="CU67" s="62">
        <v>7019.79</v>
      </c>
      <c r="CV67" s="62">
        <v>224.66</v>
      </c>
      <c r="CW67" s="62">
        <v>631.42999999999995</v>
      </c>
      <c r="CX67" s="62">
        <v>1073.83</v>
      </c>
      <c r="CY67" s="62">
        <v>715.1</v>
      </c>
      <c r="CZ67" s="62">
        <v>447.28</v>
      </c>
      <c r="DA67" s="62">
        <v>22.13</v>
      </c>
      <c r="DB67" s="62">
        <v>2457.2199999999998</v>
      </c>
      <c r="DC67" s="62">
        <v>790.82</v>
      </c>
      <c r="DD67" s="62">
        <v>1.84</v>
      </c>
      <c r="DE67" s="62">
        <v>657.24</v>
      </c>
      <c r="DF67" s="62">
        <v>465.39</v>
      </c>
      <c r="DG67" s="62">
        <v>187.21</v>
      </c>
      <c r="DH67" s="62">
        <v>2.4300000000000002</v>
      </c>
      <c r="DI67" s="62">
        <v>1611.81</v>
      </c>
      <c r="DJ67" s="62">
        <v>278.72000000000003</v>
      </c>
      <c r="DK67" s="62">
        <v>3270</v>
      </c>
      <c r="DL67" s="62">
        <v>503.45</v>
      </c>
      <c r="DM67" s="62">
        <v>971.05</v>
      </c>
      <c r="DN67" s="62">
        <v>711.03</v>
      </c>
      <c r="DO67" s="62">
        <v>64.27</v>
      </c>
      <c r="DP67" s="62">
        <v>3028</v>
      </c>
    </row>
    <row r="68" spans="1:120" x14ac:dyDescent="0.3">
      <c r="A68" s="62">
        <v>42917</v>
      </c>
      <c r="B68" s="62">
        <v>203.92</v>
      </c>
      <c r="C68" s="62">
        <v>10.99</v>
      </c>
      <c r="D68" s="62">
        <v>217.97</v>
      </c>
      <c r="E68" s="62">
        <v>3705.27</v>
      </c>
      <c r="F68" s="62">
        <v>12.76</v>
      </c>
      <c r="G68" s="62">
        <v>1.31</v>
      </c>
      <c r="H68" s="62">
        <v>853.12</v>
      </c>
      <c r="I68" s="62">
        <v>444.57</v>
      </c>
      <c r="J68" s="62">
        <v>97.15</v>
      </c>
      <c r="K68" s="62">
        <v>8501.7000000000007</v>
      </c>
      <c r="L68" s="62">
        <v>92.78</v>
      </c>
      <c r="M68" s="62">
        <v>93.62</v>
      </c>
      <c r="N68" s="62">
        <v>87.97</v>
      </c>
      <c r="O68" s="62">
        <v>1.26</v>
      </c>
      <c r="P68" s="62">
        <v>36.549999999999997</v>
      </c>
      <c r="Q68" s="62">
        <v>866.58</v>
      </c>
      <c r="R68" s="62">
        <v>84.08</v>
      </c>
      <c r="S68" s="62">
        <v>23.35</v>
      </c>
      <c r="T68" s="62">
        <v>219.24</v>
      </c>
      <c r="U68" s="62">
        <v>1884.44</v>
      </c>
      <c r="V68" s="62">
        <v>245.21</v>
      </c>
      <c r="W68" s="62">
        <v>248.39</v>
      </c>
      <c r="X68" s="62">
        <v>3720.73</v>
      </c>
      <c r="Y68" s="62">
        <v>33.33</v>
      </c>
      <c r="Z68" s="62">
        <v>7.88</v>
      </c>
      <c r="AA68" s="62">
        <v>658.03</v>
      </c>
      <c r="AB68" s="62">
        <v>2611.41</v>
      </c>
      <c r="AC68" s="62">
        <v>100.47</v>
      </c>
      <c r="AD68" s="62">
        <v>171.81</v>
      </c>
      <c r="AE68" s="62">
        <v>22.02</v>
      </c>
      <c r="AF68" s="62">
        <v>6379.12</v>
      </c>
      <c r="AG68" s="62">
        <v>5518.65</v>
      </c>
      <c r="AH68" s="62">
        <v>71.02</v>
      </c>
      <c r="AI68" s="62">
        <v>9609.4500000000007</v>
      </c>
      <c r="AJ68" s="62">
        <v>742.28</v>
      </c>
      <c r="AK68" s="62">
        <v>1191.47</v>
      </c>
      <c r="AL68" s="62">
        <v>23.38</v>
      </c>
      <c r="AM68" s="62">
        <v>0.39</v>
      </c>
      <c r="AN68" s="62">
        <v>2430</v>
      </c>
      <c r="AO68" s="62">
        <v>40.15</v>
      </c>
      <c r="AP68" s="62">
        <v>16.27</v>
      </c>
      <c r="AQ68" s="62">
        <v>1605.13</v>
      </c>
      <c r="AR68" s="62">
        <v>296.98</v>
      </c>
      <c r="AS68" s="62">
        <v>181.93</v>
      </c>
      <c r="AT68" s="62">
        <v>924.06</v>
      </c>
      <c r="AU68" s="62">
        <v>18.64</v>
      </c>
      <c r="AV68" s="62">
        <v>1663.36</v>
      </c>
      <c r="AW68" s="62">
        <v>361.24</v>
      </c>
      <c r="AX68" s="62">
        <v>24.49</v>
      </c>
      <c r="AY68" s="62">
        <v>1998.79</v>
      </c>
      <c r="AZ68" s="62">
        <v>70.87</v>
      </c>
      <c r="BA68" s="62">
        <v>2365.41</v>
      </c>
      <c r="BB68" s="62">
        <v>87.98</v>
      </c>
      <c r="BC68" s="62">
        <v>92.41</v>
      </c>
      <c r="BD68" s="62">
        <v>179.66</v>
      </c>
      <c r="BE68" s="62">
        <v>19.579999999999998</v>
      </c>
      <c r="BF68" s="62">
        <v>4572.82</v>
      </c>
      <c r="BG68" s="62">
        <v>7471.14</v>
      </c>
      <c r="BH68" s="62">
        <v>1135.32</v>
      </c>
      <c r="BI68" s="62">
        <v>253.97</v>
      </c>
      <c r="BJ68" s="62">
        <v>294.29000000000002</v>
      </c>
      <c r="BK68" s="62">
        <v>31.11</v>
      </c>
      <c r="BL68" s="62">
        <v>16.62</v>
      </c>
      <c r="BM68" s="62">
        <v>229.34</v>
      </c>
      <c r="BN68" s="62">
        <v>99.64</v>
      </c>
      <c r="BO68" s="62">
        <v>25.93</v>
      </c>
      <c r="BP68" s="62">
        <v>178.37</v>
      </c>
      <c r="BQ68" s="62">
        <v>303.38</v>
      </c>
      <c r="BR68" s="62">
        <v>518.72</v>
      </c>
      <c r="BS68" s="62">
        <v>203.85</v>
      </c>
      <c r="BT68" s="62">
        <v>0.88</v>
      </c>
      <c r="BU68" s="62">
        <v>437.81</v>
      </c>
      <c r="BV68" s="62">
        <v>9.27</v>
      </c>
      <c r="BW68" s="62">
        <v>3035.39</v>
      </c>
      <c r="BX68" s="62">
        <v>1495.73</v>
      </c>
      <c r="BY68" s="62">
        <v>18.440000000000001</v>
      </c>
      <c r="BZ68" s="62">
        <v>742.03</v>
      </c>
      <c r="CA68" s="62">
        <v>423.56</v>
      </c>
      <c r="CB68" s="62">
        <v>41.23</v>
      </c>
      <c r="CC68" s="62">
        <v>765.31</v>
      </c>
      <c r="CD68" s="62">
        <v>94.08</v>
      </c>
      <c r="CE68" s="62">
        <v>4145</v>
      </c>
      <c r="CF68" s="62">
        <v>650.71</v>
      </c>
      <c r="CG68" s="62">
        <v>466.86</v>
      </c>
      <c r="CH68" s="62">
        <v>230.02</v>
      </c>
      <c r="CI68" s="62">
        <v>27.08</v>
      </c>
      <c r="CJ68" s="62">
        <v>89.19</v>
      </c>
      <c r="CK68" s="62">
        <v>37.450000000000003</v>
      </c>
      <c r="CL68" s="62">
        <v>327.77</v>
      </c>
      <c r="CM68" s="62">
        <v>2702.87</v>
      </c>
      <c r="CN68" s="62">
        <v>1354.21</v>
      </c>
      <c r="CO68" s="62">
        <v>32.630000000000003</v>
      </c>
      <c r="CP68" s="62">
        <v>36.880000000000003</v>
      </c>
      <c r="CQ68" s="62">
        <v>1.87</v>
      </c>
      <c r="CR68" s="62">
        <v>33.18</v>
      </c>
      <c r="CS68" s="62">
        <v>155.57</v>
      </c>
      <c r="CT68" s="62">
        <v>3.6</v>
      </c>
      <c r="CU68" s="62">
        <v>6928.15</v>
      </c>
      <c r="CV68" s="62">
        <v>227.38</v>
      </c>
      <c r="CW68" s="62">
        <v>631.42999999999995</v>
      </c>
      <c r="CX68" s="62">
        <v>1056.04</v>
      </c>
      <c r="CY68" s="62">
        <v>761.7</v>
      </c>
      <c r="CZ68" s="62">
        <v>441.16</v>
      </c>
      <c r="DA68" s="62">
        <v>20.43</v>
      </c>
      <c r="DB68" s="62">
        <v>2893.41</v>
      </c>
      <c r="DC68" s="62">
        <v>765.81</v>
      </c>
      <c r="DD68" s="62">
        <v>2.19</v>
      </c>
      <c r="DE68" s="62">
        <v>638.46</v>
      </c>
      <c r="DF68" s="62">
        <v>505.07</v>
      </c>
      <c r="DG68" s="62">
        <v>219.26</v>
      </c>
      <c r="DH68" s="62">
        <v>2.4300000000000002</v>
      </c>
      <c r="DI68" s="62">
        <v>1699.44</v>
      </c>
      <c r="DJ68" s="62">
        <v>268.27999999999997</v>
      </c>
      <c r="DK68" s="62">
        <v>3340</v>
      </c>
      <c r="DL68" s="62">
        <v>477.12</v>
      </c>
      <c r="DM68" s="62">
        <v>959.98</v>
      </c>
      <c r="DN68" s="62">
        <v>711.03</v>
      </c>
      <c r="DO68" s="62">
        <v>62.99</v>
      </c>
      <c r="DP68" s="62">
        <v>3156</v>
      </c>
    </row>
    <row r="69" spans="1:120" x14ac:dyDescent="0.3">
      <c r="A69" s="62">
        <v>42948</v>
      </c>
      <c r="B69" s="62">
        <v>225.39</v>
      </c>
      <c r="C69" s="62">
        <v>10.99</v>
      </c>
      <c r="D69" s="62">
        <v>243.27</v>
      </c>
      <c r="E69" s="62">
        <v>3772.64</v>
      </c>
      <c r="F69" s="62">
        <v>14.54</v>
      </c>
      <c r="G69" s="62">
        <v>1.31</v>
      </c>
      <c r="H69" s="62">
        <v>857.24</v>
      </c>
      <c r="I69" s="62">
        <v>427.85</v>
      </c>
      <c r="J69" s="62">
        <v>97.15</v>
      </c>
      <c r="K69" s="62">
        <v>8286.91</v>
      </c>
      <c r="L69" s="62">
        <v>94.53</v>
      </c>
      <c r="M69" s="62">
        <v>84.85</v>
      </c>
      <c r="N69" s="62">
        <v>87.92</v>
      </c>
      <c r="O69" s="62">
        <v>3.96</v>
      </c>
      <c r="P69" s="62">
        <v>36.549999999999997</v>
      </c>
      <c r="Q69" s="62">
        <v>884.22</v>
      </c>
      <c r="R69" s="62">
        <v>84.08</v>
      </c>
      <c r="S69" s="62">
        <v>22.66</v>
      </c>
      <c r="T69" s="62">
        <v>222.01</v>
      </c>
      <c r="U69" s="62">
        <v>1820.74</v>
      </c>
      <c r="V69" s="62">
        <v>249.46</v>
      </c>
      <c r="W69" s="62">
        <v>274</v>
      </c>
      <c r="X69" s="62">
        <v>3856.68</v>
      </c>
      <c r="Y69" s="62">
        <v>37.799999999999997</v>
      </c>
      <c r="Z69" s="62">
        <v>4.5599999999999996</v>
      </c>
      <c r="AA69" s="62">
        <v>682.29</v>
      </c>
      <c r="AB69" s="62">
        <v>2734.46</v>
      </c>
      <c r="AC69" s="62">
        <v>134.24</v>
      </c>
      <c r="AD69" s="62">
        <v>177.18</v>
      </c>
      <c r="AE69" s="62">
        <v>22.02</v>
      </c>
      <c r="AF69" s="62">
        <v>6342.3</v>
      </c>
      <c r="AG69" s="62">
        <v>5574.33</v>
      </c>
      <c r="AH69" s="62">
        <v>67.89</v>
      </c>
      <c r="AI69" s="62">
        <v>9754.08</v>
      </c>
      <c r="AJ69" s="62">
        <v>760.22</v>
      </c>
      <c r="AK69" s="62">
        <v>1233.31</v>
      </c>
      <c r="AL69" s="62">
        <v>21.32</v>
      </c>
      <c r="AM69" s="62">
        <v>0.39</v>
      </c>
      <c r="AN69" s="62">
        <v>2430</v>
      </c>
      <c r="AO69" s="62">
        <v>39.44</v>
      </c>
      <c r="AP69" s="62">
        <v>16.27</v>
      </c>
      <c r="AQ69" s="62">
        <v>1605.13</v>
      </c>
      <c r="AR69" s="62">
        <v>313.87</v>
      </c>
      <c r="AS69" s="62">
        <v>187.89</v>
      </c>
      <c r="AT69" s="62">
        <v>940.36</v>
      </c>
      <c r="AU69" s="62">
        <v>19.920000000000002</v>
      </c>
      <c r="AV69" s="62">
        <v>1747.37</v>
      </c>
      <c r="AW69" s="62">
        <v>356.01</v>
      </c>
      <c r="AX69" s="62">
        <v>25.78</v>
      </c>
      <c r="AY69" s="62">
        <v>1935</v>
      </c>
      <c r="AZ69" s="62">
        <v>70.87</v>
      </c>
      <c r="BA69" s="62">
        <v>2465.1</v>
      </c>
      <c r="BB69" s="62">
        <v>87.98</v>
      </c>
      <c r="BC69" s="62">
        <v>94.31</v>
      </c>
      <c r="BD69" s="62">
        <v>196.18</v>
      </c>
      <c r="BE69" s="62">
        <v>19.579999999999998</v>
      </c>
      <c r="BF69" s="62">
        <v>4752.78</v>
      </c>
      <c r="BG69" s="62">
        <v>7432.7</v>
      </c>
      <c r="BH69" s="62">
        <v>1214.1300000000001</v>
      </c>
      <c r="BI69" s="62">
        <v>278.07</v>
      </c>
      <c r="BJ69" s="62">
        <v>293.23</v>
      </c>
      <c r="BK69" s="62">
        <v>26.82</v>
      </c>
      <c r="BL69" s="62">
        <v>39.46</v>
      </c>
      <c r="BM69" s="62">
        <v>233.49</v>
      </c>
      <c r="BN69" s="62">
        <v>96.45</v>
      </c>
      <c r="BO69" s="62">
        <v>24.49</v>
      </c>
      <c r="BP69" s="62">
        <v>182.29</v>
      </c>
      <c r="BQ69" s="62">
        <v>311.43</v>
      </c>
      <c r="BR69" s="62">
        <v>598.04999999999995</v>
      </c>
      <c r="BS69" s="62">
        <v>179.87</v>
      </c>
      <c r="BT69" s="62">
        <v>0.28999999999999998</v>
      </c>
      <c r="BU69" s="62">
        <v>445.36</v>
      </c>
      <c r="BV69" s="62">
        <v>11.75</v>
      </c>
      <c r="BW69" s="62">
        <v>3157.9</v>
      </c>
      <c r="BX69" s="62">
        <v>1513.9</v>
      </c>
      <c r="BY69" s="62">
        <v>15.95</v>
      </c>
      <c r="BZ69" s="62">
        <v>739.77</v>
      </c>
      <c r="CA69" s="62">
        <v>580.77</v>
      </c>
      <c r="CB69" s="62">
        <v>40.08</v>
      </c>
      <c r="CC69" s="62">
        <v>784.97</v>
      </c>
      <c r="CD69" s="62">
        <v>107.34</v>
      </c>
      <c r="CE69" s="62">
        <v>4440</v>
      </c>
      <c r="CF69" s="62">
        <v>678.79</v>
      </c>
      <c r="CG69" s="62">
        <v>475.25</v>
      </c>
      <c r="CH69" s="62">
        <v>253.91</v>
      </c>
      <c r="CI69" s="62">
        <v>31.6</v>
      </c>
      <c r="CJ69" s="62">
        <v>87.97</v>
      </c>
      <c r="CK69" s="62">
        <v>48.68</v>
      </c>
      <c r="CL69" s="62">
        <v>323.91000000000003</v>
      </c>
      <c r="CM69" s="62">
        <v>2716.22</v>
      </c>
      <c r="CN69" s="62">
        <v>1315.29</v>
      </c>
      <c r="CO69" s="62">
        <v>29.2</v>
      </c>
      <c r="CP69" s="62">
        <v>37.409999999999997</v>
      </c>
      <c r="CQ69" s="62">
        <v>1.79</v>
      </c>
      <c r="CR69" s="62">
        <v>33.46</v>
      </c>
      <c r="CS69" s="62">
        <v>150.59</v>
      </c>
      <c r="CT69" s="62">
        <v>3.6</v>
      </c>
      <c r="CU69" s="62">
        <v>7074.78</v>
      </c>
      <c r="CV69" s="62">
        <v>194.76</v>
      </c>
      <c r="CW69" s="62">
        <v>602.23</v>
      </c>
      <c r="CX69" s="62">
        <v>1078.8399999999999</v>
      </c>
      <c r="CY69" s="62">
        <v>795.75</v>
      </c>
      <c r="CZ69" s="62">
        <v>414.2</v>
      </c>
      <c r="DA69" s="62">
        <v>20.43</v>
      </c>
      <c r="DB69" s="62">
        <v>3227.82</v>
      </c>
      <c r="DC69" s="62">
        <v>772.06</v>
      </c>
      <c r="DD69" s="62">
        <v>1.1499999999999999</v>
      </c>
      <c r="DE69" s="62">
        <v>682.28</v>
      </c>
      <c r="DF69" s="62">
        <v>514.69000000000005</v>
      </c>
      <c r="DG69" s="62">
        <v>161.07</v>
      </c>
      <c r="DH69" s="62">
        <v>2.4300000000000002</v>
      </c>
      <c r="DI69" s="62">
        <v>1815.24</v>
      </c>
      <c r="DJ69" s="62">
        <v>264.56</v>
      </c>
      <c r="DK69" s="62">
        <v>3370</v>
      </c>
      <c r="DL69" s="62">
        <v>493.58</v>
      </c>
      <c r="DM69" s="62">
        <v>964.27</v>
      </c>
      <c r="DN69" s="62">
        <v>738.78</v>
      </c>
      <c r="DO69" s="62">
        <v>60.42</v>
      </c>
      <c r="DP69" s="62">
        <v>3096</v>
      </c>
    </row>
    <row r="70" spans="1:120" x14ac:dyDescent="0.3">
      <c r="A70" s="62">
        <v>42979</v>
      </c>
      <c r="B70" s="62">
        <v>239.03</v>
      </c>
      <c r="C70" s="62">
        <v>7.33</v>
      </c>
      <c r="D70" s="62">
        <v>245.22</v>
      </c>
      <c r="E70" s="62">
        <v>4030.89</v>
      </c>
      <c r="F70" s="62">
        <v>14.54</v>
      </c>
      <c r="G70" s="62">
        <v>1.31</v>
      </c>
      <c r="H70" s="62">
        <v>861.36</v>
      </c>
      <c r="I70" s="62">
        <v>434.54</v>
      </c>
      <c r="J70" s="62">
        <v>95.53</v>
      </c>
      <c r="K70" s="62">
        <v>7958.78</v>
      </c>
      <c r="L70" s="62">
        <v>91.91</v>
      </c>
      <c r="M70" s="62">
        <v>87.77</v>
      </c>
      <c r="N70" s="62">
        <v>87.73</v>
      </c>
      <c r="O70" s="62">
        <v>4.4000000000000004</v>
      </c>
      <c r="P70" s="62">
        <v>38.770000000000003</v>
      </c>
      <c r="Q70" s="62">
        <v>821.19</v>
      </c>
      <c r="R70" s="62">
        <v>72.16</v>
      </c>
      <c r="S70" s="62">
        <v>19.23</v>
      </c>
      <c r="T70" s="62">
        <v>227.56</v>
      </c>
      <c r="U70" s="62">
        <v>1621.4</v>
      </c>
      <c r="V70" s="62">
        <v>251.75</v>
      </c>
      <c r="W70" s="62">
        <v>341.94</v>
      </c>
      <c r="X70" s="62">
        <v>3944.72</v>
      </c>
      <c r="Y70" s="62">
        <v>36.229999999999997</v>
      </c>
      <c r="Z70" s="62">
        <v>5.39</v>
      </c>
      <c r="AA70" s="62">
        <v>687.34</v>
      </c>
      <c r="AB70" s="62">
        <v>2637.23</v>
      </c>
      <c r="AC70" s="62">
        <v>140.94999999999999</v>
      </c>
      <c r="AD70" s="62">
        <v>125.28</v>
      </c>
      <c r="AE70" s="62">
        <v>22.02</v>
      </c>
      <c r="AF70" s="62">
        <v>6854.87</v>
      </c>
      <c r="AG70" s="62">
        <v>5824.86</v>
      </c>
      <c r="AH70" s="62">
        <v>67.89</v>
      </c>
      <c r="AI70" s="62">
        <v>9946.91</v>
      </c>
      <c r="AJ70" s="62">
        <v>780.23</v>
      </c>
      <c r="AK70" s="62">
        <v>1203.8699999999999</v>
      </c>
      <c r="AL70" s="62">
        <v>19.760000000000002</v>
      </c>
      <c r="AM70" s="62">
        <v>0.39</v>
      </c>
      <c r="AN70" s="62">
        <v>2460</v>
      </c>
      <c r="AO70" s="62">
        <v>44.37</v>
      </c>
      <c r="AP70" s="62">
        <v>16.86</v>
      </c>
      <c r="AQ70" s="62">
        <v>1637.23</v>
      </c>
      <c r="AR70" s="62">
        <v>298.38</v>
      </c>
      <c r="AS70" s="62">
        <v>194.46</v>
      </c>
      <c r="AT70" s="62">
        <v>986.87</v>
      </c>
      <c r="AU70" s="62">
        <v>22.36</v>
      </c>
      <c r="AV70" s="62">
        <v>1764.17</v>
      </c>
      <c r="AW70" s="62">
        <v>356.01</v>
      </c>
      <c r="AX70" s="62">
        <v>30.08</v>
      </c>
      <c r="AY70" s="62">
        <v>1913.74</v>
      </c>
      <c r="AZ70" s="62">
        <v>67.92</v>
      </c>
      <c r="BA70" s="62">
        <v>2497.3200000000002</v>
      </c>
      <c r="BB70" s="62">
        <v>87.98</v>
      </c>
      <c r="BC70" s="62">
        <v>93.1</v>
      </c>
      <c r="BD70" s="62">
        <v>216.83</v>
      </c>
      <c r="BE70" s="62">
        <v>21.22</v>
      </c>
      <c r="BF70" s="62">
        <v>4697.67</v>
      </c>
      <c r="BG70" s="62">
        <v>7432.7</v>
      </c>
      <c r="BH70" s="62">
        <v>1297.21</v>
      </c>
      <c r="BI70" s="62">
        <v>203.92</v>
      </c>
      <c r="BJ70" s="62">
        <v>287.95999999999998</v>
      </c>
      <c r="BK70" s="62">
        <v>25.77</v>
      </c>
      <c r="BL70" s="62">
        <v>47.77</v>
      </c>
      <c r="BM70" s="62">
        <v>248.68</v>
      </c>
      <c r="BN70" s="62">
        <v>111.6</v>
      </c>
      <c r="BO70" s="62">
        <v>28.23</v>
      </c>
      <c r="BP70" s="62">
        <v>172.49</v>
      </c>
      <c r="BQ70" s="62">
        <v>314.12</v>
      </c>
      <c r="BR70" s="62">
        <v>634.66</v>
      </c>
      <c r="BS70" s="62">
        <v>193.86</v>
      </c>
      <c r="BT70" s="62">
        <v>0.28999999999999998</v>
      </c>
      <c r="BU70" s="62">
        <v>468.01</v>
      </c>
      <c r="BV70" s="62">
        <v>13.4</v>
      </c>
      <c r="BW70" s="62">
        <v>3001.36</v>
      </c>
      <c r="BX70" s="62">
        <v>1550.23</v>
      </c>
      <c r="BY70" s="62">
        <v>16.8</v>
      </c>
      <c r="BZ70" s="62">
        <v>746.56</v>
      </c>
      <c r="CA70" s="62">
        <v>539.70000000000005</v>
      </c>
      <c r="CB70" s="62">
        <v>54.97</v>
      </c>
      <c r="CC70" s="62">
        <v>794.8</v>
      </c>
      <c r="CD70" s="62">
        <v>102.46</v>
      </c>
      <c r="CE70" s="62">
        <v>4625</v>
      </c>
      <c r="CF70" s="62">
        <v>689.09</v>
      </c>
      <c r="CG70" s="62">
        <v>473.85</v>
      </c>
      <c r="CH70" s="62">
        <v>235.99</v>
      </c>
      <c r="CI70" s="62">
        <v>27.08</v>
      </c>
      <c r="CJ70" s="62">
        <v>91.99</v>
      </c>
      <c r="CK70" s="62">
        <v>52.43</v>
      </c>
      <c r="CL70" s="62">
        <v>327.77</v>
      </c>
      <c r="CM70" s="62">
        <v>2522.6799999999998</v>
      </c>
      <c r="CN70" s="62">
        <v>1089.5899999999999</v>
      </c>
      <c r="CO70" s="62">
        <v>38.64</v>
      </c>
      <c r="CP70" s="62">
        <v>35.299999999999997</v>
      </c>
      <c r="CQ70" s="62">
        <v>1.82</v>
      </c>
      <c r="CR70" s="62">
        <v>32.76</v>
      </c>
      <c r="CS70" s="62">
        <v>157.93</v>
      </c>
      <c r="CT70" s="62">
        <v>25.35</v>
      </c>
      <c r="CU70" s="62">
        <v>7056.45</v>
      </c>
      <c r="CV70" s="62">
        <v>194.76</v>
      </c>
      <c r="CW70" s="62">
        <v>609.53</v>
      </c>
      <c r="CX70" s="62">
        <v>1138.9000000000001</v>
      </c>
      <c r="CY70" s="62">
        <v>867.44</v>
      </c>
      <c r="CZ70" s="62">
        <v>447.28</v>
      </c>
      <c r="DA70" s="62">
        <v>20.71</v>
      </c>
      <c r="DB70" s="62">
        <v>4128.84</v>
      </c>
      <c r="DC70" s="62">
        <v>793.94</v>
      </c>
      <c r="DD70" s="62">
        <v>1.1499999999999999</v>
      </c>
      <c r="DE70" s="62">
        <v>638.46</v>
      </c>
      <c r="DF70" s="62">
        <v>549.55999999999995</v>
      </c>
      <c r="DG70" s="62">
        <v>150.11000000000001</v>
      </c>
      <c r="DH70" s="62">
        <v>2.4300000000000002</v>
      </c>
      <c r="DI70" s="62">
        <v>1696.31</v>
      </c>
      <c r="DJ70" s="62">
        <v>259.39</v>
      </c>
      <c r="DK70" s="62">
        <v>3250</v>
      </c>
      <c r="DL70" s="62">
        <v>438.25</v>
      </c>
      <c r="DM70" s="62">
        <v>976.51</v>
      </c>
      <c r="DN70" s="62">
        <v>735.31</v>
      </c>
      <c r="DO70" s="62">
        <v>48.85</v>
      </c>
      <c r="DP70" s="62">
        <v>3088</v>
      </c>
    </row>
    <row r="71" spans="1:120" x14ac:dyDescent="0.3">
      <c r="A71" s="62">
        <v>43009</v>
      </c>
      <c r="B71" s="62">
        <v>238.26</v>
      </c>
      <c r="C71" s="62">
        <v>3.66</v>
      </c>
      <c r="D71" s="62">
        <v>243.27</v>
      </c>
      <c r="E71" s="62">
        <v>3778.26</v>
      </c>
      <c r="F71" s="62">
        <v>13.08</v>
      </c>
      <c r="G71" s="62">
        <v>1.48</v>
      </c>
      <c r="H71" s="62">
        <v>859.06</v>
      </c>
      <c r="I71" s="62">
        <v>485.35</v>
      </c>
      <c r="J71" s="62">
        <v>93.91</v>
      </c>
      <c r="K71" s="62">
        <v>7684.34</v>
      </c>
      <c r="L71" s="62">
        <v>91.91</v>
      </c>
      <c r="M71" s="62">
        <v>78.349999999999994</v>
      </c>
      <c r="N71" s="62">
        <v>86.19</v>
      </c>
      <c r="O71" s="62">
        <v>4.4000000000000004</v>
      </c>
      <c r="P71" s="62">
        <v>32.119999999999997</v>
      </c>
      <c r="Q71" s="62">
        <v>750.61</v>
      </c>
      <c r="R71" s="62">
        <v>71.56</v>
      </c>
      <c r="S71" s="62">
        <v>22.66</v>
      </c>
      <c r="T71" s="62">
        <v>224.79</v>
      </c>
      <c r="U71" s="62">
        <v>1604.96</v>
      </c>
      <c r="V71" s="62">
        <v>259.92</v>
      </c>
      <c r="W71" s="62">
        <v>339.67</v>
      </c>
      <c r="X71" s="62">
        <v>3923.25</v>
      </c>
      <c r="Y71" s="62">
        <v>37.21</v>
      </c>
      <c r="Z71" s="62">
        <v>6.22</v>
      </c>
      <c r="AA71" s="62">
        <v>687.34</v>
      </c>
      <c r="AB71" s="62">
        <v>2613</v>
      </c>
      <c r="AC71" s="62">
        <v>134.24</v>
      </c>
      <c r="AD71" s="62">
        <v>136.02000000000001</v>
      </c>
      <c r="AE71" s="62">
        <v>22.02</v>
      </c>
      <c r="AF71" s="62">
        <v>7251.51</v>
      </c>
      <c r="AG71" s="62">
        <v>5560.41</v>
      </c>
      <c r="AH71" s="62">
        <v>69.98</v>
      </c>
      <c r="AI71" s="62">
        <v>10027.26</v>
      </c>
      <c r="AJ71" s="62">
        <v>805.14</v>
      </c>
      <c r="AK71" s="62">
        <v>1205.25</v>
      </c>
      <c r="AL71" s="62">
        <v>19.920000000000002</v>
      </c>
      <c r="AM71" s="62">
        <v>0.39</v>
      </c>
      <c r="AN71" s="62">
        <v>2385</v>
      </c>
      <c r="AO71" s="62">
        <v>40.85</v>
      </c>
      <c r="AP71" s="62">
        <v>16.86</v>
      </c>
      <c r="AQ71" s="62">
        <v>1643.65</v>
      </c>
      <c r="AR71" s="62">
        <v>304.01</v>
      </c>
      <c r="AS71" s="62">
        <v>199.82</v>
      </c>
      <c r="AT71" s="62">
        <v>948.92</v>
      </c>
      <c r="AU71" s="62">
        <v>20.05</v>
      </c>
      <c r="AV71" s="62">
        <v>1741.76</v>
      </c>
      <c r="AW71" s="62">
        <v>348.16</v>
      </c>
      <c r="AX71" s="62">
        <v>30.08</v>
      </c>
      <c r="AY71" s="62">
        <v>1892.48</v>
      </c>
      <c r="AZ71" s="62">
        <v>67.92</v>
      </c>
      <c r="BA71" s="62">
        <v>2515.4499999999998</v>
      </c>
      <c r="BB71" s="62">
        <v>73.319999999999993</v>
      </c>
      <c r="BC71" s="62">
        <v>91.85</v>
      </c>
      <c r="BD71" s="62">
        <v>218.89</v>
      </c>
      <c r="BE71" s="62">
        <v>21.22</v>
      </c>
      <c r="BF71" s="62">
        <v>4642.57</v>
      </c>
      <c r="BG71" s="62">
        <v>7291.73</v>
      </c>
      <c r="BH71" s="62">
        <v>1237.56</v>
      </c>
      <c r="BI71" s="62">
        <v>181.67</v>
      </c>
      <c r="BJ71" s="62">
        <v>291.12</v>
      </c>
      <c r="BK71" s="62">
        <v>24.59</v>
      </c>
      <c r="BL71" s="62">
        <v>47.77</v>
      </c>
      <c r="BM71" s="62">
        <v>251.45</v>
      </c>
      <c r="BN71" s="62">
        <v>117.25</v>
      </c>
      <c r="BO71" s="62">
        <v>33.99</v>
      </c>
      <c r="BP71" s="62">
        <v>172.49</v>
      </c>
      <c r="BQ71" s="62">
        <v>316.8</v>
      </c>
      <c r="BR71" s="62">
        <v>579.74</v>
      </c>
      <c r="BS71" s="62">
        <v>183.86</v>
      </c>
      <c r="BT71" s="62">
        <v>0.28999999999999998</v>
      </c>
      <c r="BU71" s="62">
        <v>445.36</v>
      </c>
      <c r="BV71" s="62">
        <v>14.51</v>
      </c>
      <c r="BW71" s="62">
        <v>2967.33</v>
      </c>
      <c r="BX71" s="62">
        <v>1538.12</v>
      </c>
      <c r="BY71" s="62">
        <v>14.25</v>
      </c>
      <c r="BZ71" s="62">
        <v>761.69</v>
      </c>
      <c r="CA71" s="62">
        <v>676.68</v>
      </c>
      <c r="CB71" s="62">
        <v>51.54</v>
      </c>
      <c r="CC71" s="62">
        <v>835.33</v>
      </c>
      <c r="CD71" s="62">
        <v>92.7</v>
      </c>
      <c r="CE71" s="62">
        <v>4640</v>
      </c>
      <c r="CF71" s="62">
        <v>739.65</v>
      </c>
      <c r="CG71" s="62">
        <v>517.17999999999995</v>
      </c>
      <c r="CH71" s="62">
        <v>231.51</v>
      </c>
      <c r="CI71" s="62">
        <v>27.08</v>
      </c>
      <c r="CJ71" s="62">
        <v>90.06</v>
      </c>
      <c r="CK71" s="62">
        <v>47.93</v>
      </c>
      <c r="CL71" s="62">
        <v>325.83999999999997</v>
      </c>
      <c r="CM71" s="62">
        <v>2535.5</v>
      </c>
      <c r="CN71" s="62">
        <v>1074.03</v>
      </c>
      <c r="CO71" s="62">
        <v>39.5</v>
      </c>
      <c r="CP71" s="62">
        <v>33.72</v>
      </c>
      <c r="CQ71" s="62">
        <v>1.3</v>
      </c>
      <c r="CR71" s="62">
        <v>28.34</v>
      </c>
      <c r="CS71" s="62">
        <v>154.79</v>
      </c>
      <c r="CT71" s="62">
        <v>25.35</v>
      </c>
      <c r="CU71" s="62">
        <v>6565.41</v>
      </c>
      <c r="CV71" s="62">
        <v>189.33</v>
      </c>
      <c r="CW71" s="62">
        <v>594.92999999999995</v>
      </c>
      <c r="CX71" s="62">
        <v>1133.02</v>
      </c>
      <c r="CY71" s="62">
        <v>1209.76</v>
      </c>
      <c r="CZ71" s="62">
        <v>416.65</v>
      </c>
      <c r="DA71" s="62">
        <v>20.43</v>
      </c>
      <c r="DB71" s="62">
        <v>4872.6899999999996</v>
      </c>
      <c r="DC71" s="62">
        <v>797.07</v>
      </c>
      <c r="DD71" s="62">
        <v>0.92</v>
      </c>
      <c r="DE71" s="62">
        <v>638.46</v>
      </c>
      <c r="DF71" s="62">
        <v>585.64</v>
      </c>
      <c r="DG71" s="62">
        <v>139.99</v>
      </c>
      <c r="DH71" s="62">
        <v>2.4300000000000002</v>
      </c>
      <c r="DI71" s="62">
        <v>1721.35</v>
      </c>
      <c r="DJ71" s="62">
        <v>268.18</v>
      </c>
      <c r="DK71" s="62">
        <v>3280</v>
      </c>
      <c r="DL71" s="62">
        <v>479.44</v>
      </c>
      <c r="DM71" s="62">
        <v>965.08</v>
      </c>
      <c r="DN71" s="62">
        <v>763.05</v>
      </c>
      <c r="DO71" s="62">
        <v>49.36</v>
      </c>
      <c r="DP71" s="62">
        <v>2948</v>
      </c>
    </row>
    <row r="72" spans="1:120" x14ac:dyDescent="0.3">
      <c r="A72" s="62">
        <v>43040</v>
      </c>
      <c r="B72" s="62">
        <v>252.43</v>
      </c>
      <c r="C72" s="62">
        <v>3.66</v>
      </c>
      <c r="D72" s="62">
        <v>235.49</v>
      </c>
      <c r="E72" s="62">
        <v>3609.84</v>
      </c>
      <c r="F72" s="62">
        <v>14.86</v>
      </c>
      <c r="G72" s="62">
        <v>1.48</v>
      </c>
      <c r="H72" s="62">
        <v>854.93</v>
      </c>
      <c r="I72" s="62">
        <v>492.35</v>
      </c>
      <c r="J72" s="62">
        <v>95.53</v>
      </c>
      <c r="K72" s="62">
        <v>7301.68</v>
      </c>
      <c r="L72" s="62">
        <v>91.03</v>
      </c>
      <c r="M72" s="62">
        <v>78.349999999999994</v>
      </c>
      <c r="N72" s="62">
        <v>88.17</v>
      </c>
      <c r="O72" s="62">
        <v>4.4000000000000004</v>
      </c>
      <c r="P72" s="62">
        <v>24.37</v>
      </c>
      <c r="Q72" s="62">
        <v>724.21</v>
      </c>
      <c r="R72" s="62">
        <v>59.63</v>
      </c>
      <c r="S72" s="62">
        <v>30.22</v>
      </c>
      <c r="T72" s="62">
        <v>230.34</v>
      </c>
      <c r="U72" s="62">
        <v>1654.18</v>
      </c>
      <c r="V72" s="62">
        <v>249.13</v>
      </c>
      <c r="W72" s="62">
        <v>362.32</v>
      </c>
      <c r="X72" s="62">
        <v>4124.9399999999996</v>
      </c>
      <c r="Y72" s="62">
        <v>37.21</v>
      </c>
      <c r="Z72" s="62">
        <v>7.88</v>
      </c>
      <c r="AA72" s="62">
        <v>717.67</v>
      </c>
      <c r="AB72" s="62">
        <v>2634.35</v>
      </c>
      <c r="AC72" s="62">
        <v>167.8</v>
      </c>
      <c r="AD72" s="62">
        <v>134.22999999999999</v>
      </c>
      <c r="AE72" s="62">
        <v>22.02</v>
      </c>
      <c r="AF72" s="62">
        <v>7589</v>
      </c>
      <c r="AG72" s="62">
        <v>4934.08</v>
      </c>
      <c r="AH72" s="62">
        <v>73.11</v>
      </c>
      <c r="AI72" s="62">
        <v>10321.66</v>
      </c>
      <c r="AJ72" s="62">
        <v>830.94</v>
      </c>
      <c r="AK72" s="62">
        <v>1189.74</v>
      </c>
      <c r="AL72" s="62">
        <v>20.8</v>
      </c>
      <c r="AM72" s="62">
        <v>1.18</v>
      </c>
      <c r="AN72" s="62">
        <v>2445</v>
      </c>
      <c r="AO72" s="62">
        <v>42.26</v>
      </c>
      <c r="AP72" s="62">
        <v>11.5</v>
      </c>
      <c r="AQ72" s="62">
        <v>1682.18</v>
      </c>
      <c r="AR72" s="62">
        <v>267.42</v>
      </c>
      <c r="AS72" s="62">
        <v>198.63</v>
      </c>
      <c r="AT72" s="62">
        <v>987.81</v>
      </c>
      <c r="AU72" s="62">
        <v>24.32</v>
      </c>
      <c r="AV72" s="62">
        <v>1825.77</v>
      </c>
      <c r="AW72" s="62">
        <v>350.77</v>
      </c>
      <c r="AX72" s="62">
        <v>38.67</v>
      </c>
      <c r="AY72" s="62">
        <v>1878.3</v>
      </c>
      <c r="AZ72" s="62">
        <v>67.92</v>
      </c>
      <c r="BA72" s="62">
        <v>2465.1</v>
      </c>
      <c r="BB72" s="62">
        <v>73.319999999999993</v>
      </c>
      <c r="BC72" s="62">
        <v>96.93</v>
      </c>
      <c r="BD72" s="62">
        <v>229.22</v>
      </c>
      <c r="BE72" s="62">
        <v>21.83</v>
      </c>
      <c r="BF72" s="62">
        <v>4628.79</v>
      </c>
      <c r="BG72" s="62">
        <v>7304.55</v>
      </c>
      <c r="BH72" s="62">
        <v>1227.6400000000001</v>
      </c>
      <c r="BI72" s="62">
        <v>174.26</v>
      </c>
      <c r="BJ72" s="62">
        <v>296.39999999999998</v>
      </c>
      <c r="BK72" s="62">
        <v>24.04</v>
      </c>
      <c r="BL72" s="62">
        <v>36.78</v>
      </c>
      <c r="BM72" s="62">
        <v>314.33999999999997</v>
      </c>
      <c r="BN72" s="62">
        <v>114.86</v>
      </c>
      <c r="BO72" s="62">
        <v>36.01</v>
      </c>
      <c r="BP72" s="62">
        <v>172.49</v>
      </c>
      <c r="BQ72" s="62">
        <v>316.8</v>
      </c>
      <c r="BR72" s="62">
        <v>573.64</v>
      </c>
      <c r="BS72" s="62">
        <v>177.2</v>
      </c>
      <c r="BT72" s="62">
        <v>0.28999999999999998</v>
      </c>
      <c r="BU72" s="62">
        <v>422.72</v>
      </c>
      <c r="BV72" s="62">
        <v>12.28</v>
      </c>
      <c r="BW72" s="62">
        <v>3103.45</v>
      </c>
      <c r="BX72" s="62">
        <v>1568.4</v>
      </c>
      <c r="BY72" s="62">
        <v>12.72</v>
      </c>
      <c r="BZ72" s="62">
        <v>810.43</v>
      </c>
      <c r="CA72" s="62">
        <v>843.8</v>
      </c>
      <c r="CB72" s="62">
        <v>48.1</v>
      </c>
      <c r="CC72" s="62">
        <v>835.33</v>
      </c>
      <c r="CD72" s="62">
        <v>92.7</v>
      </c>
      <c r="CE72" s="62">
        <v>4600</v>
      </c>
      <c r="CF72" s="62">
        <v>739.65</v>
      </c>
      <c r="CG72" s="62">
        <v>528.36</v>
      </c>
      <c r="CH72" s="62">
        <v>261.38</v>
      </c>
      <c r="CI72" s="62">
        <v>27.08</v>
      </c>
      <c r="CJ72" s="62">
        <v>98.29</v>
      </c>
      <c r="CK72" s="62">
        <v>79.39</v>
      </c>
      <c r="CL72" s="62">
        <v>348.98</v>
      </c>
      <c r="CM72" s="62">
        <v>2670.37</v>
      </c>
      <c r="CN72" s="62">
        <v>957.28</v>
      </c>
      <c r="CO72" s="62">
        <v>37.79</v>
      </c>
      <c r="CP72" s="62">
        <v>28.45</v>
      </c>
      <c r="CQ72" s="62">
        <v>1.3</v>
      </c>
      <c r="CR72" s="62">
        <v>28.5</v>
      </c>
      <c r="CS72" s="62">
        <v>157.41</v>
      </c>
      <c r="CT72" s="62">
        <v>25.35</v>
      </c>
      <c r="CU72" s="62">
        <v>6832.57</v>
      </c>
      <c r="CV72" s="62">
        <v>181.22</v>
      </c>
      <c r="CW72" s="62">
        <v>591.28</v>
      </c>
      <c r="CX72" s="62">
        <v>1081.73</v>
      </c>
      <c r="CY72" s="62">
        <v>1380.02</v>
      </c>
      <c r="CZ72" s="62">
        <v>410.52</v>
      </c>
      <c r="DA72" s="62">
        <v>22.7</v>
      </c>
      <c r="DB72" s="62">
        <v>5800.48</v>
      </c>
      <c r="DC72" s="62">
        <v>784.57</v>
      </c>
      <c r="DD72" s="62">
        <v>2.2999999999999998</v>
      </c>
      <c r="DE72" s="62">
        <v>607.16999999999996</v>
      </c>
      <c r="DF72" s="62">
        <v>615.9</v>
      </c>
      <c r="DG72" s="62">
        <v>136.62</v>
      </c>
      <c r="DH72" s="62">
        <v>3.64</v>
      </c>
      <c r="DI72" s="62">
        <v>1824.63</v>
      </c>
      <c r="DJ72" s="62">
        <v>263.37</v>
      </c>
      <c r="DK72" s="62">
        <v>3380</v>
      </c>
      <c r="DL72" s="62">
        <v>430.84</v>
      </c>
      <c r="DM72" s="62">
        <v>960.73</v>
      </c>
      <c r="DN72" s="62">
        <v>728.37</v>
      </c>
      <c r="DO72" s="62">
        <v>44.99</v>
      </c>
      <c r="DP72" s="62">
        <v>2896</v>
      </c>
    </row>
    <row r="73" spans="1:120" x14ac:dyDescent="0.3">
      <c r="A73" s="62">
        <v>43070</v>
      </c>
      <c r="B73" s="62">
        <v>249.08</v>
      </c>
      <c r="C73" s="62">
        <v>3.66</v>
      </c>
      <c r="D73" s="62">
        <v>239.38</v>
      </c>
      <c r="E73" s="62">
        <v>3548.08</v>
      </c>
      <c r="F73" s="62">
        <v>14.05</v>
      </c>
      <c r="G73" s="62">
        <v>1.48</v>
      </c>
      <c r="H73" s="62">
        <v>871.45</v>
      </c>
      <c r="I73" s="62">
        <v>513.04</v>
      </c>
      <c r="J73" s="62">
        <v>96.34</v>
      </c>
      <c r="K73" s="62">
        <v>7726.96</v>
      </c>
      <c r="L73" s="62">
        <v>91.91</v>
      </c>
      <c r="M73" s="62">
        <v>72.17</v>
      </c>
      <c r="N73" s="62">
        <v>99.43</v>
      </c>
      <c r="O73" s="62">
        <v>3.52</v>
      </c>
      <c r="P73" s="62">
        <v>18.829999999999998</v>
      </c>
      <c r="Q73" s="62">
        <v>728.62</v>
      </c>
      <c r="R73" s="62">
        <v>56.06</v>
      </c>
      <c r="S73" s="62">
        <v>28.85</v>
      </c>
      <c r="T73" s="62">
        <v>241.44</v>
      </c>
      <c r="U73" s="62">
        <v>1666.92</v>
      </c>
      <c r="V73" s="62">
        <v>245.21</v>
      </c>
      <c r="W73" s="62">
        <v>338.41</v>
      </c>
      <c r="X73" s="62">
        <v>3903.4</v>
      </c>
      <c r="Y73" s="62">
        <v>33.78</v>
      </c>
      <c r="Z73" s="62">
        <v>8.2899999999999991</v>
      </c>
      <c r="AA73" s="62">
        <v>752.04</v>
      </c>
      <c r="AB73" s="62">
        <v>2657.23</v>
      </c>
      <c r="AC73" s="62">
        <v>189.76</v>
      </c>
      <c r="AD73" s="62">
        <v>143.16999999999999</v>
      </c>
      <c r="AE73" s="62">
        <v>22.02</v>
      </c>
      <c r="AF73" s="62">
        <v>7503.68</v>
      </c>
      <c r="AG73" s="62">
        <v>4872.3100000000004</v>
      </c>
      <c r="AH73" s="62">
        <v>79.38</v>
      </c>
      <c r="AI73" s="62">
        <v>10305.549999999999</v>
      </c>
      <c r="AJ73" s="62">
        <v>848.13</v>
      </c>
      <c r="AK73" s="62">
        <v>1209.9000000000001</v>
      </c>
      <c r="AL73" s="62">
        <v>19.78</v>
      </c>
      <c r="AM73" s="62">
        <v>1.18</v>
      </c>
      <c r="AN73" s="62">
        <v>2380</v>
      </c>
      <c r="AO73" s="62">
        <v>45.08</v>
      </c>
      <c r="AP73" s="62">
        <v>9.73</v>
      </c>
      <c r="AQ73" s="62">
        <v>1757.82</v>
      </c>
      <c r="AR73" s="62">
        <v>241.25</v>
      </c>
      <c r="AS73" s="62">
        <v>212.35</v>
      </c>
      <c r="AT73" s="62">
        <v>1126.18</v>
      </c>
      <c r="AU73" s="62">
        <v>24.32</v>
      </c>
      <c r="AV73" s="62">
        <v>1822.97</v>
      </c>
      <c r="AW73" s="62">
        <v>374.33</v>
      </c>
      <c r="AX73" s="62">
        <v>38.729999999999997</v>
      </c>
      <c r="AY73" s="62">
        <v>1942.09</v>
      </c>
      <c r="AZ73" s="62">
        <v>67.92</v>
      </c>
      <c r="BA73" s="62">
        <v>2512.4299999999998</v>
      </c>
      <c r="BB73" s="62">
        <v>73.319999999999993</v>
      </c>
      <c r="BC73" s="62">
        <v>100.81</v>
      </c>
      <c r="BD73" s="62">
        <v>225.09</v>
      </c>
      <c r="BE73" s="62">
        <v>24.25</v>
      </c>
      <c r="BF73" s="62">
        <v>4587.46</v>
      </c>
      <c r="BG73" s="62">
        <v>7445.52</v>
      </c>
      <c r="BH73" s="62">
        <v>1268.1400000000001</v>
      </c>
      <c r="BI73" s="62">
        <v>170.55</v>
      </c>
      <c r="BJ73" s="62">
        <v>294.29000000000002</v>
      </c>
      <c r="BK73" s="62">
        <v>22.95</v>
      </c>
      <c r="BL73" s="62">
        <v>30.29</v>
      </c>
      <c r="BM73" s="62">
        <v>312.95</v>
      </c>
      <c r="BN73" s="62">
        <v>114.06</v>
      </c>
      <c r="BO73" s="62">
        <v>38.31</v>
      </c>
      <c r="BP73" s="62">
        <v>174.45</v>
      </c>
      <c r="BQ73" s="62">
        <v>300.69</v>
      </c>
      <c r="BR73" s="62">
        <v>591.95000000000005</v>
      </c>
      <c r="BS73" s="62">
        <v>163.21</v>
      </c>
      <c r="BT73" s="62">
        <v>0.59</v>
      </c>
      <c r="BU73" s="62">
        <v>430.26</v>
      </c>
      <c r="BV73" s="62">
        <v>14.51</v>
      </c>
      <c r="BW73" s="62">
        <v>3225.95</v>
      </c>
      <c r="BX73" s="62">
        <v>1574.46</v>
      </c>
      <c r="BY73" s="62">
        <v>13.74</v>
      </c>
      <c r="BZ73" s="62">
        <v>800.45</v>
      </c>
      <c r="CA73" s="62">
        <v>959.04</v>
      </c>
      <c r="CB73" s="62">
        <v>48.1</v>
      </c>
      <c r="CC73" s="62">
        <v>854.99</v>
      </c>
      <c r="CD73" s="62">
        <v>91.24</v>
      </c>
      <c r="CE73" s="62">
        <v>5250</v>
      </c>
      <c r="CF73" s="62">
        <v>755.57</v>
      </c>
      <c r="CG73" s="62">
        <v>540.94000000000005</v>
      </c>
      <c r="CH73" s="62">
        <v>271.38</v>
      </c>
      <c r="CI73" s="62">
        <v>27.08</v>
      </c>
      <c r="CJ73" s="62">
        <v>99.87</v>
      </c>
      <c r="CK73" s="62">
        <v>128.07</v>
      </c>
      <c r="CL73" s="62">
        <v>358.62</v>
      </c>
      <c r="CM73" s="62">
        <v>2677.11</v>
      </c>
      <c r="CN73" s="62">
        <v>961.17</v>
      </c>
      <c r="CO73" s="62">
        <v>39.5</v>
      </c>
      <c r="CP73" s="62">
        <v>28.98</v>
      </c>
      <c r="CQ73" s="62">
        <v>1.46</v>
      </c>
      <c r="CR73" s="62">
        <v>28.5</v>
      </c>
      <c r="CS73" s="62">
        <v>157.41</v>
      </c>
      <c r="CT73" s="62">
        <v>10.3</v>
      </c>
      <c r="CU73" s="62">
        <v>6697.43</v>
      </c>
      <c r="CV73" s="62">
        <v>182.12</v>
      </c>
      <c r="CW73" s="62">
        <v>649.67999999999995</v>
      </c>
      <c r="CX73" s="62">
        <v>1157.56</v>
      </c>
      <c r="CY73" s="62">
        <v>1326.25</v>
      </c>
      <c r="CZ73" s="62">
        <v>422.77</v>
      </c>
      <c r="DA73" s="62">
        <v>21.84</v>
      </c>
      <c r="DB73" s="62">
        <v>6056.16</v>
      </c>
      <c r="DC73" s="62">
        <v>787.69</v>
      </c>
      <c r="DD73" s="62">
        <v>2.2999999999999998</v>
      </c>
      <c r="DE73" s="62">
        <v>635.33000000000004</v>
      </c>
      <c r="DF73" s="62">
        <v>634.04999999999995</v>
      </c>
      <c r="DG73" s="62">
        <v>229.38</v>
      </c>
      <c r="DH73" s="62">
        <v>2.4300000000000002</v>
      </c>
      <c r="DI73" s="62">
        <v>1830.89</v>
      </c>
      <c r="DJ73" s="62">
        <v>268.45</v>
      </c>
      <c r="DK73" s="62">
        <v>3400</v>
      </c>
      <c r="DL73" s="62">
        <v>451.43</v>
      </c>
      <c r="DM73" s="62">
        <v>949.87</v>
      </c>
      <c r="DN73" s="62">
        <v>711.03</v>
      </c>
      <c r="DO73" s="62">
        <v>42.42</v>
      </c>
      <c r="DP73" s="62">
        <v>3052</v>
      </c>
    </row>
    <row r="74" spans="1:120" x14ac:dyDescent="0.3">
      <c r="A74" s="62">
        <v>43101</v>
      </c>
      <c r="B74" s="62">
        <v>257.58</v>
      </c>
      <c r="C74" s="62">
        <v>3.66</v>
      </c>
      <c r="D74" s="62">
        <v>223.81</v>
      </c>
      <c r="E74" s="62">
        <v>3581.76</v>
      </c>
      <c r="F74" s="62">
        <v>15.5</v>
      </c>
      <c r="G74" s="62">
        <v>1.48</v>
      </c>
      <c r="H74" s="62">
        <v>897.33</v>
      </c>
      <c r="I74" s="62">
        <v>525.45000000000005</v>
      </c>
      <c r="J74" s="62">
        <v>97.15</v>
      </c>
      <c r="K74" s="62">
        <v>7762.9</v>
      </c>
      <c r="L74" s="62">
        <v>94.53</v>
      </c>
      <c r="M74" s="62">
        <v>75.739999999999995</v>
      </c>
      <c r="N74" s="62">
        <v>100.01</v>
      </c>
      <c r="O74" s="62">
        <v>3.52</v>
      </c>
      <c r="P74" s="62">
        <v>18.829999999999998</v>
      </c>
      <c r="Q74" s="62">
        <v>761.74</v>
      </c>
      <c r="R74" s="62">
        <v>51.88</v>
      </c>
      <c r="S74" s="62">
        <v>28.16</v>
      </c>
      <c r="T74" s="62">
        <v>246.99</v>
      </c>
      <c r="U74" s="62">
        <v>1783.71</v>
      </c>
      <c r="V74" s="62">
        <v>248.48</v>
      </c>
      <c r="W74" s="62">
        <v>378.7</v>
      </c>
      <c r="X74" s="62">
        <v>3982.49</v>
      </c>
      <c r="Y74" s="62">
        <v>24.48</v>
      </c>
      <c r="Z74" s="62">
        <v>4.1500000000000004</v>
      </c>
      <c r="AA74" s="62">
        <v>813.7</v>
      </c>
      <c r="AB74" s="62">
        <v>2829.6</v>
      </c>
      <c r="AC74" s="62">
        <v>236.7</v>
      </c>
      <c r="AD74" s="62">
        <v>141.77000000000001</v>
      </c>
      <c r="AE74" s="62">
        <v>22.02</v>
      </c>
      <c r="AF74" s="62">
        <v>8196.51</v>
      </c>
      <c r="AG74" s="62">
        <v>5297.5</v>
      </c>
      <c r="AH74" s="62">
        <v>78.33</v>
      </c>
      <c r="AI74" s="62">
        <v>10289.450000000001</v>
      </c>
      <c r="AJ74" s="62">
        <v>888.74</v>
      </c>
      <c r="AK74" s="62">
        <v>1189.74</v>
      </c>
      <c r="AL74" s="62">
        <v>19.78</v>
      </c>
      <c r="AM74" s="62">
        <v>0.39</v>
      </c>
      <c r="AN74" s="62">
        <v>2520</v>
      </c>
      <c r="AO74" s="62">
        <v>45.08</v>
      </c>
      <c r="AP74" s="62">
        <v>9.34</v>
      </c>
      <c r="AQ74" s="62">
        <v>1777.14</v>
      </c>
      <c r="AR74" s="62">
        <v>237.63</v>
      </c>
      <c r="AS74" s="62">
        <v>235.61</v>
      </c>
      <c r="AT74" s="62">
        <v>1158.81</v>
      </c>
      <c r="AU74" s="62">
        <v>32.950000000000003</v>
      </c>
      <c r="AV74" s="62">
        <v>1859.38</v>
      </c>
      <c r="AW74" s="62">
        <v>390.04</v>
      </c>
      <c r="AX74" s="62">
        <v>44.75</v>
      </c>
      <c r="AY74" s="62">
        <v>1995.68</v>
      </c>
      <c r="AZ74" s="62">
        <v>67.92</v>
      </c>
      <c r="BA74" s="62">
        <v>2556.7399999999998</v>
      </c>
      <c r="BB74" s="62">
        <v>73.319999999999993</v>
      </c>
      <c r="BC74" s="62">
        <v>100.34</v>
      </c>
      <c r="BD74" s="62">
        <v>224.26</v>
      </c>
      <c r="BE74" s="62">
        <v>32.26</v>
      </c>
      <c r="BF74" s="62">
        <v>4642.57</v>
      </c>
      <c r="BG74" s="62">
        <v>7496.78</v>
      </c>
      <c r="BH74" s="62">
        <v>1300.1099999999999</v>
      </c>
      <c r="BI74" s="62">
        <v>185.38</v>
      </c>
      <c r="BJ74" s="62">
        <v>287.95999999999998</v>
      </c>
      <c r="BK74" s="62">
        <v>27.86</v>
      </c>
      <c r="BL74" s="62">
        <v>36.799999999999997</v>
      </c>
      <c r="BM74" s="62">
        <v>319.88</v>
      </c>
      <c r="BN74" s="62">
        <v>111.67</v>
      </c>
      <c r="BO74" s="62">
        <v>42.06</v>
      </c>
      <c r="BP74" s="62">
        <v>172.49</v>
      </c>
      <c r="BQ74" s="62">
        <v>300.69</v>
      </c>
      <c r="BR74" s="62">
        <v>640.77</v>
      </c>
      <c r="BS74" s="62">
        <v>181.87</v>
      </c>
      <c r="BT74" s="62">
        <v>0.59</v>
      </c>
      <c r="BU74" s="62">
        <v>452.91</v>
      </c>
      <c r="BV74" s="62">
        <v>16.75</v>
      </c>
      <c r="BW74" s="62">
        <v>3362.07</v>
      </c>
      <c r="BX74" s="62">
        <v>1647.12</v>
      </c>
      <c r="BY74" s="62">
        <v>12.22</v>
      </c>
      <c r="BZ74" s="62">
        <v>837.85</v>
      </c>
      <c r="CA74" s="62">
        <v>1142.6199999999999</v>
      </c>
      <c r="CB74" s="62">
        <v>52.68</v>
      </c>
      <c r="CC74" s="62">
        <v>902.49</v>
      </c>
      <c r="CD74" s="62">
        <v>95.14</v>
      </c>
      <c r="CE74" s="62">
        <v>5295</v>
      </c>
      <c r="CF74" s="62">
        <v>777.1</v>
      </c>
      <c r="CG74" s="62">
        <v>668.14</v>
      </c>
      <c r="CH74" s="62">
        <v>268.36</v>
      </c>
      <c r="CI74" s="62">
        <v>27.08</v>
      </c>
      <c r="CJ74" s="62">
        <v>113.01</v>
      </c>
      <c r="CK74" s="62">
        <v>164.02</v>
      </c>
      <c r="CL74" s="62">
        <v>356.69</v>
      </c>
      <c r="CM74" s="62">
        <v>2798.49</v>
      </c>
      <c r="CN74" s="62">
        <v>1093.48</v>
      </c>
      <c r="CO74" s="62">
        <v>33.49</v>
      </c>
      <c r="CP74" s="62">
        <v>31.61</v>
      </c>
      <c r="CQ74" s="62">
        <v>1.1399999999999999</v>
      </c>
      <c r="CR74" s="62">
        <v>28.5</v>
      </c>
      <c r="CS74" s="62">
        <v>157.41</v>
      </c>
      <c r="CT74" s="62">
        <v>10.3</v>
      </c>
      <c r="CU74" s="62">
        <v>6660.86</v>
      </c>
      <c r="CV74" s="62">
        <v>190.28</v>
      </c>
      <c r="CW74" s="62">
        <v>646.03</v>
      </c>
      <c r="CX74" s="62">
        <v>1231.82</v>
      </c>
      <c r="CY74" s="62">
        <v>1290.4100000000001</v>
      </c>
      <c r="CZ74" s="62">
        <v>404.39</v>
      </c>
      <c r="DA74" s="62">
        <v>22.98</v>
      </c>
      <c r="DB74" s="62">
        <v>5895.45</v>
      </c>
      <c r="DC74" s="62">
        <v>828.33</v>
      </c>
      <c r="DD74" s="62">
        <v>179.21</v>
      </c>
      <c r="DE74" s="62">
        <v>641.59</v>
      </c>
      <c r="DF74" s="62">
        <v>732.06</v>
      </c>
      <c r="DG74" s="62">
        <v>227.69</v>
      </c>
      <c r="DH74" s="62">
        <v>4.8499999999999996</v>
      </c>
      <c r="DI74" s="62">
        <v>1871.58</v>
      </c>
      <c r="DJ74" s="62">
        <v>276.36</v>
      </c>
      <c r="DK74" s="62">
        <v>3470</v>
      </c>
      <c r="DL74" s="62">
        <v>474.5</v>
      </c>
      <c r="DM74" s="62">
        <v>962.25</v>
      </c>
      <c r="DN74" s="62">
        <v>721.43</v>
      </c>
      <c r="DO74" s="62">
        <v>41.14</v>
      </c>
      <c r="DP74" s="62">
        <v>3068</v>
      </c>
    </row>
    <row r="75" spans="1:120" x14ac:dyDescent="0.3">
      <c r="A75" s="62">
        <v>43132</v>
      </c>
      <c r="B75" s="62">
        <v>252.19</v>
      </c>
      <c r="C75" s="62">
        <v>3.66</v>
      </c>
      <c r="D75" s="62">
        <v>257.87</v>
      </c>
      <c r="E75" s="62">
        <v>3424.57</v>
      </c>
      <c r="F75" s="62">
        <v>17.440000000000001</v>
      </c>
      <c r="G75" s="62">
        <v>2.95</v>
      </c>
      <c r="H75" s="62">
        <v>880.79</v>
      </c>
      <c r="I75" s="62">
        <v>529.59</v>
      </c>
      <c r="J75" s="62">
        <v>98.77</v>
      </c>
      <c r="K75" s="62">
        <v>7954.57</v>
      </c>
      <c r="L75" s="62">
        <v>93.66</v>
      </c>
      <c r="M75" s="62">
        <v>75.739999999999995</v>
      </c>
      <c r="N75" s="62">
        <v>98.12</v>
      </c>
      <c r="O75" s="62">
        <v>3.52</v>
      </c>
      <c r="P75" s="62">
        <v>22.15</v>
      </c>
      <c r="Q75" s="62">
        <v>750.7</v>
      </c>
      <c r="R75" s="62">
        <v>51.88</v>
      </c>
      <c r="S75" s="62">
        <v>28.85</v>
      </c>
      <c r="T75" s="62">
        <v>263.64</v>
      </c>
      <c r="U75" s="62">
        <v>1741.25</v>
      </c>
      <c r="V75" s="62">
        <v>251.75</v>
      </c>
      <c r="W75" s="62">
        <v>414.7</v>
      </c>
      <c r="X75" s="62">
        <v>3910.87</v>
      </c>
      <c r="Y75" s="62">
        <v>29.37</v>
      </c>
      <c r="Z75" s="62">
        <v>4.1500000000000004</v>
      </c>
      <c r="AA75" s="62">
        <v>809.04</v>
      </c>
      <c r="AB75" s="62">
        <v>2805.2</v>
      </c>
      <c r="AC75" s="62">
        <v>250.58</v>
      </c>
      <c r="AD75" s="62">
        <v>145.36000000000001</v>
      </c>
      <c r="AE75" s="62">
        <v>22.46</v>
      </c>
      <c r="AF75" s="62">
        <v>7540.11</v>
      </c>
      <c r="AG75" s="62">
        <v>5436.91</v>
      </c>
      <c r="AH75" s="62">
        <v>80.94</v>
      </c>
      <c r="AI75" s="62">
        <v>10080.120000000001</v>
      </c>
      <c r="AJ75" s="62">
        <v>878.97</v>
      </c>
      <c r="AK75" s="62">
        <v>1226.97</v>
      </c>
      <c r="AL75" s="62">
        <v>15.09</v>
      </c>
      <c r="AM75" s="62">
        <v>0.59</v>
      </c>
      <c r="AN75" s="62">
        <v>2480</v>
      </c>
      <c r="AO75" s="62">
        <v>44.37</v>
      </c>
      <c r="AP75" s="62">
        <v>8.6199999999999992</v>
      </c>
      <c r="AQ75" s="62">
        <v>1744.95</v>
      </c>
      <c r="AR75" s="62">
        <v>284.87</v>
      </c>
      <c r="AS75" s="62">
        <v>255.3</v>
      </c>
      <c r="AT75" s="62">
        <v>1136.52</v>
      </c>
      <c r="AU75" s="62">
        <v>32.56</v>
      </c>
      <c r="AV75" s="62">
        <v>1800.57</v>
      </c>
      <c r="AW75" s="62">
        <v>379.57</v>
      </c>
      <c r="AX75" s="62">
        <v>43.03</v>
      </c>
      <c r="AY75" s="62">
        <v>1953.07</v>
      </c>
      <c r="AZ75" s="62">
        <v>66.44</v>
      </c>
      <c r="BA75" s="62">
        <v>2619.17</v>
      </c>
      <c r="BB75" s="62">
        <v>73.319999999999993</v>
      </c>
      <c r="BC75" s="62">
        <v>101.17</v>
      </c>
      <c r="BD75" s="62">
        <v>218.89</v>
      </c>
      <c r="BE75" s="62">
        <v>29.68</v>
      </c>
      <c r="BF75" s="62">
        <v>4670.12</v>
      </c>
      <c r="BG75" s="62">
        <v>7304.55</v>
      </c>
      <c r="BH75" s="62">
        <v>1312.89</v>
      </c>
      <c r="BI75" s="62">
        <v>174.26</v>
      </c>
      <c r="BJ75" s="62">
        <v>305.89</v>
      </c>
      <c r="BK75" s="62">
        <v>27.86</v>
      </c>
      <c r="BL75" s="62">
        <v>36.799999999999997</v>
      </c>
      <c r="BM75" s="62">
        <v>326.8</v>
      </c>
      <c r="BN75" s="62">
        <v>112.63</v>
      </c>
      <c r="BO75" s="62">
        <v>48.39</v>
      </c>
      <c r="BP75" s="62">
        <v>164.65</v>
      </c>
      <c r="BQ75" s="62">
        <v>303.38</v>
      </c>
      <c r="BR75" s="62">
        <v>622.46</v>
      </c>
      <c r="BS75" s="62">
        <v>200.52</v>
      </c>
      <c r="BT75" s="62">
        <v>1.03</v>
      </c>
      <c r="BU75" s="62">
        <v>437.81</v>
      </c>
      <c r="BV75" s="62">
        <v>21.44</v>
      </c>
      <c r="BW75" s="62">
        <v>3491.38</v>
      </c>
      <c r="BX75" s="62">
        <v>1604.73</v>
      </c>
      <c r="BY75" s="62">
        <v>11.69</v>
      </c>
      <c r="BZ75" s="62">
        <v>827.88</v>
      </c>
      <c r="CA75" s="62">
        <v>1136.56</v>
      </c>
      <c r="CB75" s="62">
        <v>51.54</v>
      </c>
      <c r="CC75" s="62">
        <v>928.46</v>
      </c>
      <c r="CD75" s="62">
        <v>107.34</v>
      </c>
      <c r="CE75" s="62">
        <v>5450</v>
      </c>
      <c r="CF75" s="62">
        <v>745.27</v>
      </c>
      <c r="CG75" s="62">
        <v>668.14</v>
      </c>
      <c r="CH75" s="62">
        <v>267.61</v>
      </c>
      <c r="CI75" s="62">
        <v>22.57</v>
      </c>
      <c r="CJ75" s="62">
        <v>108.63</v>
      </c>
      <c r="CK75" s="62">
        <v>142.30000000000001</v>
      </c>
      <c r="CL75" s="62">
        <v>350.91</v>
      </c>
      <c r="CM75" s="62">
        <v>2744.55</v>
      </c>
      <c r="CN75" s="62">
        <v>1120.72</v>
      </c>
      <c r="CO75" s="62">
        <v>34.35</v>
      </c>
      <c r="CP75" s="62">
        <v>31.61</v>
      </c>
      <c r="CQ75" s="62">
        <v>0.98</v>
      </c>
      <c r="CR75" s="62">
        <v>28.5</v>
      </c>
      <c r="CS75" s="62">
        <v>160.03</v>
      </c>
      <c r="CT75" s="62">
        <v>2.57</v>
      </c>
      <c r="CU75" s="62">
        <v>6514.07</v>
      </c>
      <c r="CV75" s="62">
        <v>194.81</v>
      </c>
      <c r="CW75" s="62">
        <v>638.73</v>
      </c>
      <c r="CX75" s="62">
        <v>1260.94</v>
      </c>
      <c r="CY75" s="62">
        <v>1254.56</v>
      </c>
      <c r="CZ75" s="62">
        <v>401.94</v>
      </c>
      <c r="DA75" s="62">
        <v>26.67</v>
      </c>
      <c r="DB75" s="62">
        <v>6764.79</v>
      </c>
      <c r="DC75" s="62">
        <v>787.69</v>
      </c>
      <c r="DD75" s="62">
        <v>171.06</v>
      </c>
      <c r="DE75" s="62">
        <v>622.82000000000005</v>
      </c>
      <c r="DF75" s="62">
        <v>696.97</v>
      </c>
      <c r="DG75" s="62">
        <v>229.38</v>
      </c>
      <c r="DH75" s="62">
        <v>3.64</v>
      </c>
      <c r="DI75" s="62">
        <v>1677.53</v>
      </c>
      <c r="DJ75" s="62">
        <v>271.27</v>
      </c>
      <c r="DK75" s="62">
        <v>3420</v>
      </c>
      <c r="DL75" s="62">
        <v>469.56</v>
      </c>
      <c r="DM75" s="62">
        <v>944.84</v>
      </c>
      <c r="DN75" s="62">
        <v>711.03</v>
      </c>
      <c r="DO75" s="62">
        <v>44.99</v>
      </c>
      <c r="DP75" s="62">
        <v>3028</v>
      </c>
    </row>
    <row r="76" spans="1:120" x14ac:dyDescent="0.3">
      <c r="A76" s="62">
        <v>43160</v>
      </c>
      <c r="B76" s="62">
        <v>241.33</v>
      </c>
      <c r="C76" s="62">
        <v>3.66</v>
      </c>
      <c r="D76" s="62">
        <v>218.94</v>
      </c>
      <c r="E76" s="62">
        <v>3716.5</v>
      </c>
      <c r="F76" s="62">
        <v>16.149999999999999</v>
      </c>
      <c r="G76" s="62">
        <v>2.95</v>
      </c>
      <c r="H76" s="62">
        <v>847.71</v>
      </c>
      <c r="I76" s="62">
        <v>500.63</v>
      </c>
      <c r="J76" s="62">
        <v>95.53</v>
      </c>
      <c r="K76" s="62">
        <v>7667.06</v>
      </c>
      <c r="L76" s="62">
        <v>93.22</v>
      </c>
      <c r="M76" s="62">
        <v>65.67</v>
      </c>
      <c r="N76" s="62">
        <v>97.88</v>
      </c>
      <c r="O76" s="62">
        <v>4.4000000000000004</v>
      </c>
      <c r="P76" s="62">
        <v>17.72</v>
      </c>
      <c r="Q76" s="62">
        <v>770.71</v>
      </c>
      <c r="R76" s="62">
        <v>47.71</v>
      </c>
      <c r="S76" s="62">
        <v>33.65</v>
      </c>
      <c r="T76" s="62">
        <v>249.76</v>
      </c>
      <c r="U76" s="62">
        <v>1584.11</v>
      </c>
      <c r="V76" s="62">
        <v>251.75</v>
      </c>
      <c r="W76" s="62">
        <v>355.46</v>
      </c>
      <c r="X76" s="62">
        <v>3767.61</v>
      </c>
      <c r="Y76" s="62">
        <v>61.19</v>
      </c>
      <c r="Z76" s="62">
        <v>4.1500000000000004</v>
      </c>
      <c r="AA76" s="62">
        <v>819.15</v>
      </c>
      <c r="AB76" s="62">
        <v>2707.57</v>
      </c>
      <c r="AC76" s="62">
        <v>231.41</v>
      </c>
      <c r="AD76" s="62">
        <v>100.5</v>
      </c>
      <c r="AE76" s="62">
        <v>22.37</v>
      </c>
      <c r="AF76" s="62">
        <v>7854.36</v>
      </c>
      <c r="AG76" s="62">
        <v>4481.96</v>
      </c>
      <c r="AH76" s="62">
        <v>78.86</v>
      </c>
      <c r="AI76" s="62">
        <v>9629.25</v>
      </c>
      <c r="AJ76" s="62">
        <v>822.82</v>
      </c>
      <c r="AK76" s="62">
        <v>1140.0999999999999</v>
      </c>
      <c r="AL76" s="62">
        <v>20.51</v>
      </c>
      <c r="AM76" s="62">
        <v>1.18</v>
      </c>
      <c r="AN76" s="62">
        <v>2335</v>
      </c>
      <c r="AO76" s="62">
        <v>44.37</v>
      </c>
      <c r="AP76" s="62">
        <v>5.4</v>
      </c>
      <c r="AQ76" s="62">
        <v>1712.75</v>
      </c>
      <c r="AR76" s="62">
        <v>229.04</v>
      </c>
      <c r="AS76" s="62">
        <v>275.58</v>
      </c>
      <c r="AT76" s="62">
        <v>1014.02</v>
      </c>
      <c r="AU76" s="62">
        <v>29.42</v>
      </c>
      <c r="AV76" s="62">
        <v>1736.16</v>
      </c>
      <c r="AW76" s="62">
        <v>358.63</v>
      </c>
      <c r="AX76" s="62">
        <v>43.89</v>
      </c>
      <c r="AY76" s="62">
        <v>1896.25</v>
      </c>
      <c r="AZ76" s="62">
        <v>66.44</v>
      </c>
      <c r="BA76" s="62">
        <v>2426.84</v>
      </c>
      <c r="BB76" s="62">
        <v>73.319999999999993</v>
      </c>
      <c r="BC76" s="62">
        <v>99.82</v>
      </c>
      <c r="BD76" s="62">
        <v>231.28</v>
      </c>
      <c r="BE76" s="62">
        <v>25.16</v>
      </c>
      <c r="BF76" s="62">
        <v>4408.37</v>
      </c>
      <c r="BG76" s="62">
        <v>7137.95</v>
      </c>
      <c r="BH76" s="62">
        <v>1253.22</v>
      </c>
      <c r="BI76" s="62">
        <v>155.72</v>
      </c>
      <c r="BJ76" s="62">
        <v>303.77999999999997</v>
      </c>
      <c r="BK76" s="62">
        <v>25.13</v>
      </c>
      <c r="BL76" s="62">
        <v>32.47</v>
      </c>
      <c r="BM76" s="62">
        <v>268.64</v>
      </c>
      <c r="BN76" s="62">
        <v>106.87</v>
      </c>
      <c r="BO76" s="62">
        <v>35.43</v>
      </c>
      <c r="BP76" s="62">
        <v>150.93</v>
      </c>
      <c r="BQ76" s="62">
        <v>287.27</v>
      </c>
      <c r="BR76" s="62">
        <v>604.15</v>
      </c>
      <c r="BS76" s="62">
        <v>179.53</v>
      </c>
      <c r="BT76" s="62">
        <v>0.44</v>
      </c>
      <c r="BU76" s="62">
        <v>460.46</v>
      </c>
      <c r="BV76" s="62">
        <v>19.54</v>
      </c>
      <c r="BW76" s="62">
        <v>3464.16</v>
      </c>
      <c r="BX76" s="62">
        <v>1544.18</v>
      </c>
      <c r="BY76" s="62">
        <v>4.45</v>
      </c>
      <c r="BZ76" s="62">
        <v>815.41</v>
      </c>
      <c r="CA76" s="62">
        <v>1059.69</v>
      </c>
      <c r="CB76" s="62">
        <v>43.52</v>
      </c>
      <c r="CC76" s="62">
        <v>890.13</v>
      </c>
      <c r="CD76" s="62">
        <v>102.46</v>
      </c>
      <c r="CE76" s="62">
        <v>5345</v>
      </c>
      <c r="CF76" s="62">
        <v>720.93</v>
      </c>
      <c r="CG76" s="62">
        <v>627.61</v>
      </c>
      <c r="CH76" s="62">
        <v>263.83999999999997</v>
      </c>
      <c r="CI76" s="62">
        <v>27.08</v>
      </c>
      <c r="CJ76" s="62">
        <v>117.39</v>
      </c>
      <c r="CK76" s="62">
        <v>157.28</v>
      </c>
      <c r="CL76" s="62">
        <v>362.47</v>
      </c>
      <c r="CM76" s="62">
        <v>2575.96</v>
      </c>
      <c r="CN76" s="62">
        <v>957.28</v>
      </c>
      <c r="CO76" s="62">
        <v>28.34</v>
      </c>
      <c r="CP76" s="62">
        <v>28.98</v>
      </c>
      <c r="CQ76" s="62">
        <v>1.06</v>
      </c>
      <c r="CR76" s="62">
        <v>28.5</v>
      </c>
      <c r="CS76" s="62">
        <v>160.03</v>
      </c>
      <c r="CT76" s="62">
        <v>2.57</v>
      </c>
      <c r="CU76" s="62">
        <v>6137.9</v>
      </c>
      <c r="CV76" s="62">
        <v>189.37</v>
      </c>
      <c r="CW76" s="62">
        <v>616.83000000000004</v>
      </c>
      <c r="CX76" s="62">
        <v>1415.48</v>
      </c>
      <c r="CY76" s="62">
        <v>1394.35</v>
      </c>
      <c r="CZ76" s="62">
        <v>394.59</v>
      </c>
      <c r="DA76" s="62">
        <v>25.53</v>
      </c>
      <c r="DB76" s="62">
        <v>9575.84</v>
      </c>
      <c r="DC76" s="62">
        <v>747.06</v>
      </c>
      <c r="DD76" s="62">
        <v>162.91999999999999</v>
      </c>
      <c r="DE76" s="62">
        <v>582.13</v>
      </c>
      <c r="DF76" s="62">
        <v>727.02</v>
      </c>
      <c r="DG76" s="62">
        <v>237.81</v>
      </c>
      <c r="DH76" s="62">
        <v>2.4300000000000002</v>
      </c>
      <c r="DI76" s="62">
        <v>1633.72</v>
      </c>
      <c r="DJ76" s="62">
        <v>244.14</v>
      </c>
      <c r="DK76" s="62">
        <v>3300</v>
      </c>
      <c r="DL76" s="62">
        <v>444.84</v>
      </c>
      <c r="DM76" s="62">
        <v>920.89</v>
      </c>
      <c r="DN76" s="62">
        <v>697.15</v>
      </c>
      <c r="DO76" s="62">
        <v>40.619999999999997</v>
      </c>
      <c r="DP76" s="62">
        <v>2796</v>
      </c>
    </row>
    <row r="77" spans="1:120" x14ac:dyDescent="0.3">
      <c r="A77" s="62">
        <v>43191</v>
      </c>
      <c r="B77" s="62">
        <v>230.21</v>
      </c>
      <c r="C77" s="62">
        <v>3.66</v>
      </c>
      <c r="D77" s="62">
        <v>243.27</v>
      </c>
      <c r="E77" s="62">
        <v>3626.68</v>
      </c>
      <c r="F77" s="62">
        <v>13.24</v>
      </c>
      <c r="G77" s="62">
        <v>1.48</v>
      </c>
      <c r="H77" s="62">
        <v>827.03</v>
      </c>
      <c r="I77" s="62">
        <v>488.21</v>
      </c>
      <c r="J77" s="62">
        <v>94.72</v>
      </c>
      <c r="K77" s="62">
        <v>7331.63</v>
      </c>
      <c r="L77" s="62">
        <v>92.78</v>
      </c>
      <c r="M77" s="62">
        <v>61.77</v>
      </c>
      <c r="N77" s="62">
        <v>94.58</v>
      </c>
      <c r="O77" s="62">
        <v>5.28</v>
      </c>
      <c r="P77" s="62">
        <v>18.829999999999998</v>
      </c>
      <c r="Q77" s="62">
        <v>788.53</v>
      </c>
      <c r="R77" s="62">
        <v>52.48</v>
      </c>
      <c r="S77" s="62">
        <v>39.83</v>
      </c>
      <c r="T77" s="62">
        <v>255.31</v>
      </c>
      <c r="U77" s="62">
        <v>1698.78</v>
      </c>
      <c r="V77" s="62">
        <v>250.77</v>
      </c>
      <c r="W77" s="62">
        <v>317.64</v>
      </c>
      <c r="X77" s="62">
        <v>3760.45</v>
      </c>
      <c r="Y77" s="62">
        <v>34.270000000000003</v>
      </c>
      <c r="Z77" s="62">
        <v>4.1500000000000004</v>
      </c>
      <c r="AA77" s="62">
        <v>857.58</v>
      </c>
      <c r="AB77" s="62">
        <v>2738.08</v>
      </c>
      <c r="AC77" s="62">
        <v>260.77999999999997</v>
      </c>
      <c r="AD77" s="62">
        <v>93.32</v>
      </c>
      <c r="AE77" s="62">
        <v>22.02</v>
      </c>
      <c r="AF77" s="62">
        <v>7540.23</v>
      </c>
      <c r="AG77" s="62">
        <v>4203.1499999999996</v>
      </c>
      <c r="AH77" s="62">
        <v>77.81</v>
      </c>
      <c r="AI77" s="62">
        <v>9516.5300000000007</v>
      </c>
      <c r="AJ77" s="62">
        <v>805.32</v>
      </c>
      <c r="AK77" s="62">
        <v>1174.23</v>
      </c>
      <c r="AL77" s="62">
        <v>17.579999999999998</v>
      </c>
      <c r="AM77" s="62">
        <v>1.18</v>
      </c>
      <c r="AN77" s="62">
        <v>2375</v>
      </c>
      <c r="AO77" s="62">
        <v>42.97</v>
      </c>
      <c r="AP77" s="62">
        <v>5.12</v>
      </c>
      <c r="AQ77" s="62">
        <v>1712.75</v>
      </c>
      <c r="AR77" s="62">
        <v>229.04</v>
      </c>
      <c r="AS77" s="62">
        <v>301.23</v>
      </c>
      <c r="AT77" s="62">
        <v>980.64</v>
      </c>
      <c r="AU77" s="62">
        <v>32.950000000000003</v>
      </c>
      <c r="AV77" s="62">
        <v>1734.69</v>
      </c>
      <c r="AW77" s="62">
        <v>366.48</v>
      </c>
      <c r="AX77" s="62">
        <v>43.03</v>
      </c>
      <c r="AY77" s="62">
        <v>1903.36</v>
      </c>
      <c r="AZ77" s="62">
        <v>88.59</v>
      </c>
      <c r="BA77" s="62">
        <v>2477.19</v>
      </c>
      <c r="BB77" s="62">
        <v>73.319999999999993</v>
      </c>
      <c r="BC77" s="62">
        <v>98.58</v>
      </c>
      <c r="BD77" s="62">
        <v>220.96</v>
      </c>
      <c r="BE77" s="62">
        <v>22.58</v>
      </c>
      <c r="BF77" s="62">
        <v>4435.92</v>
      </c>
      <c r="BG77" s="62">
        <v>7317.36</v>
      </c>
      <c r="BH77" s="62">
        <v>1246.82</v>
      </c>
      <c r="BI77" s="62">
        <v>137.18</v>
      </c>
      <c r="BJ77" s="62">
        <v>301.67</v>
      </c>
      <c r="BK77" s="62">
        <v>26.22</v>
      </c>
      <c r="BL77" s="62">
        <v>36.799999999999997</v>
      </c>
      <c r="BM77" s="62">
        <v>296.33999999999997</v>
      </c>
      <c r="BN77" s="62">
        <v>101.12</v>
      </c>
      <c r="BO77" s="62">
        <v>36.01</v>
      </c>
      <c r="BP77" s="62">
        <v>172.49</v>
      </c>
      <c r="BQ77" s="62">
        <v>287.27</v>
      </c>
      <c r="BR77" s="62">
        <v>598.04999999999995</v>
      </c>
      <c r="BS77" s="62">
        <v>179.53</v>
      </c>
      <c r="BT77" s="62">
        <v>0.88</v>
      </c>
      <c r="BU77" s="62">
        <v>452.91</v>
      </c>
      <c r="BV77" s="62">
        <v>23.45</v>
      </c>
      <c r="BW77" s="62">
        <v>3259.98</v>
      </c>
      <c r="BX77" s="62">
        <v>1550.23</v>
      </c>
      <c r="BY77" s="62">
        <v>5.01</v>
      </c>
      <c r="BZ77" s="62">
        <v>817.91</v>
      </c>
      <c r="CA77" s="62">
        <v>1180.56</v>
      </c>
      <c r="CB77" s="62">
        <v>45.81</v>
      </c>
      <c r="CC77" s="62">
        <v>886.42</v>
      </c>
      <c r="CD77" s="62">
        <v>119.54</v>
      </c>
      <c r="CE77" s="62">
        <v>5295</v>
      </c>
      <c r="CF77" s="62">
        <v>695.65</v>
      </c>
      <c r="CG77" s="62">
        <v>630.4</v>
      </c>
      <c r="CH77" s="62">
        <v>249.52</v>
      </c>
      <c r="CI77" s="62">
        <v>22.57</v>
      </c>
      <c r="CJ77" s="62">
        <v>112.14</v>
      </c>
      <c r="CK77" s="62">
        <v>183.49</v>
      </c>
      <c r="CL77" s="62">
        <v>350.91</v>
      </c>
      <c r="CM77" s="62">
        <v>2653.33</v>
      </c>
      <c r="CN77" s="62">
        <v>891.13</v>
      </c>
      <c r="CO77" s="62">
        <v>34.35</v>
      </c>
      <c r="CP77" s="62">
        <v>26.34</v>
      </c>
      <c r="CQ77" s="62">
        <v>0.89</v>
      </c>
      <c r="CR77" s="62">
        <v>29.21</v>
      </c>
      <c r="CS77" s="62">
        <v>166.59</v>
      </c>
      <c r="CT77" s="62">
        <v>2.57</v>
      </c>
      <c r="CU77" s="62">
        <v>6128.73</v>
      </c>
      <c r="CV77" s="62">
        <v>183.03</v>
      </c>
      <c r="CW77" s="62">
        <v>620.48</v>
      </c>
      <c r="CX77" s="62">
        <v>1559.96</v>
      </c>
      <c r="CY77" s="62">
        <v>1503.68</v>
      </c>
      <c r="CZ77" s="62">
        <v>392.14</v>
      </c>
      <c r="DA77" s="62">
        <v>26.1</v>
      </c>
      <c r="DB77" s="62">
        <v>9036.98</v>
      </c>
      <c r="DC77" s="62">
        <v>715.8</v>
      </c>
      <c r="DD77" s="62">
        <v>160.47999999999999</v>
      </c>
      <c r="DE77" s="62">
        <v>560.22</v>
      </c>
      <c r="DF77" s="62">
        <v>740.85</v>
      </c>
      <c r="DG77" s="62">
        <v>273.23</v>
      </c>
      <c r="DH77" s="62">
        <v>4.8499999999999996</v>
      </c>
      <c r="DI77" s="62">
        <v>1749.52</v>
      </c>
      <c r="DJ77" s="62">
        <v>256.01</v>
      </c>
      <c r="DK77" s="62">
        <v>3150</v>
      </c>
      <c r="DL77" s="62">
        <v>471.2</v>
      </c>
      <c r="DM77" s="62">
        <v>907.83</v>
      </c>
      <c r="DN77" s="62">
        <v>697.15</v>
      </c>
      <c r="DO77" s="62">
        <v>41.14</v>
      </c>
      <c r="DP77" s="62">
        <v>2800</v>
      </c>
    </row>
    <row r="78" spans="1:120" x14ac:dyDescent="0.3">
      <c r="A78" s="62">
        <v>43221</v>
      </c>
      <c r="B78" s="62">
        <v>219.34</v>
      </c>
      <c r="C78" s="62">
        <v>3.66</v>
      </c>
      <c r="D78" s="62">
        <v>232.57</v>
      </c>
      <c r="E78" s="62">
        <v>3654.75</v>
      </c>
      <c r="F78" s="62">
        <v>13.73</v>
      </c>
      <c r="G78" s="62">
        <v>1.48</v>
      </c>
      <c r="H78" s="62">
        <v>839.44</v>
      </c>
      <c r="I78" s="62">
        <v>492.6</v>
      </c>
      <c r="J78" s="62">
        <v>95.53</v>
      </c>
      <c r="K78" s="62">
        <v>7684.44</v>
      </c>
      <c r="L78" s="62">
        <v>91.03</v>
      </c>
      <c r="M78" s="62">
        <v>57.54</v>
      </c>
      <c r="N78" s="62">
        <v>97.09</v>
      </c>
      <c r="O78" s="62">
        <v>5.28</v>
      </c>
      <c r="P78" s="62">
        <v>19.940000000000001</v>
      </c>
      <c r="Q78" s="62">
        <v>773.45</v>
      </c>
      <c r="R78" s="62">
        <v>42.34</v>
      </c>
      <c r="S78" s="62">
        <v>34.340000000000003</v>
      </c>
      <c r="T78" s="62">
        <v>258.08999999999997</v>
      </c>
      <c r="U78" s="62">
        <v>1740.05</v>
      </c>
      <c r="V78" s="62">
        <v>255.02</v>
      </c>
      <c r="W78" s="62">
        <v>323.56</v>
      </c>
      <c r="X78" s="62">
        <v>3889.38</v>
      </c>
      <c r="Y78" s="62">
        <v>30.84</v>
      </c>
      <c r="Z78" s="62">
        <v>4.1500000000000004</v>
      </c>
      <c r="AA78" s="62">
        <v>844.44</v>
      </c>
      <c r="AB78" s="62">
        <v>2707.57</v>
      </c>
      <c r="AC78" s="62">
        <v>239.68</v>
      </c>
      <c r="AD78" s="62">
        <v>87.93</v>
      </c>
      <c r="AE78" s="62">
        <v>22.02</v>
      </c>
      <c r="AF78" s="62">
        <v>7307.05</v>
      </c>
      <c r="AG78" s="62">
        <v>5290.75</v>
      </c>
      <c r="AH78" s="62">
        <v>74.16</v>
      </c>
      <c r="AI78" s="62">
        <v>9252.43</v>
      </c>
      <c r="AJ78" s="62">
        <v>764.76</v>
      </c>
      <c r="AK78" s="62">
        <v>1155.6099999999999</v>
      </c>
      <c r="AL78" s="62">
        <v>20.04</v>
      </c>
      <c r="AM78" s="62">
        <v>1.18</v>
      </c>
      <c r="AN78" s="62">
        <v>2299.38</v>
      </c>
      <c r="AO78" s="62">
        <v>40.85</v>
      </c>
      <c r="AP78" s="62">
        <v>5.12</v>
      </c>
      <c r="AQ78" s="62">
        <v>1751.38</v>
      </c>
      <c r="AR78" s="62">
        <v>213.3</v>
      </c>
      <c r="AS78" s="62">
        <v>276.17</v>
      </c>
      <c r="AT78" s="62">
        <v>1008.26</v>
      </c>
      <c r="AU78" s="62">
        <v>43.93</v>
      </c>
      <c r="AV78" s="62">
        <v>1786.89</v>
      </c>
      <c r="AW78" s="62">
        <v>371.72</v>
      </c>
      <c r="AX78" s="62">
        <v>36.14</v>
      </c>
      <c r="AY78" s="62">
        <v>1896.34</v>
      </c>
      <c r="AZ78" s="62">
        <v>84.58</v>
      </c>
      <c r="BA78" s="62">
        <v>2492.29</v>
      </c>
      <c r="BB78" s="62">
        <v>73.319999999999993</v>
      </c>
      <c r="BC78" s="62">
        <v>101.91</v>
      </c>
      <c r="BD78" s="62">
        <v>220.13</v>
      </c>
      <c r="BE78" s="62">
        <v>18.71</v>
      </c>
      <c r="BF78" s="62">
        <v>4387.71</v>
      </c>
      <c r="BG78" s="62">
        <v>7624.93</v>
      </c>
      <c r="BH78" s="62">
        <v>1219.1199999999999</v>
      </c>
      <c r="BI78" s="62">
        <v>161.28</v>
      </c>
      <c r="BJ78" s="62">
        <v>298.5</v>
      </c>
      <c r="BK78" s="62">
        <v>27.86</v>
      </c>
      <c r="BL78" s="62">
        <v>32.47</v>
      </c>
      <c r="BM78" s="62">
        <v>319.88</v>
      </c>
      <c r="BN78" s="62">
        <v>98.65</v>
      </c>
      <c r="BO78" s="62">
        <v>35.72</v>
      </c>
      <c r="BP78" s="62">
        <v>162.69</v>
      </c>
      <c r="BQ78" s="62">
        <v>287.5</v>
      </c>
      <c r="BR78" s="62">
        <v>604.15</v>
      </c>
      <c r="BS78" s="62">
        <v>153.88999999999999</v>
      </c>
      <c r="BT78" s="62">
        <v>1.33</v>
      </c>
      <c r="BU78" s="62">
        <v>452.91</v>
      </c>
      <c r="BV78" s="62">
        <v>20.239999999999998</v>
      </c>
      <c r="BW78" s="62">
        <v>3328.04</v>
      </c>
      <c r="BX78" s="62">
        <v>1544.18</v>
      </c>
      <c r="BY78" s="62">
        <v>4.45</v>
      </c>
      <c r="BZ78" s="62">
        <v>822.89</v>
      </c>
      <c r="CA78" s="62">
        <v>1098.2</v>
      </c>
      <c r="CB78" s="62">
        <v>43.52</v>
      </c>
      <c r="CC78" s="62">
        <v>913.62</v>
      </c>
      <c r="CD78" s="62">
        <v>117.1</v>
      </c>
      <c r="CE78" s="62">
        <v>5250</v>
      </c>
      <c r="CF78" s="62">
        <v>711.56</v>
      </c>
      <c r="CG78" s="62">
        <v>630.4</v>
      </c>
      <c r="CH78" s="62">
        <v>250.48</v>
      </c>
      <c r="CI78" s="62">
        <v>22.57</v>
      </c>
      <c r="CJ78" s="62">
        <v>114.1</v>
      </c>
      <c r="CK78" s="62">
        <v>196.97</v>
      </c>
      <c r="CL78" s="62">
        <v>347.05</v>
      </c>
      <c r="CM78" s="62">
        <v>2748.58</v>
      </c>
      <c r="CN78" s="62">
        <v>875.56</v>
      </c>
      <c r="CO78" s="62">
        <v>34.35</v>
      </c>
      <c r="CP78" s="62">
        <v>23.71</v>
      </c>
      <c r="CQ78" s="62">
        <v>0.65</v>
      </c>
      <c r="CR78" s="62">
        <v>30.58</v>
      </c>
      <c r="CS78" s="62">
        <v>169.22</v>
      </c>
      <c r="CT78" s="62">
        <v>2.57</v>
      </c>
      <c r="CU78" s="62">
        <v>6332.09</v>
      </c>
      <c r="CV78" s="62">
        <v>182.12</v>
      </c>
      <c r="CW78" s="62">
        <v>631.42999999999995</v>
      </c>
      <c r="CX78" s="62">
        <v>1550.97</v>
      </c>
      <c r="CY78" s="62">
        <v>1792.23</v>
      </c>
      <c r="CZ78" s="62">
        <v>382.33</v>
      </c>
      <c r="DA78" s="62">
        <v>25.82</v>
      </c>
      <c r="DB78" s="62">
        <v>8848.07</v>
      </c>
      <c r="DC78" s="62">
        <v>740.81</v>
      </c>
      <c r="DD78" s="62">
        <v>154.77000000000001</v>
      </c>
      <c r="DE78" s="62">
        <v>604.04</v>
      </c>
      <c r="DF78" s="62">
        <v>748.67</v>
      </c>
      <c r="DG78" s="62">
        <v>273.23</v>
      </c>
      <c r="DH78" s="62">
        <v>3.64</v>
      </c>
      <c r="DI78" s="62">
        <v>1796.46</v>
      </c>
      <c r="DJ78" s="62">
        <v>253.56</v>
      </c>
      <c r="DK78" s="62">
        <v>3190</v>
      </c>
      <c r="DL78" s="62">
        <v>497.66</v>
      </c>
      <c r="DM78" s="62">
        <v>900.61</v>
      </c>
      <c r="DN78" s="62">
        <v>697.15</v>
      </c>
      <c r="DO78" s="62">
        <v>35.99</v>
      </c>
      <c r="DP78" s="62">
        <v>2900</v>
      </c>
    </row>
    <row r="79" spans="1:120" x14ac:dyDescent="0.3">
      <c r="A79" s="62">
        <v>43252</v>
      </c>
      <c r="B79" s="62">
        <v>228.91</v>
      </c>
      <c r="C79" s="62">
        <v>3.66</v>
      </c>
      <c r="D79" s="62">
        <v>231.59</v>
      </c>
      <c r="E79" s="62">
        <v>3649.13</v>
      </c>
      <c r="F79" s="62">
        <v>12.76</v>
      </c>
      <c r="G79" s="62">
        <v>1.48</v>
      </c>
      <c r="H79" s="62">
        <v>889.06</v>
      </c>
      <c r="I79" s="62">
        <v>521.58000000000004</v>
      </c>
      <c r="J79" s="62">
        <v>95.53</v>
      </c>
      <c r="K79" s="62">
        <v>7961.03</v>
      </c>
      <c r="L79" s="62">
        <v>94.53</v>
      </c>
      <c r="M79" s="62">
        <v>61.77</v>
      </c>
      <c r="N79" s="62">
        <v>100.29</v>
      </c>
      <c r="O79" s="62">
        <v>6.6</v>
      </c>
      <c r="P79" s="62">
        <v>16.61</v>
      </c>
      <c r="Q79" s="62">
        <v>778.04</v>
      </c>
      <c r="R79" s="62">
        <v>44.13</v>
      </c>
      <c r="S79" s="62">
        <v>37.770000000000003</v>
      </c>
      <c r="T79" s="62">
        <v>261.43</v>
      </c>
      <c r="U79" s="62">
        <v>1748.64</v>
      </c>
      <c r="V79" s="62">
        <v>251.75</v>
      </c>
      <c r="W79" s="62">
        <v>265.68</v>
      </c>
      <c r="X79" s="62">
        <v>4118.59</v>
      </c>
      <c r="Y79" s="62">
        <v>34.270000000000003</v>
      </c>
      <c r="Z79" s="62">
        <v>4.1500000000000004</v>
      </c>
      <c r="AA79" s="62">
        <v>884.89</v>
      </c>
      <c r="AB79" s="62">
        <v>2733.5</v>
      </c>
      <c r="AC79" s="62">
        <v>235.59</v>
      </c>
      <c r="AD79" s="62">
        <v>102.29</v>
      </c>
      <c r="AE79" s="62">
        <v>19.38</v>
      </c>
      <c r="AF79" s="62">
        <v>7702</v>
      </c>
      <c r="AG79" s="62">
        <v>5615.02</v>
      </c>
      <c r="AH79" s="62">
        <v>78.33</v>
      </c>
      <c r="AI79" s="62">
        <v>8414.23</v>
      </c>
      <c r="AJ79" s="62">
        <v>662.91</v>
      </c>
      <c r="AK79" s="62">
        <v>1208.3499999999999</v>
      </c>
      <c r="AL79" s="62">
        <v>19.3</v>
      </c>
      <c r="AM79" s="62">
        <v>1.18</v>
      </c>
      <c r="AN79" s="62">
        <v>2425.44</v>
      </c>
      <c r="AO79" s="62">
        <v>43.67</v>
      </c>
      <c r="AP79" s="62">
        <v>8.2799999999999994</v>
      </c>
      <c r="AQ79" s="62">
        <v>1835.09</v>
      </c>
      <c r="AR79" s="62">
        <v>230.48</v>
      </c>
      <c r="AS79" s="62">
        <v>262.45999999999998</v>
      </c>
      <c r="AT79" s="62">
        <v>1002.66</v>
      </c>
      <c r="AU79" s="62">
        <v>39.229999999999997</v>
      </c>
      <c r="AV79" s="62">
        <v>1845.62</v>
      </c>
      <c r="AW79" s="62">
        <v>390.04</v>
      </c>
      <c r="AX79" s="62">
        <v>35.28</v>
      </c>
      <c r="AY79" s="62">
        <v>1974.47</v>
      </c>
      <c r="AZ79" s="62">
        <v>83.17</v>
      </c>
      <c r="BA79" s="62">
        <v>2718.86</v>
      </c>
      <c r="BB79" s="62">
        <v>70.39</v>
      </c>
      <c r="BC79" s="62">
        <v>101.73</v>
      </c>
      <c r="BD79" s="62">
        <v>220.96</v>
      </c>
      <c r="BE79" s="62">
        <v>14.19</v>
      </c>
      <c r="BF79" s="62">
        <v>4428.38</v>
      </c>
      <c r="BG79" s="62">
        <v>7842.78</v>
      </c>
      <c r="BH79" s="62">
        <v>1283.06</v>
      </c>
      <c r="BI79" s="62">
        <v>163.13</v>
      </c>
      <c r="BJ79" s="62">
        <v>321.70999999999998</v>
      </c>
      <c r="BK79" s="62">
        <v>26.77</v>
      </c>
      <c r="BL79" s="62">
        <v>32.47</v>
      </c>
      <c r="BM79" s="62">
        <v>315.72000000000003</v>
      </c>
      <c r="BN79" s="62">
        <v>98.65</v>
      </c>
      <c r="BO79" s="62">
        <v>36.299999999999997</v>
      </c>
      <c r="BP79" s="62">
        <v>162.69</v>
      </c>
      <c r="BQ79" s="62">
        <v>300.93</v>
      </c>
      <c r="BR79" s="62">
        <v>628.55999999999995</v>
      </c>
      <c r="BS79" s="62">
        <v>121.24</v>
      </c>
      <c r="BT79" s="62">
        <v>1.41</v>
      </c>
      <c r="BU79" s="62">
        <v>528.39</v>
      </c>
      <c r="BV79" s="62">
        <v>23.74</v>
      </c>
      <c r="BW79" s="62">
        <v>3436.93</v>
      </c>
      <c r="BX79" s="62">
        <v>1568.4</v>
      </c>
      <c r="BY79" s="62">
        <v>4.45</v>
      </c>
      <c r="BZ79" s="62">
        <v>847.83</v>
      </c>
      <c r="CA79" s="62">
        <v>1188.8</v>
      </c>
      <c r="CB79" s="62">
        <v>48.1</v>
      </c>
      <c r="CC79" s="62">
        <v>949.47</v>
      </c>
      <c r="CD79" s="62">
        <v>121.98</v>
      </c>
      <c r="CE79" s="62">
        <v>5745</v>
      </c>
      <c r="CF79" s="62">
        <v>720.93</v>
      </c>
      <c r="CG79" s="62">
        <v>651.37</v>
      </c>
      <c r="CH79" s="62">
        <v>258.07</v>
      </c>
      <c r="CI79" s="62">
        <v>18.05</v>
      </c>
      <c r="CJ79" s="62">
        <v>119.37</v>
      </c>
      <c r="CK79" s="62">
        <v>224.68</v>
      </c>
      <c r="CL79" s="62">
        <v>385.61</v>
      </c>
      <c r="CM79" s="62">
        <v>2680.55</v>
      </c>
      <c r="CN79" s="62">
        <v>902.8</v>
      </c>
      <c r="CO79" s="62">
        <v>32.630000000000003</v>
      </c>
      <c r="CP79" s="62">
        <v>20.02</v>
      </c>
      <c r="CQ79" s="62">
        <v>1.3</v>
      </c>
      <c r="CR79" s="62">
        <v>30.58</v>
      </c>
      <c r="CS79" s="62">
        <v>178.4</v>
      </c>
      <c r="CT79" s="62">
        <v>2.57</v>
      </c>
      <c r="CU79" s="62">
        <v>6690</v>
      </c>
      <c r="CV79" s="62">
        <v>127.76</v>
      </c>
      <c r="CW79" s="62">
        <v>653.88</v>
      </c>
      <c r="CX79" s="62">
        <v>1645.38</v>
      </c>
      <c r="CY79" s="62">
        <v>1964.28</v>
      </c>
      <c r="CZ79" s="62">
        <v>379.88</v>
      </c>
      <c r="DA79" s="62">
        <v>26.67</v>
      </c>
      <c r="DB79" s="62">
        <v>7628.91</v>
      </c>
      <c r="DC79" s="62">
        <v>775.19</v>
      </c>
      <c r="DD79" s="62">
        <v>142.55000000000001</v>
      </c>
      <c r="DE79" s="62">
        <v>641.59</v>
      </c>
      <c r="DF79" s="62">
        <v>786.84</v>
      </c>
      <c r="DG79" s="62">
        <v>256.37</v>
      </c>
      <c r="DH79" s="62">
        <v>3.64</v>
      </c>
      <c r="DI79" s="62">
        <v>1743.26</v>
      </c>
      <c r="DJ79" s="62">
        <v>251.86</v>
      </c>
      <c r="DK79" s="62">
        <v>3360</v>
      </c>
      <c r="DL79" s="62">
        <v>582.69000000000005</v>
      </c>
      <c r="DM79" s="62">
        <v>894.07</v>
      </c>
      <c r="DN79" s="62">
        <v>704.09</v>
      </c>
      <c r="DO79" s="62">
        <v>43.71</v>
      </c>
      <c r="DP79" s="62">
        <v>2928</v>
      </c>
    </row>
    <row r="80" spans="1:120" x14ac:dyDescent="0.3">
      <c r="A80" s="62">
        <v>43282</v>
      </c>
      <c r="B80" s="62">
        <v>225.03</v>
      </c>
      <c r="C80" s="62">
        <v>3.66</v>
      </c>
      <c r="D80" s="62">
        <v>233.54</v>
      </c>
      <c r="E80" s="62">
        <v>3592.99</v>
      </c>
      <c r="F80" s="62">
        <v>11.31</v>
      </c>
      <c r="G80" s="62">
        <v>1.48</v>
      </c>
      <c r="H80" s="62">
        <v>889.06</v>
      </c>
      <c r="I80" s="62">
        <v>529.86</v>
      </c>
      <c r="J80" s="62">
        <v>94.72</v>
      </c>
      <c r="K80" s="62">
        <v>8141.41</v>
      </c>
      <c r="L80" s="62">
        <v>94.53</v>
      </c>
      <c r="M80" s="62">
        <v>65.34</v>
      </c>
      <c r="N80" s="62">
        <v>100.19</v>
      </c>
      <c r="O80" s="62">
        <v>6.6</v>
      </c>
      <c r="P80" s="62">
        <v>14.4</v>
      </c>
      <c r="Q80" s="62">
        <v>784.67</v>
      </c>
      <c r="R80" s="62">
        <v>39.950000000000003</v>
      </c>
      <c r="S80" s="62">
        <v>42.58</v>
      </c>
      <c r="T80" s="62">
        <v>253.09</v>
      </c>
      <c r="U80" s="62">
        <v>1804.49</v>
      </c>
      <c r="V80" s="62">
        <v>261.56</v>
      </c>
      <c r="W80" s="62">
        <v>267.95999999999998</v>
      </c>
      <c r="X80" s="62">
        <v>4204.5600000000004</v>
      </c>
      <c r="Y80" s="62">
        <v>34.270000000000003</v>
      </c>
      <c r="Z80" s="62">
        <v>4.1500000000000004</v>
      </c>
      <c r="AA80" s="62">
        <v>874.78</v>
      </c>
      <c r="AB80" s="62">
        <v>2936.38</v>
      </c>
      <c r="AC80" s="62">
        <v>242.4</v>
      </c>
      <c r="AD80" s="62">
        <v>100.96</v>
      </c>
      <c r="AE80" s="62">
        <v>19.38</v>
      </c>
      <c r="AF80" s="62">
        <v>8559.57</v>
      </c>
      <c r="AG80" s="62">
        <v>5956.36</v>
      </c>
      <c r="AH80" s="62">
        <v>77.290000000000006</v>
      </c>
      <c r="AI80" s="62">
        <v>8543.19</v>
      </c>
      <c r="AJ80" s="62">
        <v>667.48</v>
      </c>
      <c r="AK80" s="62">
        <v>1206.8</v>
      </c>
      <c r="AL80" s="62">
        <v>17.82</v>
      </c>
      <c r="AM80" s="62">
        <v>1.18</v>
      </c>
      <c r="AN80" s="62">
        <v>2460.7399999999998</v>
      </c>
      <c r="AO80" s="62">
        <v>47.9</v>
      </c>
      <c r="AP80" s="62">
        <v>12.87</v>
      </c>
      <c r="AQ80" s="62">
        <v>1898.39</v>
      </c>
      <c r="AR80" s="62">
        <v>224.75</v>
      </c>
      <c r="AS80" s="62">
        <v>280.95</v>
      </c>
      <c r="AT80" s="62">
        <v>969.05</v>
      </c>
      <c r="AU80" s="62">
        <v>42.36</v>
      </c>
      <c r="AV80" s="62">
        <v>1895.95</v>
      </c>
      <c r="AW80" s="62">
        <v>390.04</v>
      </c>
      <c r="AX80" s="62">
        <v>32.700000000000003</v>
      </c>
      <c r="AY80" s="62">
        <v>1944</v>
      </c>
      <c r="AZ80" s="62">
        <v>77.53</v>
      </c>
      <c r="BA80" s="62">
        <v>2795.39</v>
      </c>
      <c r="BB80" s="62">
        <v>70.39</v>
      </c>
      <c r="BC80" s="62">
        <v>103.94</v>
      </c>
      <c r="BD80" s="62">
        <v>216.83</v>
      </c>
      <c r="BE80" s="62">
        <v>14.19</v>
      </c>
      <c r="BF80" s="62">
        <v>4555.97</v>
      </c>
      <c r="BG80" s="62">
        <v>7894.04</v>
      </c>
      <c r="BH80" s="62">
        <v>1325.68</v>
      </c>
      <c r="BI80" s="62">
        <v>176.11</v>
      </c>
      <c r="BJ80" s="62">
        <v>332.26</v>
      </c>
      <c r="BK80" s="62">
        <v>27.51</v>
      </c>
      <c r="BL80" s="62">
        <v>32.47</v>
      </c>
      <c r="BM80" s="62">
        <v>330.96</v>
      </c>
      <c r="BN80" s="62">
        <v>98.65</v>
      </c>
      <c r="BO80" s="62">
        <v>37.450000000000003</v>
      </c>
      <c r="BP80" s="62">
        <v>160.72999999999999</v>
      </c>
      <c r="BQ80" s="62">
        <v>301.08999999999997</v>
      </c>
      <c r="BR80" s="62">
        <v>695.69</v>
      </c>
      <c r="BS80" s="62">
        <v>135.22999999999999</v>
      </c>
      <c r="BT80" s="62">
        <v>1.41</v>
      </c>
      <c r="BU80" s="62">
        <v>498.2</v>
      </c>
      <c r="BV80" s="62">
        <v>23.74</v>
      </c>
      <c r="BW80" s="62">
        <v>3470.96</v>
      </c>
      <c r="BX80" s="62">
        <v>1628.96</v>
      </c>
      <c r="BY80" s="62">
        <v>4.45</v>
      </c>
      <c r="BZ80" s="62">
        <v>862.79</v>
      </c>
      <c r="CA80" s="62">
        <v>1142.48</v>
      </c>
      <c r="CB80" s="62">
        <v>65.28</v>
      </c>
      <c r="CC80" s="62">
        <v>970.17</v>
      </c>
      <c r="CD80" s="62">
        <v>141.49</v>
      </c>
      <c r="CE80" s="62">
        <v>5900</v>
      </c>
      <c r="CF80" s="62">
        <v>720.93</v>
      </c>
      <c r="CG80" s="62">
        <v>647.17999999999995</v>
      </c>
      <c r="CH80" s="62">
        <v>265.66000000000003</v>
      </c>
      <c r="CI80" s="62">
        <v>18.05</v>
      </c>
      <c r="CJ80" s="62">
        <v>117.61</v>
      </c>
      <c r="CK80" s="62">
        <v>220.19</v>
      </c>
      <c r="CL80" s="62">
        <v>381.76</v>
      </c>
      <c r="CM80" s="62">
        <v>2768.99</v>
      </c>
      <c r="CN80" s="62">
        <v>1011.76</v>
      </c>
      <c r="CO80" s="62">
        <v>30.92</v>
      </c>
      <c r="CP80" s="62">
        <v>20.55</v>
      </c>
      <c r="CQ80" s="62">
        <v>1.46</v>
      </c>
      <c r="CR80" s="62">
        <v>26.21</v>
      </c>
      <c r="CS80" s="62">
        <v>182.33</v>
      </c>
      <c r="CT80" s="62">
        <v>2.57</v>
      </c>
      <c r="CU80" s="62">
        <v>6809.3</v>
      </c>
      <c r="CV80" s="62">
        <v>135.01</v>
      </c>
      <c r="CW80" s="62">
        <v>679.45</v>
      </c>
      <c r="CX80" s="62">
        <v>1708.31</v>
      </c>
      <c r="CY80" s="62">
        <v>2041.35</v>
      </c>
      <c r="CZ80" s="62">
        <v>379.88</v>
      </c>
      <c r="DA80" s="62">
        <v>26.38</v>
      </c>
      <c r="DB80" s="62">
        <v>8344.34</v>
      </c>
      <c r="DC80" s="62">
        <v>759.56</v>
      </c>
      <c r="DD80" s="62">
        <v>143.37</v>
      </c>
      <c r="DE80" s="62">
        <v>647.85</v>
      </c>
      <c r="DF80" s="62">
        <v>825.01</v>
      </c>
      <c r="DG80" s="62">
        <v>258.05</v>
      </c>
      <c r="DH80" s="62">
        <v>2.4300000000000002</v>
      </c>
      <c r="DI80" s="62">
        <v>1771.43</v>
      </c>
      <c r="DJ80" s="62">
        <v>271.37</v>
      </c>
      <c r="DK80" s="62">
        <v>3400</v>
      </c>
      <c r="DL80" s="62">
        <v>629.04</v>
      </c>
      <c r="DM80" s="62">
        <v>878.16</v>
      </c>
      <c r="DN80" s="62">
        <v>707.56</v>
      </c>
      <c r="DO80" s="62">
        <v>38.56</v>
      </c>
      <c r="DP80" s="62">
        <v>3036</v>
      </c>
    </row>
    <row r="81" spans="1:120" x14ac:dyDescent="0.3">
      <c r="A81" s="62">
        <v>43313</v>
      </c>
      <c r="B81" s="62">
        <v>232.79</v>
      </c>
      <c r="C81" s="62">
        <v>3.66</v>
      </c>
      <c r="D81" s="62">
        <v>223.81</v>
      </c>
      <c r="E81" s="62">
        <v>3643.52</v>
      </c>
      <c r="F81" s="62">
        <v>13.08</v>
      </c>
      <c r="G81" s="62">
        <v>1.48</v>
      </c>
      <c r="H81" s="62">
        <v>893.19</v>
      </c>
      <c r="I81" s="62">
        <v>533.99</v>
      </c>
      <c r="J81" s="62">
        <v>98.77</v>
      </c>
      <c r="K81" s="62">
        <v>8033.18</v>
      </c>
      <c r="L81" s="62">
        <v>94.53</v>
      </c>
      <c r="M81" s="62">
        <v>63.61</v>
      </c>
      <c r="N81" s="62">
        <v>103.61</v>
      </c>
      <c r="O81" s="62">
        <v>6.6</v>
      </c>
      <c r="P81" s="62">
        <v>18.829999999999998</v>
      </c>
      <c r="Q81" s="62">
        <v>780.53</v>
      </c>
      <c r="R81" s="62">
        <v>36.72</v>
      </c>
      <c r="S81" s="62">
        <v>41.21</v>
      </c>
      <c r="T81" s="62">
        <v>250.31</v>
      </c>
      <c r="U81" s="62">
        <v>1838.86</v>
      </c>
      <c r="V81" s="62">
        <v>261.56</v>
      </c>
      <c r="W81" s="62">
        <v>262.04000000000002</v>
      </c>
      <c r="X81" s="62">
        <v>4111.4799999999996</v>
      </c>
      <c r="Y81" s="62">
        <v>41.61</v>
      </c>
      <c r="Z81" s="62">
        <v>4.1500000000000004</v>
      </c>
      <c r="AA81" s="62">
        <v>930.4</v>
      </c>
      <c r="AB81" s="62">
        <v>3096.55</v>
      </c>
      <c r="AC81" s="62">
        <v>225.62</v>
      </c>
      <c r="AD81" s="62">
        <v>99.15</v>
      </c>
      <c r="AE81" s="62">
        <v>19.38</v>
      </c>
      <c r="AF81" s="62">
        <v>8345.0400000000009</v>
      </c>
      <c r="AG81" s="62">
        <v>5947.82</v>
      </c>
      <c r="AH81" s="62">
        <v>78.42</v>
      </c>
      <c r="AI81" s="62">
        <v>8220.7999999999993</v>
      </c>
      <c r="AJ81" s="62">
        <v>593.92999999999995</v>
      </c>
      <c r="AK81" s="62">
        <v>1233.17</v>
      </c>
      <c r="AL81" s="62">
        <v>21.08</v>
      </c>
      <c r="AM81" s="62">
        <v>1.06</v>
      </c>
      <c r="AN81" s="62">
        <v>2531.33</v>
      </c>
      <c r="AO81" s="62">
        <v>42.97</v>
      </c>
      <c r="AP81" s="62">
        <v>14.54</v>
      </c>
      <c r="AQ81" s="62">
        <v>1904.85</v>
      </c>
      <c r="AR81" s="62">
        <v>203.28</v>
      </c>
      <c r="AS81" s="62">
        <v>305.39999999999998</v>
      </c>
      <c r="AT81" s="62">
        <v>957.85</v>
      </c>
      <c r="AU81" s="62">
        <v>42.36</v>
      </c>
      <c r="AV81" s="62">
        <v>1901.54</v>
      </c>
      <c r="AW81" s="62">
        <v>400.51</v>
      </c>
      <c r="AX81" s="62">
        <v>38.729999999999997</v>
      </c>
      <c r="AY81" s="62">
        <v>1944</v>
      </c>
      <c r="AZ81" s="62">
        <v>90.13</v>
      </c>
      <c r="BA81" s="62">
        <v>2773.24</v>
      </c>
      <c r="BB81" s="62">
        <v>70.39</v>
      </c>
      <c r="BC81" s="62">
        <v>107.21</v>
      </c>
      <c r="BD81" s="62">
        <v>214.76</v>
      </c>
      <c r="BE81" s="62">
        <v>11.61</v>
      </c>
      <c r="BF81" s="62">
        <v>4563.7</v>
      </c>
      <c r="BG81" s="62">
        <v>7996.56</v>
      </c>
      <c r="BH81" s="62">
        <v>1283.06</v>
      </c>
      <c r="BI81" s="62">
        <v>157.57</v>
      </c>
      <c r="BJ81" s="62">
        <v>350.19</v>
      </c>
      <c r="BK81" s="62">
        <v>27.08</v>
      </c>
      <c r="BL81" s="62">
        <v>32.47</v>
      </c>
      <c r="BM81" s="62">
        <v>387.73</v>
      </c>
      <c r="BN81" s="62">
        <v>96.19</v>
      </c>
      <c r="BO81" s="62">
        <v>38.89</v>
      </c>
      <c r="BP81" s="62">
        <v>164.65</v>
      </c>
      <c r="BQ81" s="62">
        <v>293.16000000000003</v>
      </c>
      <c r="BR81" s="62">
        <v>689.59</v>
      </c>
      <c r="BS81" s="62">
        <v>130.57</v>
      </c>
      <c r="BT81" s="62">
        <v>1.76</v>
      </c>
      <c r="BU81" s="62">
        <v>490.65</v>
      </c>
      <c r="BV81" s="62">
        <v>22.61</v>
      </c>
      <c r="BW81" s="62">
        <v>3368.88</v>
      </c>
      <c r="BX81" s="62">
        <v>1665.29</v>
      </c>
      <c r="BY81" s="62">
        <v>4.45</v>
      </c>
      <c r="BZ81" s="62">
        <v>862.79</v>
      </c>
      <c r="CA81" s="62">
        <v>1054.5899999999999</v>
      </c>
      <c r="CB81" s="62">
        <v>59.55</v>
      </c>
      <c r="CC81" s="62">
        <v>941.56</v>
      </c>
      <c r="CD81" s="62">
        <v>141.49</v>
      </c>
      <c r="CE81" s="62">
        <v>6135</v>
      </c>
      <c r="CF81" s="62">
        <v>713.44</v>
      </c>
      <c r="CG81" s="62">
        <v>644.38</v>
      </c>
      <c r="CH81" s="62">
        <v>251.24</v>
      </c>
      <c r="CI81" s="62">
        <v>18.05</v>
      </c>
      <c r="CJ81" s="62">
        <v>114.1</v>
      </c>
      <c r="CK81" s="62">
        <v>212.7</v>
      </c>
      <c r="CL81" s="62">
        <v>393.32</v>
      </c>
      <c r="CM81" s="62">
        <v>2687.35</v>
      </c>
      <c r="CN81" s="62">
        <v>1054.57</v>
      </c>
      <c r="CO81" s="62">
        <v>36.07</v>
      </c>
      <c r="CP81" s="62">
        <v>20.02</v>
      </c>
      <c r="CQ81" s="62">
        <v>0.98</v>
      </c>
      <c r="CR81" s="62">
        <v>26.21</v>
      </c>
      <c r="CS81" s="62">
        <v>181.02</v>
      </c>
      <c r="CT81" s="62">
        <v>2.57</v>
      </c>
      <c r="CU81" s="62">
        <v>6974.48</v>
      </c>
      <c r="CV81" s="62">
        <v>134.1</v>
      </c>
      <c r="CW81" s="62">
        <v>672.15</v>
      </c>
      <c r="CX81" s="62">
        <v>1720.29</v>
      </c>
      <c r="CY81" s="62">
        <v>1926.65</v>
      </c>
      <c r="CZ81" s="62">
        <v>392.14</v>
      </c>
      <c r="DA81" s="62">
        <v>26.38</v>
      </c>
      <c r="DB81" s="62">
        <v>7541.3</v>
      </c>
      <c r="DC81" s="62">
        <v>765.81</v>
      </c>
      <c r="DD81" s="62">
        <v>130.34</v>
      </c>
      <c r="DE81" s="62">
        <v>666.63</v>
      </c>
      <c r="DF81" s="62">
        <v>744.98</v>
      </c>
      <c r="DG81" s="62">
        <v>249.62</v>
      </c>
      <c r="DH81" s="62">
        <v>3.64</v>
      </c>
      <c r="DI81" s="62">
        <v>1849.67</v>
      </c>
      <c r="DJ81" s="62">
        <v>262.89</v>
      </c>
      <c r="DK81" s="62">
        <v>3300</v>
      </c>
      <c r="DL81" s="62">
        <v>683.66</v>
      </c>
      <c r="DM81" s="62">
        <v>926.21</v>
      </c>
      <c r="DN81" s="62">
        <v>707.56</v>
      </c>
      <c r="DO81" s="62">
        <v>43.75</v>
      </c>
      <c r="DP81" s="62">
        <v>2880</v>
      </c>
    </row>
    <row r="82" spans="1:120" x14ac:dyDescent="0.3">
      <c r="A82" s="62">
        <v>43344</v>
      </c>
      <c r="B82" s="62">
        <v>228.23</v>
      </c>
      <c r="C82" s="62">
        <v>3.66</v>
      </c>
      <c r="D82" s="62">
        <v>216.02</v>
      </c>
      <c r="E82" s="62">
        <v>3710.89</v>
      </c>
      <c r="F82" s="62">
        <v>12.6</v>
      </c>
      <c r="G82" s="62">
        <v>1.48</v>
      </c>
      <c r="H82" s="62">
        <v>905.6</v>
      </c>
      <c r="I82" s="62">
        <v>554.69000000000005</v>
      </c>
      <c r="J82" s="62">
        <v>97.15</v>
      </c>
      <c r="K82" s="62">
        <v>8538.27</v>
      </c>
      <c r="L82" s="62">
        <v>97.16</v>
      </c>
      <c r="M82" s="62">
        <v>61.63</v>
      </c>
      <c r="N82" s="62">
        <v>108.59</v>
      </c>
      <c r="O82" s="62">
        <v>4.4000000000000004</v>
      </c>
      <c r="P82" s="62">
        <v>16.61</v>
      </c>
      <c r="Q82" s="62">
        <v>791.59</v>
      </c>
      <c r="R82" s="62">
        <v>39.54</v>
      </c>
      <c r="S82" s="62">
        <v>41.89</v>
      </c>
      <c r="T82" s="62">
        <v>254.48</v>
      </c>
      <c r="U82" s="62">
        <v>1995.68</v>
      </c>
      <c r="V82" s="62">
        <v>269.39999999999998</v>
      </c>
      <c r="W82" s="62">
        <v>257.48</v>
      </c>
      <c r="X82" s="62">
        <v>3976.1</v>
      </c>
      <c r="Y82" s="62">
        <v>41.61</v>
      </c>
      <c r="Z82" s="62">
        <v>4.5599999999999996</v>
      </c>
      <c r="AA82" s="62">
        <v>1112.43</v>
      </c>
      <c r="AB82" s="62">
        <v>3201.8</v>
      </c>
      <c r="AC82" s="62">
        <v>238.57</v>
      </c>
      <c r="AD82" s="62">
        <v>99.15</v>
      </c>
      <c r="AE82" s="62">
        <v>19.38</v>
      </c>
      <c r="AF82" s="62">
        <v>9016.5</v>
      </c>
      <c r="AG82" s="62">
        <v>5401.68</v>
      </c>
      <c r="AH82" s="62">
        <v>78.42</v>
      </c>
      <c r="AI82" s="62">
        <v>8043.49</v>
      </c>
      <c r="AJ82" s="62">
        <v>556</v>
      </c>
      <c r="AK82" s="62">
        <v>1181.25</v>
      </c>
      <c r="AL82" s="62">
        <v>20.49</v>
      </c>
      <c r="AM82" s="62">
        <v>8.68</v>
      </c>
      <c r="AN82" s="62">
        <v>2450.65</v>
      </c>
      <c r="AO82" s="62">
        <v>42.26</v>
      </c>
      <c r="AP82" s="62">
        <v>13.73</v>
      </c>
      <c r="AQ82" s="62">
        <v>1924.22</v>
      </c>
      <c r="AR82" s="62">
        <v>206.14</v>
      </c>
      <c r="AS82" s="62">
        <v>365.65</v>
      </c>
      <c r="AT82" s="62">
        <v>974.66</v>
      </c>
      <c r="AU82" s="62">
        <v>46.67</v>
      </c>
      <c r="AV82" s="62">
        <v>1909.93</v>
      </c>
      <c r="AW82" s="62">
        <v>399.3</v>
      </c>
      <c r="AX82" s="62">
        <v>34.42</v>
      </c>
      <c r="AY82" s="62">
        <v>1965.44</v>
      </c>
      <c r="AZ82" s="62">
        <v>87.72</v>
      </c>
      <c r="BA82" s="62">
        <v>2839.7</v>
      </c>
      <c r="BB82" s="62">
        <v>70.39</v>
      </c>
      <c r="BC82" s="62">
        <v>112.91</v>
      </c>
      <c r="BD82" s="62">
        <v>218.89</v>
      </c>
      <c r="BE82" s="62">
        <v>9.23</v>
      </c>
      <c r="BF82" s="62">
        <v>4481.96</v>
      </c>
      <c r="BG82" s="62">
        <v>8329.75</v>
      </c>
      <c r="BH82" s="62">
        <v>1334.21</v>
      </c>
      <c r="BI82" s="62">
        <v>150.16</v>
      </c>
      <c r="BJ82" s="62">
        <v>337.53</v>
      </c>
      <c r="BK82" s="62">
        <v>27.08</v>
      </c>
      <c r="BL82" s="62">
        <v>30.3</v>
      </c>
      <c r="BM82" s="62">
        <v>384.96</v>
      </c>
      <c r="BN82" s="62">
        <v>96.19</v>
      </c>
      <c r="BO82" s="62">
        <v>38.020000000000003</v>
      </c>
      <c r="BP82" s="62">
        <v>127.41</v>
      </c>
      <c r="BQ82" s="62">
        <v>285.08999999999997</v>
      </c>
      <c r="BR82" s="62">
        <v>689.59</v>
      </c>
      <c r="BS82" s="62">
        <v>159.06</v>
      </c>
      <c r="BT82" s="62">
        <v>2.99</v>
      </c>
      <c r="BU82" s="62">
        <v>490.65</v>
      </c>
      <c r="BV82" s="62">
        <v>21.48</v>
      </c>
      <c r="BW82" s="62">
        <v>3464.16</v>
      </c>
      <c r="BX82" s="62">
        <v>1750.07</v>
      </c>
      <c r="BY82" s="62">
        <v>3.34</v>
      </c>
      <c r="BZ82" s="62">
        <v>880.25</v>
      </c>
      <c r="CA82" s="62">
        <v>1065.58</v>
      </c>
      <c r="CB82" s="62">
        <v>61.84</v>
      </c>
      <c r="CC82" s="62">
        <v>958.97</v>
      </c>
      <c r="CD82" s="62">
        <v>134.16999999999999</v>
      </c>
      <c r="CE82" s="62">
        <v>6910</v>
      </c>
      <c r="CF82" s="62">
        <v>720.93</v>
      </c>
      <c r="CG82" s="62">
        <v>672.34</v>
      </c>
      <c r="CH82" s="62">
        <v>240.61</v>
      </c>
      <c r="CI82" s="62">
        <v>27.08</v>
      </c>
      <c r="CJ82" s="62">
        <v>107.08</v>
      </c>
      <c r="CK82" s="62">
        <v>233.82</v>
      </c>
      <c r="CL82" s="62">
        <v>412.6</v>
      </c>
      <c r="CM82" s="62">
        <v>2741.78</v>
      </c>
      <c r="CN82" s="62">
        <v>856.11</v>
      </c>
      <c r="CO82" s="62">
        <v>37.79</v>
      </c>
      <c r="CP82" s="62">
        <v>18.440000000000001</v>
      </c>
      <c r="CQ82" s="62">
        <v>0.81</v>
      </c>
      <c r="CR82" s="62">
        <v>26.21</v>
      </c>
      <c r="CS82" s="62">
        <v>179.18</v>
      </c>
      <c r="CT82" s="62">
        <v>0.51</v>
      </c>
      <c r="CU82" s="62">
        <v>7231.43</v>
      </c>
      <c r="CV82" s="62">
        <v>202.52</v>
      </c>
      <c r="CW82" s="62">
        <v>705.02</v>
      </c>
      <c r="CX82" s="62">
        <v>1727.03</v>
      </c>
      <c r="CY82" s="62">
        <v>2329.9</v>
      </c>
      <c r="CZ82" s="62">
        <v>377.43</v>
      </c>
      <c r="DA82" s="62">
        <v>25.53</v>
      </c>
      <c r="DB82" s="62">
        <v>9400.83</v>
      </c>
      <c r="DC82" s="62">
        <v>797.07</v>
      </c>
      <c r="DD82" s="62">
        <v>130.34</v>
      </c>
      <c r="DE82" s="62">
        <v>713.58</v>
      </c>
      <c r="DF82" s="62">
        <v>692.03</v>
      </c>
      <c r="DG82" s="62">
        <v>254.68</v>
      </c>
      <c r="DH82" s="62">
        <v>3.64</v>
      </c>
      <c r="DI82" s="62">
        <v>1868.45</v>
      </c>
      <c r="DJ82" s="62">
        <v>250.17</v>
      </c>
      <c r="DK82" s="62">
        <v>3480</v>
      </c>
      <c r="DL82" s="62">
        <v>672.08</v>
      </c>
      <c r="DM82" s="62">
        <v>922.27</v>
      </c>
      <c r="DN82" s="62">
        <v>707.56</v>
      </c>
      <c r="DO82" s="62">
        <v>43.75</v>
      </c>
      <c r="DP82" s="62">
        <v>2820</v>
      </c>
    </row>
    <row r="83" spans="1:120" x14ac:dyDescent="0.3">
      <c r="A83" s="62">
        <v>43374</v>
      </c>
      <c r="B83" s="62">
        <v>221.71</v>
      </c>
      <c r="C83" s="62">
        <v>3.66</v>
      </c>
      <c r="D83" s="62">
        <v>216.02</v>
      </c>
      <c r="E83" s="62">
        <v>3407.73</v>
      </c>
      <c r="F83" s="62">
        <v>10.82</v>
      </c>
      <c r="G83" s="62">
        <v>1.48</v>
      </c>
      <c r="H83" s="62">
        <v>913.87</v>
      </c>
      <c r="I83" s="62">
        <v>554.69000000000005</v>
      </c>
      <c r="J83" s="62">
        <v>98.77</v>
      </c>
      <c r="K83" s="62">
        <v>8778.7800000000007</v>
      </c>
      <c r="L83" s="62">
        <v>97.16</v>
      </c>
      <c r="M83" s="62">
        <v>58.66</v>
      </c>
      <c r="N83" s="62">
        <v>106.85</v>
      </c>
      <c r="O83" s="62">
        <v>4.4000000000000004</v>
      </c>
      <c r="P83" s="62">
        <v>19.940000000000001</v>
      </c>
      <c r="Q83" s="62">
        <v>793.8</v>
      </c>
      <c r="R83" s="62">
        <v>39.44</v>
      </c>
      <c r="S83" s="62">
        <v>43.95</v>
      </c>
      <c r="T83" s="62">
        <v>254.48</v>
      </c>
      <c r="U83" s="62">
        <v>2081.61</v>
      </c>
      <c r="V83" s="62">
        <v>281.17</v>
      </c>
      <c r="W83" s="62">
        <v>280.27</v>
      </c>
      <c r="X83" s="62">
        <v>4212.54</v>
      </c>
      <c r="Y83" s="62">
        <v>41.61</v>
      </c>
      <c r="Z83" s="62">
        <v>4.5599999999999996</v>
      </c>
      <c r="AA83" s="62">
        <v>1011.3</v>
      </c>
      <c r="AB83" s="62">
        <v>3453.49</v>
      </c>
      <c r="AC83" s="62">
        <v>228.05</v>
      </c>
      <c r="AD83" s="62">
        <v>84.73</v>
      </c>
      <c r="AE83" s="62">
        <v>19.38</v>
      </c>
      <c r="AF83" s="62">
        <v>8721.7099999999991</v>
      </c>
      <c r="AG83" s="62">
        <v>5563.82</v>
      </c>
      <c r="AH83" s="62">
        <v>76.83</v>
      </c>
      <c r="AI83" s="62">
        <v>7866.18</v>
      </c>
      <c r="AJ83" s="62">
        <v>520.20000000000005</v>
      </c>
      <c r="AK83" s="62">
        <v>1211.95</v>
      </c>
      <c r="AL83" s="62">
        <v>20.85</v>
      </c>
      <c r="AM83" s="62">
        <v>8.68</v>
      </c>
      <c r="AN83" s="62">
        <v>2596.88</v>
      </c>
      <c r="AO83" s="62">
        <v>38.74</v>
      </c>
      <c r="AP83" s="62">
        <v>13.32</v>
      </c>
      <c r="AQ83" s="62">
        <v>1995.25</v>
      </c>
      <c r="AR83" s="62">
        <v>207.57</v>
      </c>
      <c r="AS83" s="62">
        <v>353.12</v>
      </c>
      <c r="AT83" s="62">
        <v>966.89</v>
      </c>
      <c r="AU83" s="62">
        <v>50.2</v>
      </c>
      <c r="AV83" s="62">
        <v>1979.84</v>
      </c>
      <c r="AW83" s="62">
        <v>400.86</v>
      </c>
      <c r="AX83" s="62">
        <v>42.17</v>
      </c>
      <c r="AY83" s="62">
        <v>2001.17</v>
      </c>
      <c r="AZ83" s="62">
        <v>84.41</v>
      </c>
      <c r="BA83" s="62">
        <v>3005.85</v>
      </c>
      <c r="BB83" s="62">
        <v>67.45</v>
      </c>
      <c r="BC83" s="62">
        <v>112.88</v>
      </c>
      <c r="BD83" s="62">
        <v>216.83</v>
      </c>
      <c r="BE83" s="62">
        <v>14.19</v>
      </c>
      <c r="BF83" s="62">
        <v>4563.7</v>
      </c>
      <c r="BG83" s="62">
        <v>8304.1200000000008</v>
      </c>
      <c r="BH83" s="62">
        <v>1386.48</v>
      </c>
      <c r="BI83" s="62">
        <v>155.72</v>
      </c>
      <c r="BJ83" s="62">
        <v>335.42</v>
      </c>
      <c r="BK83" s="62">
        <v>25.87</v>
      </c>
      <c r="BL83" s="62">
        <v>32.47</v>
      </c>
      <c r="BM83" s="62">
        <v>372.76</v>
      </c>
      <c r="BN83" s="62">
        <v>96.19</v>
      </c>
      <c r="BO83" s="62">
        <v>38.89</v>
      </c>
      <c r="BP83" s="62">
        <v>131.33000000000001</v>
      </c>
      <c r="BQ83" s="62">
        <v>293.51</v>
      </c>
      <c r="BR83" s="62">
        <v>738.41</v>
      </c>
      <c r="BS83" s="62">
        <v>151.93</v>
      </c>
      <c r="BT83" s="62">
        <v>2.99</v>
      </c>
      <c r="BU83" s="62">
        <v>460.46</v>
      </c>
      <c r="BV83" s="62">
        <v>19.79</v>
      </c>
      <c r="BW83" s="62">
        <v>3559.44</v>
      </c>
      <c r="BX83" s="62">
        <v>1719.79</v>
      </c>
      <c r="BY83" s="62">
        <v>3.34</v>
      </c>
      <c r="BZ83" s="62">
        <v>897.7</v>
      </c>
      <c r="CA83" s="62">
        <v>1117.8800000000001</v>
      </c>
      <c r="CB83" s="62">
        <v>65.28</v>
      </c>
      <c r="CC83" s="62">
        <v>975.14</v>
      </c>
      <c r="CD83" s="62">
        <v>127.29</v>
      </c>
      <c r="CE83" s="62">
        <v>6875</v>
      </c>
      <c r="CF83" s="62">
        <v>744.33</v>
      </c>
      <c r="CG83" s="62">
        <v>684.92</v>
      </c>
      <c r="CH83" s="62">
        <v>232.26</v>
      </c>
      <c r="CI83" s="62">
        <v>27.08</v>
      </c>
      <c r="CJ83" s="62">
        <v>107.08</v>
      </c>
      <c r="CK83" s="62">
        <v>269.97000000000003</v>
      </c>
      <c r="CL83" s="62">
        <v>416.77</v>
      </c>
      <c r="CM83" s="62">
        <v>2757.08</v>
      </c>
      <c r="CN83" s="62">
        <v>821.08</v>
      </c>
      <c r="CO83" s="62">
        <v>30.92</v>
      </c>
      <c r="CP83" s="62">
        <v>15.81</v>
      </c>
      <c r="CQ83" s="62">
        <v>0.81</v>
      </c>
      <c r="CR83" s="62">
        <v>24.75</v>
      </c>
      <c r="CS83" s="62">
        <v>184.17</v>
      </c>
      <c r="CT83" s="62">
        <v>0.51</v>
      </c>
      <c r="CU83" s="62">
        <v>7289.57</v>
      </c>
      <c r="CV83" s="62">
        <v>217.46</v>
      </c>
      <c r="CW83" s="62">
        <v>708.68</v>
      </c>
      <c r="CX83" s="62">
        <v>1749.23</v>
      </c>
      <c r="CY83" s="62">
        <v>1926.65</v>
      </c>
      <c r="CZ83" s="62">
        <v>373.76</v>
      </c>
      <c r="DA83" s="62">
        <v>23.55</v>
      </c>
      <c r="DB83" s="62">
        <v>8376.69</v>
      </c>
      <c r="DC83" s="62">
        <v>812.7</v>
      </c>
      <c r="DD83" s="62">
        <v>135.22</v>
      </c>
      <c r="DE83" s="62">
        <v>729.23</v>
      </c>
      <c r="DF83" s="62">
        <v>684.64</v>
      </c>
      <c r="DG83" s="62">
        <v>263.11</v>
      </c>
      <c r="DH83" s="62">
        <v>3.64</v>
      </c>
      <c r="DI83" s="62">
        <v>1959.21</v>
      </c>
      <c r="DJ83" s="62">
        <v>249.32</v>
      </c>
      <c r="DK83" s="62">
        <v>3450</v>
      </c>
      <c r="DL83" s="62">
        <v>645.59</v>
      </c>
      <c r="DM83" s="62">
        <v>937.09</v>
      </c>
      <c r="DN83" s="62">
        <v>714.5</v>
      </c>
      <c r="DO83" s="62">
        <v>41.17</v>
      </c>
      <c r="DP83" s="62">
        <v>2896</v>
      </c>
    </row>
    <row r="84" spans="1:120" x14ac:dyDescent="0.3">
      <c r="A84" s="62">
        <v>43405</v>
      </c>
      <c r="B84" s="62">
        <v>190.41</v>
      </c>
      <c r="C84" s="62">
        <v>3.66</v>
      </c>
      <c r="D84" s="62">
        <v>219.92</v>
      </c>
      <c r="E84" s="62">
        <v>3323.52</v>
      </c>
      <c r="F84" s="62">
        <v>11.79</v>
      </c>
      <c r="G84" s="62">
        <v>1.48</v>
      </c>
      <c r="H84" s="62">
        <v>884.92</v>
      </c>
      <c r="I84" s="62">
        <v>542.27</v>
      </c>
      <c r="J84" s="62">
        <v>97.15</v>
      </c>
      <c r="K84" s="62">
        <v>8525.2800000000007</v>
      </c>
      <c r="L84" s="62">
        <v>95.41</v>
      </c>
      <c r="M84" s="62">
        <v>59.32</v>
      </c>
      <c r="N84" s="62">
        <v>130.38999999999999</v>
      </c>
      <c r="O84" s="62">
        <v>4.4000000000000004</v>
      </c>
      <c r="P84" s="62">
        <v>18.829999999999998</v>
      </c>
      <c r="Q84" s="62">
        <v>740.73</v>
      </c>
      <c r="R84" s="62">
        <v>36.67</v>
      </c>
      <c r="S84" s="62">
        <v>39.83</v>
      </c>
      <c r="T84" s="62">
        <v>241.96</v>
      </c>
      <c r="U84" s="62">
        <v>2062.63</v>
      </c>
      <c r="V84" s="62">
        <v>261.56</v>
      </c>
      <c r="W84" s="62">
        <v>268.88</v>
      </c>
      <c r="X84" s="62">
        <v>4070.81</v>
      </c>
      <c r="Y84" s="62">
        <v>36.71</v>
      </c>
      <c r="Z84" s="62">
        <v>4.5599999999999996</v>
      </c>
      <c r="AA84" s="62">
        <v>954.67</v>
      </c>
      <c r="AB84" s="62">
        <v>3177.39</v>
      </c>
      <c r="AC84" s="62">
        <v>188.45</v>
      </c>
      <c r="AD84" s="62">
        <v>81.13</v>
      </c>
      <c r="AE84" s="62">
        <v>16.38</v>
      </c>
      <c r="AF84" s="62">
        <v>7944.43</v>
      </c>
      <c r="AG84" s="62">
        <v>5085.95</v>
      </c>
      <c r="AH84" s="62">
        <v>69.94</v>
      </c>
      <c r="AI84" s="62">
        <v>7850.4</v>
      </c>
      <c r="AJ84" s="62">
        <v>509.03</v>
      </c>
      <c r="AK84" s="62">
        <v>1159.1199999999999</v>
      </c>
      <c r="AL84" s="62">
        <v>19.600000000000001</v>
      </c>
      <c r="AM84" s="62">
        <v>11.15</v>
      </c>
      <c r="AN84" s="62">
        <v>2413.4899999999998</v>
      </c>
      <c r="AO84" s="62">
        <v>43.03</v>
      </c>
      <c r="AP84" s="62">
        <v>11.14</v>
      </c>
      <c r="AQ84" s="62">
        <v>1937.13</v>
      </c>
      <c r="AR84" s="62">
        <v>183.24</v>
      </c>
      <c r="AS84" s="62">
        <v>340</v>
      </c>
      <c r="AT84" s="62">
        <v>879.43</v>
      </c>
      <c r="AU84" s="62">
        <v>56.09</v>
      </c>
      <c r="AV84" s="62">
        <v>1929.51</v>
      </c>
      <c r="AW84" s="62">
        <v>393.05</v>
      </c>
      <c r="AX84" s="62">
        <v>40.450000000000003</v>
      </c>
      <c r="AY84" s="62">
        <v>1879.67</v>
      </c>
      <c r="AZ84" s="62">
        <v>86.83</v>
      </c>
      <c r="BA84" s="62">
        <v>2900.12</v>
      </c>
      <c r="BB84" s="62">
        <v>67.45</v>
      </c>
      <c r="BC84" s="62">
        <v>109.04</v>
      </c>
      <c r="BD84" s="62">
        <v>218.89</v>
      </c>
      <c r="BE84" s="62">
        <v>12.26</v>
      </c>
      <c r="BF84" s="62">
        <v>4659.07</v>
      </c>
      <c r="BG84" s="62">
        <v>8073.45</v>
      </c>
      <c r="BH84" s="62">
        <v>1241.43</v>
      </c>
      <c r="BI84" s="62">
        <v>152.01</v>
      </c>
      <c r="BJ84" s="62">
        <v>330.15</v>
      </c>
      <c r="BK84" s="62">
        <v>24.66</v>
      </c>
      <c r="BL84" s="62">
        <v>34.630000000000003</v>
      </c>
      <c r="BM84" s="62">
        <v>368.6</v>
      </c>
      <c r="BN84" s="62">
        <v>103.59</v>
      </c>
      <c r="BO84" s="62">
        <v>43.79</v>
      </c>
      <c r="BP84" s="62">
        <v>131.33000000000001</v>
      </c>
      <c r="BQ84" s="62">
        <v>290.79000000000002</v>
      </c>
      <c r="BR84" s="62">
        <v>707.89</v>
      </c>
      <c r="BS84" s="62">
        <v>189.92</v>
      </c>
      <c r="BT84" s="62">
        <v>3.17</v>
      </c>
      <c r="BU84" s="62">
        <v>422.72</v>
      </c>
      <c r="BV84" s="62">
        <v>25.44</v>
      </c>
      <c r="BW84" s="62">
        <v>3502.73</v>
      </c>
      <c r="BX84" s="62">
        <v>1701.62</v>
      </c>
      <c r="BY84" s="62">
        <v>2.78</v>
      </c>
      <c r="BZ84" s="62">
        <v>860.3</v>
      </c>
      <c r="CA84" s="62">
        <v>989</v>
      </c>
      <c r="CB84" s="62">
        <v>72.150000000000006</v>
      </c>
      <c r="CC84" s="62">
        <v>1060.97</v>
      </c>
      <c r="CD84" s="62">
        <v>122.39</v>
      </c>
      <c r="CE84" s="62">
        <v>6425</v>
      </c>
      <c r="CF84" s="62">
        <v>691.9</v>
      </c>
      <c r="CG84" s="62">
        <v>647.17999999999995</v>
      </c>
      <c r="CH84" s="62">
        <v>242.89</v>
      </c>
      <c r="CI84" s="62">
        <v>9.69</v>
      </c>
      <c r="CJ84" s="62">
        <v>99.39</v>
      </c>
      <c r="CK84" s="62">
        <v>261.13</v>
      </c>
      <c r="CL84" s="62">
        <v>403.14</v>
      </c>
      <c r="CM84" s="62">
        <v>2668.37</v>
      </c>
      <c r="CN84" s="62">
        <v>879.46</v>
      </c>
      <c r="CO84" s="62">
        <v>32.46</v>
      </c>
      <c r="CP84" s="62">
        <v>15.81</v>
      </c>
      <c r="CQ84" s="62">
        <v>0.56999999999999995</v>
      </c>
      <c r="CR84" s="62">
        <v>22.57</v>
      </c>
      <c r="CS84" s="62">
        <v>192.56</v>
      </c>
      <c r="CT84" s="62">
        <v>0.51</v>
      </c>
      <c r="CU84" s="62">
        <v>7317.11</v>
      </c>
      <c r="CV84" s="62">
        <v>214.14</v>
      </c>
      <c r="CW84" s="62">
        <v>686.76</v>
      </c>
      <c r="CX84" s="62">
        <v>1539.59</v>
      </c>
      <c r="CY84" s="62">
        <v>1568.2</v>
      </c>
      <c r="CZ84" s="62">
        <v>367.63</v>
      </c>
      <c r="DA84" s="62">
        <v>32.28</v>
      </c>
      <c r="DB84" s="62">
        <v>7862.33</v>
      </c>
      <c r="DC84" s="62">
        <v>737.68</v>
      </c>
      <c r="DD84" s="62">
        <v>133.66</v>
      </c>
      <c r="DE84" s="62">
        <v>719.84</v>
      </c>
      <c r="DF84" s="62">
        <v>608.79999999999995</v>
      </c>
      <c r="DG84" s="62">
        <v>256.37</v>
      </c>
      <c r="DH84" s="62">
        <v>3.64</v>
      </c>
      <c r="DI84" s="62">
        <v>1931.04</v>
      </c>
      <c r="DJ84" s="62">
        <v>249.65</v>
      </c>
      <c r="DK84" s="62">
        <v>3450</v>
      </c>
      <c r="DL84" s="62">
        <v>625.73</v>
      </c>
      <c r="DM84" s="62">
        <v>921.55</v>
      </c>
      <c r="DN84" s="62">
        <v>721.43</v>
      </c>
      <c r="DO84" s="62">
        <v>46.08</v>
      </c>
      <c r="DP84" s="62">
        <v>2212</v>
      </c>
    </row>
    <row r="85" spans="1:120" x14ac:dyDescent="0.3">
      <c r="A85" s="62">
        <v>43435</v>
      </c>
      <c r="B85" s="62">
        <v>183.89</v>
      </c>
      <c r="C85" s="62">
        <v>3.66</v>
      </c>
      <c r="D85" s="62">
        <v>214.08</v>
      </c>
      <c r="E85" s="62">
        <v>3480.71</v>
      </c>
      <c r="F85" s="62">
        <v>11.31</v>
      </c>
      <c r="G85" s="62">
        <v>1.48</v>
      </c>
      <c r="H85" s="62">
        <v>967.63</v>
      </c>
      <c r="I85" s="62">
        <v>538.13</v>
      </c>
      <c r="J85" s="62">
        <v>96.34</v>
      </c>
      <c r="K85" s="62">
        <v>8670.18</v>
      </c>
      <c r="L85" s="62">
        <v>95.41</v>
      </c>
      <c r="M85" s="62">
        <v>55.37</v>
      </c>
      <c r="N85" s="62">
        <v>130.38999999999999</v>
      </c>
      <c r="O85" s="62">
        <v>3.96</v>
      </c>
      <c r="P85" s="62">
        <v>19.940000000000001</v>
      </c>
      <c r="Q85" s="62">
        <v>770.07</v>
      </c>
      <c r="R85" s="62">
        <v>37.78</v>
      </c>
      <c r="S85" s="62">
        <v>41.21</v>
      </c>
      <c r="T85" s="62">
        <v>253.09</v>
      </c>
      <c r="U85" s="62">
        <v>2075.7199999999998</v>
      </c>
      <c r="V85" s="62">
        <v>269.73</v>
      </c>
      <c r="W85" s="62">
        <v>259.31</v>
      </c>
      <c r="X85" s="62">
        <v>4228.4799999999996</v>
      </c>
      <c r="Y85" s="62">
        <v>36.71</v>
      </c>
      <c r="Z85" s="62">
        <v>3.32</v>
      </c>
      <c r="AA85" s="62">
        <v>987.03</v>
      </c>
      <c r="AB85" s="62">
        <v>3340.61</v>
      </c>
      <c r="AC85" s="62">
        <v>184.35</v>
      </c>
      <c r="AD85" s="62">
        <v>62.2</v>
      </c>
      <c r="AE85" s="62">
        <v>16.38</v>
      </c>
      <c r="AF85" s="62">
        <v>7594.92</v>
      </c>
      <c r="AG85" s="62">
        <v>4096.0600000000004</v>
      </c>
      <c r="AH85" s="62">
        <v>76.83</v>
      </c>
      <c r="AI85" s="62">
        <v>7608.61</v>
      </c>
      <c r="AJ85" s="62">
        <v>495.14</v>
      </c>
      <c r="AK85" s="62">
        <v>1112.51</v>
      </c>
      <c r="AL85" s="62">
        <v>19.600000000000001</v>
      </c>
      <c r="AM85" s="62">
        <v>11.15</v>
      </c>
      <c r="AN85" s="62">
        <v>2545.6</v>
      </c>
      <c r="AO85" s="62">
        <v>41.57</v>
      </c>
      <c r="AP85" s="62">
        <v>12.11</v>
      </c>
      <c r="AQ85" s="62">
        <v>2020.05</v>
      </c>
      <c r="AR85" s="62">
        <v>186.1</v>
      </c>
      <c r="AS85" s="62">
        <v>325.08999999999997</v>
      </c>
      <c r="AT85" s="62">
        <v>859.45</v>
      </c>
      <c r="AU85" s="62">
        <v>60.61</v>
      </c>
      <c r="AV85" s="62">
        <v>2035.77</v>
      </c>
      <c r="AW85" s="62">
        <v>390.45</v>
      </c>
      <c r="AX85" s="62">
        <v>34.450000000000003</v>
      </c>
      <c r="AY85" s="62">
        <v>1944</v>
      </c>
      <c r="AZ85" s="62">
        <v>86.83</v>
      </c>
      <c r="BA85" s="62">
        <v>3081.37</v>
      </c>
      <c r="BB85" s="62">
        <v>67.45</v>
      </c>
      <c r="BC85" s="62">
        <v>106.64</v>
      </c>
      <c r="BD85" s="62">
        <v>214.76</v>
      </c>
      <c r="BE85" s="62">
        <v>12.9</v>
      </c>
      <c r="BF85" s="62">
        <v>4768.05</v>
      </c>
      <c r="BG85" s="62">
        <v>8457.9</v>
      </c>
      <c r="BH85" s="62">
        <v>1171.04</v>
      </c>
      <c r="BI85" s="62">
        <v>96.4</v>
      </c>
      <c r="BJ85" s="62">
        <v>320.66000000000003</v>
      </c>
      <c r="BK85" s="62">
        <v>26.46</v>
      </c>
      <c r="BL85" s="62">
        <v>30.3</v>
      </c>
      <c r="BM85" s="62">
        <v>339.5</v>
      </c>
      <c r="BN85" s="62">
        <v>87.15</v>
      </c>
      <c r="BO85" s="62">
        <v>44.65</v>
      </c>
      <c r="BP85" s="62">
        <v>98.01</v>
      </c>
      <c r="BQ85" s="62">
        <v>279.92</v>
      </c>
      <c r="BR85" s="62">
        <v>701.79</v>
      </c>
      <c r="BS85" s="62">
        <v>170.93</v>
      </c>
      <c r="BT85" s="62">
        <v>2.81</v>
      </c>
      <c r="BU85" s="62">
        <v>415.17</v>
      </c>
      <c r="BV85" s="62">
        <v>26</v>
      </c>
      <c r="BW85" s="62">
        <v>3448.32</v>
      </c>
      <c r="BX85" s="62">
        <v>1750.07</v>
      </c>
      <c r="BY85" s="62">
        <v>11.13</v>
      </c>
      <c r="BZ85" s="62">
        <v>855.31</v>
      </c>
      <c r="CA85" s="62">
        <v>912.07</v>
      </c>
      <c r="CB85" s="62">
        <v>64.14</v>
      </c>
      <c r="CC85" s="62">
        <v>1057.23</v>
      </c>
      <c r="CD85" s="62">
        <v>112.6</v>
      </c>
      <c r="CE85" s="62">
        <v>5880</v>
      </c>
      <c r="CF85" s="62">
        <v>627.29999999999995</v>
      </c>
      <c r="CG85" s="62">
        <v>624.80999999999995</v>
      </c>
      <c r="CH85" s="62">
        <v>230.37</v>
      </c>
      <c r="CI85" s="62">
        <v>9.69</v>
      </c>
      <c r="CJ85" s="62">
        <v>134.86000000000001</v>
      </c>
      <c r="CK85" s="62">
        <v>244.26</v>
      </c>
      <c r="CL85" s="62">
        <v>401.19</v>
      </c>
      <c r="CM85" s="62">
        <v>2470.46</v>
      </c>
      <c r="CN85" s="62">
        <v>895.02</v>
      </c>
      <c r="CO85" s="62">
        <v>34.35</v>
      </c>
      <c r="CP85" s="62">
        <v>15.28</v>
      </c>
      <c r="CQ85" s="62">
        <v>0.97</v>
      </c>
      <c r="CR85" s="62">
        <v>23.3</v>
      </c>
      <c r="CS85" s="62">
        <v>183.12</v>
      </c>
      <c r="CT85" s="62">
        <v>0.51</v>
      </c>
      <c r="CU85" s="62">
        <v>7849.72</v>
      </c>
      <c r="CV85" s="62">
        <v>207.5</v>
      </c>
      <c r="CW85" s="62">
        <v>679.45</v>
      </c>
      <c r="CX85" s="62">
        <v>1465.2</v>
      </c>
      <c r="CY85" s="62">
        <v>1664.98</v>
      </c>
      <c r="CZ85" s="62">
        <v>373.76</v>
      </c>
      <c r="DA85" s="62">
        <v>29.79</v>
      </c>
      <c r="DB85" s="62">
        <v>8016.64</v>
      </c>
      <c r="DC85" s="62">
        <v>734.55</v>
      </c>
      <c r="DD85" s="62">
        <v>137.97999999999999</v>
      </c>
      <c r="DE85" s="62">
        <v>722.97</v>
      </c>
      <c r="DF85" s="62">
        <v>618.70000000000005</v>
      </c>
      <c r="DG85" s="62">
        <v>256.37</v>
      </c>
      <c r="DH85" s="62">
        <v>4.8499999999999996</v>
      </c>
      <c r="DI85" s="62">
        <v>1902.88</v>
      </c>
      <c r="DJ85" s="62">
        <v>227.28</v>
      </c>
      <c r="DK85" s="62">
        <v>3310</v>
      </c>
      <c r="DL85" s="62">
        <v>604.21</v>
      </c>
      <c r="DM85" s="62">
        <v>941.54</v>
      </c>
      <c r="DN85" s="62">
        <v>721.43</v>
      </c>
      <c r="DO85" s="62">
        <v>45.05</v>
      </c>
      <c r="DP85" s="62">
        <v>2288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333C-3282-4506-A47C-39A02833EA3B}">
  <sheetPr codeName="Sheet12"/>
  <dimension ref="A1:CD42"/>
  <sheetViews>
    <sheetView workbookViewId="0">
      <selection activeCell="A3" sqref="A3:A42"/>
    </sheetView>
  </sheetViews>
  <sheetFormatPr defaultRowHeight="14.4" x14ac:dyDescent="0.3"/>
  <sheetData>
    <row r="1" spans="1:82" x14ac:dyDescent="0.3">
      <c r="A1" s="63" t="s">
        <v>0</v>
      </c>
      <c r="B1" s="62" t="s">
        <v>8965</v>
      </c>
      <c r="C1" s="62" t="s">
        <v>8966</v>
      </c>
      <c r="D1" s="62" t="s">
        <v>8967</v>
      </c>
      <c r="E1" s="62" t="s">
        <v>8894</v>
      </c>
      <c r="F1" s="62" t="s">
        <v>8895</v>
      </c>
      <c r="G1" s="62" t="s">
        <v>8968</v>
      </c>
      <c r="H1" s="62" t="s">
        <v>8896</v>
      </c>
      <c r="I1" s="62" t="s">
        <v>8969</v>
      </c>
      <c r="J1" s="62" t="s">
        <v>8970</v>
      </c>
      <c r="K1" s="62" t="s">
        <v>8897</v>
      </c>
      <c r="L1" s="62" t="s">
        <v>8898</v>
      </c>
      <c r="M1" s="62" t="s">
        <v>8899</v>
      </c>
      <c r="N1" s="62" t="s">
        <v>8971</v>
      </c>
      <c r="O1" s="62" t="s">
        <v>8972</v>
      </c>
      <c r="P1" s="62" t="s">
        <v>8973</v>
      </c>
      <c r="Q1" s="62" t="s">
        <v>8974</v>
      </c>
      <c r="R1" s="62" t="s">
        <v>8975</v>
      </c>
      <c r="S1" s="62" t="s">
        <v>8900</v>
      </c>
      <c r="T1" s="62" t="s">
        <v>8901</v>
      </c>
      <c r="U1" s="62" t="s">
        <v>8902</v>
      </c>
      <c r="V1" s="62" t="s">
        <v>8903</v>
      </c>
      <c r="W1" s="62" t="s">
        <v>8904</v>
      </c>
      <c r="X1" s="62" t="s">
        <v>8905</v>
      </c>
      <c r="Y1" s="62" t="s">
        <v>8976</v>
      </c>
      <c r="Z1" s="62" t="s">
        <v>8977</v>
      </c>
      <c r="AA1" s="62" t="s">
        <v>8906</v>
      </c>
      <c r="AB1" s="62" t="s">
        <v>8907</v>
      </c>
      <c r="AC1" s="62" t="s">
        <v>8978</v>
      </c>
      <c r="AD1" s="62" t="s">
        <v>8979</v>
      </c>
      <c r="AE1" s="62" t="s">
        <v>8908</v>
      </c>
      <c r="AF1" s="62" t="s">
        <v>8909</v>
      </c>
      <c r="AG1" s="62" t="s">
        <v>8910</v>
      </c>
      <c r="AH1" s="62" t="s">
        <v>8980</v>
      </c>
      <c r="AI1" s="62" t="s">
        <v>8981</v>
      </c>
      <c r="AJ1" s="62" t="s">
        <v>8911</v>
      </c>
      <c r="AK1" s="62" t="s">
        <v>8912</v>
      </c>
      <c r="AL1" s="62" t="s">
        <v>8982</v>
      </c>
      <c r="AM1" s="62" t="s">
        <v>8983</v>
      </c>
      <c r="AN1" s="62" t="s">
        <v>8984</v>
      </c>
      <c r="AO1" s="62" t="s">
        <v>8985</v>
      </c>
      <c r="AP1" s="62" t="s">
        <v>8986</v>
      </c>
      <c r="AQ1" s="62" t="s">
        <v>8913</v>
      </c>
      <c r="AR1" s="62" t="s">
        <v>8914</v>
      </c>
      <c r="AS1" s="62" t="s">
        <v>8915</v>
      </c>
      <c r="AT1" s="62" t="s">
        <v>8987</v>
      </c>
      <c r="AU1" s="62" t="s">
        <v>8988</v>
      </c>
      <c r="AV1" s="62" t="s">
        <v>8916</v>
      </c>
      <c r="AW1" s="62" t="s">
        <v>8989</v>
      </c>
      <c r="AX1" s="62" t="s">
        <v>8990</v>
      </c>
      <c r="AY1" s="62" t="s">
        <v>8917</v>
      </c>
      <c r="AZ1" s="62" t="s">
        <v>8991</v>
      </c>
      <c r="BA1" s="62" t="s">
        <v>8918</v>
      </c>
      <c r="BB1" s="62" t="s">
        <v>8992</v>
      </c>
      <c r="BC1" s="62" t="s">
        <v>8993</v>
      </c>
      <c r="BD1" s="62" t="s">
        <v>8919</v>
      </c>
      <c r="BE1" s="62" t="s">
        <v>8920</v>
      </c>
      <c r="BF1" s="62" t="s">
        <v>8994</v>
      </c>
      <c r="BG1" s="62" t="s">
        <v>8995</v>
      </c>
      <c r="BH1" s="62" t="s">
        <v>8921</v>
      </c>
      <c r="BI1" s="62" t="s">
        <v>8996</v>
      </c>
      <c r="BJ1" s="62" t="s">
        <v>8922</v>
      </c>
      <c r="BK1" s="62" t="s">
        <v>8997</v>
      </c>
      <c r="BL1" s="62" t="s">
        <v>8998</v>
      </c>
      <c r="BM1" s="62" t="s">
        <v>8999</v>
      </c>
      <c r="BN1" s="62" t="s">
        <v>8923</v>
      </c>
      <c r="BO1" s="62" t="s">
        <v>8924</v>
      </c>
      <c r="BP1" s="62" t="s">
        <v>9000</v>
      </c>
      <c r="BQ1" s="62" t="s">
        <v>8925</v>
      </c>
      <c r="BR1" s="62" t="s">
        <v>9001</v>
      </c>
      <c r="BS1" s="62" t="s">
        <v>8926</v>
      </c>
      <c r="BT1" s="62" t="s">
        <v>9002</v>
      </c>
      <c r="BU1" s="62" t="s">
        <v>8927</v>
      </c>
      <c r="BV1" s="62" t="s">
        <v>8928</v>
      </c>
      <c r="BW1" s="62" t="s">
        <v>8929</v>
      </c>
      <c r="BX1" s="62" t="s">
        <v>8930</v>
      </c>
      <c r="BY1" s="62" t="s">
        <v>9003</v>
      </c>
      <c r="BZ1" s="62" t="s">
        <v>8931</v>
      </c>
      <c r="CA1" s="62" t="s">
        <v>9004</v>
      </c>
      <c r="CB1" s="62" t="s">
        <v>8932</v>
      </c>
      <c r="CC1" s="62" t="s">
        <v>8933</v>
      </c>
      <c r="CD1" s="62" t="s">
        <v>8934</v>
      </c>
    </row>
    <row r="2" spans="1:82" x14ac:dyDescent="0.3">
      <c r="A2" s="64" t="s">
        <v>9044</v>
      </c>
      <c r="B2" s="62">
        <v>6.59</v>
      </c>
      <c r="C2" s="62">
        <v>0</v>
      </c>
      <c r="D2" s="62"/>
      <c r="E2" s="62">
        <v>1.65</v>
      </c>
      <c r="F2" s="62">
        <v>0.05</v>
      </c>
      <c r="G2" s="62">
        <v>0.01</v>
      </c>
      <c r="H2" s="62">
        <v>0.93</v>
      </c>
      <c r="I2" s="62"/>
      <c r="J2" s="62">
        <v>0.6</v>
      </c>
      <c r="K2" s="62">
        <v>3.54</v>
      </c>
      <c r="L2" s="62">
        <v>0.76</v>
      </c>
      <c r="M2" s="62">
        <v>2.96</v>
      </c>
      <c r="N2" s="62">
        <v>0.72</v>
      </c>
      <c r="O2" s="62">
        <v>0.01</v>
      </c>
      <c r="P2" s="62">
        <v>0.02</v>
      </c>
      <c r="Q2" s="62">
        <v>2.38</v>
      </c>
      <c r="R2" s="62">
        <v>1.56</v>
      </c>
      <c r="S2" s="62">
        <v>1.83</v>
      </c>
      <c r="T2" s="62">
        <v>0.55000000000000004</v>
      </c>
      <c r="U2" s="62">
        <v>2.62</v>
      </c>
      <c r="V2" s="62">
        <v>4.9400000000000004</v>
      </c>
      <c r="W2" s="62">
        <v>3.59</v>
      </c>
      <c r="X2" s="62">
        <v>5.2</v>
      </c>
      <c r="Y2" s="62">
        <v>0.2</v>
      </c>
      <c r="Z2" s="62">
        <v>0.01</v>
      </c>
      <c r="AA2" s="62">
        <v>3.75</v>
      </c>
      <c r="AB2" s="62">
        <v>9.64</v>
      </c>
      <c r="AC2" s="62"/>
      <c r="AD2" s="62"/>
      <c r="AE2" s="62">
        <v>0.42</v>
      </c>
      <c r="AF2" s="62">
        <v>3.71</v>
      </c>
      <c r="AG2" s="62">
        <v>9.41</v>
      </c>
      <c r="AH2" s="62">
        <v>1.6</v>
      </c>
      <c r="AI2" s="62">
        <v>6.9</v>
      </c>
      <c r="AJ2" s="62">
        <v>4.4000000000000004</v>
      </c>
      <c r="AK2" s="62">
        <v>0.18</v>
      </c>
      <c r="AL2" s="62">
        <v>0.24</v>
      </c>
      <c r="AM2" s="62"/>
      <c r="AN2" s="62">
        <v>0.3</v>
      </c>
      <c r="AO2" s="62">
        <v>4.83</v>
      </c>
      <c r="AP2" s="62">
        <v>1.02</v>
      </c>
      <c r="AQ2" s="62">
        <v>1.26</v>
      </c>
      <c r="AR2" s="62">
        <v>4.92</v>
      </c>
      <c r="AS2" s="62">
        <v>0.84</v>
      </c>
      <c r="AT2" s="62"/>
      <c r="AU2" s="62">
        <v>2.5</v>
      </c>
      <c r="AV2" s="62"/>
      <c r="AW2" s="62">
        <v>0.12</v>
      </c>
      <c r="AX2" s="62">
        <v>1.08</v>
      </c>
      <c r="AY2" s="62">
        <v>6.2</v>
      </c>
      <c r="AZ2" s="62">
        <v>11.7</v>
      </c>
      <c r="BA2" s="62"/>
      <c r="BB2" s="62">
        <v>0.78</v>
      </c>
      <c r="BC2" s="62">
        <v>2.85</v>
      </c>
      <c r="BD2" s="62">
        <v>4.03</v>
      </c>
      <c r="BE2" s="62">
        <v>2.2400000000000002</v>
      </c>
      <c r="BF2" s="62">
        <v>1.59</v>
      </c>
      <c r="BG2" s="62">
        <v>4.08</v>
      </c>
      <c r="BH2" s="62"/>
      <c r="BI2" s="62">
        <v>0.75</v>
      </c>
      <c r="BJ2" s="62">
        <v>0.68</v>
      </c>
      <c r="BK2" s="62">
        <v>0.01</v>
      </c>
      <c r="BL2" s="62"/>
      <c r="BM2" s="62">
        <v>2.0699999999999998</v>
      </c>
      <c r="BN2" s="62">
        <v>7.0000000000000007E-2</v>
      </c>
      <c r="BO2" s="62"/>
      <c r="BP2" s="62">
        <v>1.28</v>
      </c>
      <c r="BQ2" s="62"/>
      <c r="BR2" s="62">
        <v>1.1499999999999999</v>
      </c>
      <c r="BS2" s="62">
        <v>0.28999999999999998</v>
      </c>
      <c r="BT2" s="62">
        <v>0.43</v>
      </c>
      <c r="BU2" s="62">
        <v>0.87</v>
      </c>
      <c r="BV2" s="62">
        <v>2.75</v>
      </c>
      <c r="BW2" s="62">
        <v>0.99</v>
      </c>
      <c r="BX2" s="62">
        <v>0.01</v>
      </c>
      <c r="BY2" s="62">
        <v>1.3</v>
      </c>
      <c r="BZ2" s="62"/>
      <c r="CA2" s="62">
        <v>0.22</v>
      </c>
      <c r="CB2" s="62">
        <v>2.9</v>
      </c>
      <c r="CC2" s="62">
        <v>0.35</v>
      </c>
      <c r="CD2" s="62">
        <v>7.57</v>
      </c>
    </row>
    <row r="3" spans="1:82" x14ac:dyDescent="0.3">
      <c r="A3" s="64" t="s">
        <v>9066</v>
      </c>
      <c r="B3" s="77">
        <v>0.30302041919456257</v>
      </c>
      <c r="C3" s="78">
        <v>0</v>
      </c>
      <c r="D3" s="78">
        <v>0</v>
      </c>
      <c r="E3">
        <v>5.6419880121278819E-2</v>
      </c>
      <c r="F3" s="78">
        <v>-1.6817838246409662E-2</v>
      </c>
      <c r="G3" s="78">
        <v>-6.6000000000000003E-2</v>
      </c>
      <c r="H3">
        <v>3.4478763439870483E-2</v>
      </c>
      <c r="I3">
        <v>1.9072288335794413E-2</v>
      </c>
      <c r="J3">
        <v>2.5128705766545561E-2</v>
      </c>
      <c r="K3">
        <v>0.15168240510720749</v>
      </c>
      <c r="L3">
        <v>2.4053308158632197E-2</v>
      </c>
      <c r="M3">
        <v>0.15372180640987371</v>
      </c>
      <c r="N3">
        <v>3.813221628298101E-2</v>
      </c>
      <c r="O3">
        <v>4.7619047619047619E-4</v>
      </c>
      <c r="P3">
        <v>9.5238095238095325E-4</v>
      </c>
      <c r="Q3">
        <v>0.10462527286073074</v>
      </c>
      <c r="R3">
        <v>2.9398557282017325E-2</v>
      </c>
      <c r="S3">
        <v>0.1392393854753092</v>
      </c>
      <c r="T3">
        <v>1.9407220558194938E-2</v>
      </c>
      <c r="U3">
        <v>9.3244832694263022E-2</v>
      </c>
      <c r="V3">
        <v>0.22437110117726627</v>
      </c>
      <c r="W3">
        <v>0.14471660707314735</v>
      </c>
      <c r="X3" s="77">
        <v>0.24677283591667534</v>
      </c>
      <c r="Y3">
        <v>2.2578147318306541E-2</v>
      </c>
      <c r="Z3">
        <v>6.2500000000000001E-4</v>
      </c>
      <c r="AA3">
        <v>0.1611750522931906</v>
      </c>
      <c r="AB3" s="77">
        <v>0.45239657711461206</v>
      </c>
      <c r="AC3" s="78">
        <v>-2.1861952724063238E-3</v>
      </c>
      <c r="AD3">
        <v>1.4402332361516031E-2</v>
      </c>
      <c r="AE3" s="78">
        <v>-0.16540587379879237</v>
      </c>
      <c r="AF3">
        <v>0.14534154581540418</v>
      </c>
      <c r="AG3" s="77">
        <v>0.45472739975670978</v>
      </c>
      <c r="AH3">
        <v>7.958517536378891E-2</v>
      </c>
      <c r="AI3" s="77">
        <v>0.33628887983083677</v>
      </c>
      <c r="AJ3">
        <v>0.20272077551293405</v>
      </c>
      <c r="AK3">
        <v>4.4500446643303784E-2</v>
      </c>
      <c r="AL3">
        <v>4.2946652345148533E-3</v>
      </c>
      <c r="AM3" s="78">
        <v>-1.3470302376377458E-3</v>
      </c>
      <c r="AN3">
        <v>6.5140099702312314E-4</v>
      </c>
      <c r="AO3" s="77">
        <v>0.2756571114877468</v>
      </c>
      <c r="AP3">
        <v>3.9063294583649863E-2</v>
      </c>
      <c r="AQ3">
        <v>2.8895039379062064E-2</v>
      </c>
      <c r="AR3">
        <v>0.23976432214692775</v>
      </c>
      <c r="AS3">
        <v>2.4388657196376919E-2</v>
      </c>
      <c r="AT3">
        <v>4.7573621375381847E-2</v>
      </c>
      <c r="AU3">
        <v>0.10263626294391605</v>
      </c>
      <c r="AV3" s="78">
        <v>0</v>
      </c>
      <c r="AW3" s="78">
        <v>-2.5565875923018792E-2</v>
      </c>
      <c r="AX3">
        <v>4.1781453306326988E-2</v>
      </c>
      <c r="AY3" s="77">
        <v>0.3189633384720979</v>
      </c>
      <c r="AZ3" s="77">
        <v>0.54788900851203293</v>
      </c>
      <c r="BA3" s="78">
        <v>0</v>
      </c>
      <c r="BB3">
        <v>3.4741905806724177E-2</v>
      </c>
      <c r="BC3">
        <v>0.13342567749563525</v>
      </c>
      <c r="BD3">
        <v>0.21852621684975473</v>
      </c>
      <c r="BE3">
        <v>9.1486586366270065E-2</v>
      </c>
      <c r="BF3">
        <v>5.5006707978996816E-2</v>
      </c>
      <c r="BG3">
        <v>0.18942225127881862</v>
      </c>
      <c r="BH3">
        <v>2.0303703576814752E-2</v>
      </c>
      <c r="BI3">
        <v>2.0019001508844924E-3</v>
      </c>
      <c r="BJ3">
        <v>6.2072049752820498E-2</v>
      </c>
      <c r="BK3">
        <v>4.7619047619047619E-4</v>
      </c>
      <c r="BL3" s="78">
        <v>0</v>
      </c>
      <c r="BM3">
        <v>0.13130377195084331</v>
      </c>
      <c r="BN3">
        <v>1.9659863945578233E-2</v>
      </c>
      <c r="BO3" s="78">
        <v>0</v>
      </c>
      <c r="BP3">
        <v>7.1582508712531856E-2</v>
      </c>
      <c r="BQ3" s="78">
        <v>0</v>
      </c>
      <c r="BR3">
        <v>8.8461847463617127E-2</v>
      </c>
      <c r="BS3">
        <v>3.8295488548839317E-2</v>
      </c>
      <c r="BT3">
        <v>1.6864321045289305E-2</v>
      </c>
      <c r="BU3">
        <v>6.3705819065612679E-2</v>
      </c>
      <c r="BV3">
        <v>0.11928521032096751</v>
      </c>
      <c r="BW3">
        <v>3.9037709171280632E-2</v>
      </c>
      <c r="BX3">
        <v>4.7619047619047619E-4</v>
      </c>
      <c r="BY3">
        <v>5.4950832404044893E-2</v>
      </c>
      <c r="BZ3" s="78">
        <v>-0.11279733991163039</v>
      </c>
      <c r="CA3" s="78">
        <v>-1.9668381972672115E-2</v>
      </c>
      <c r="CB3">
        <v>0.12118638456806353</v>
      </c>
      <c r="CC3">
        <v>2.1520570278690407E-2</v>
      </c>
      <c r="CD3" s="77">
        <v>0.3611683857531508</v>
      </c>
    </row>
    <row r="4" spans="1:82" x14ac:dyDescent="0.3">
      <c r="A4" s="64" t="s">
        <v>9067</v>
      </c>
      <c r="B4">
        <v>-1.2652738057542093E-2</v>
      </c>
      <c r="C4">
        <v>0</v>
      </c>
      <c r="D4">
        <v>0</v>
      </c>
      <c r="E4">
        <v>-2.1266436040873755E-2</v>
      </c>
      <c r="F4">
        <v>-1.1262282690854112E-2</v>
      </c>
      <c r="G4" s="78">
        <v>-7.1428571428571425E-2</v>
      </c>
      <c r="H4">
        <v>-7.7183961257101356E-3</v>
      </c>
      <c r="I4">
        <v>2.1048717410099168E-2</v>
      </c>
      <c r="J4">
        <v>-4.6653232869253844E-4</v>
      </c>
      <c r="K4">
        <v>-1.6281858922630264E-2</v>
      </c>
      <c r="L4">
        <v>-1.3099168993844956E-2</v>
      </c>
      <c r="M4">
        <v>1.1941268107596279E-2</v>
      </c>
      <c r="N4">
        <v>4.5791027298674528E-3</v>
      </c>
      <c r="O4">
        <v>0</v>
      </c>
      <c r="P4">
        <v>0</v>
      </c>
      <c r="Q4">
        <v>-8.5438568601230828E-3</v>
      </c>
      <c r="R4" s="78">
        <v>-4.2059776051316E-2</v>
      </c>
      <c r="S4" s="77">
        <v>5.5759531995455698E-2</v>
      </c>
      <c r="T4">
        <v>-6.0392080132336337E-3</v>
      </c>
      <c r="U4" s="78">
        <v>-3.3501199051768717E-2</v>
      </c>
      <c r="V4">
        <v>-1.1179762846504257E-2</v>
      </c>
      <c r="W4" s="78">
        <v>-3.6666612881501172E-2</v>
      </c>
      <c r="X4">
        <v>3.86950885372047E-4</v>
      </c>
      <c r="Y4">
        <v>1.3054337794497019E-2</v>
      </c>
      <c r="Z4">
        <v>0</v>
      </c>
      <c r="AA4">
        <v>-1.4790805748139128E-2</v>
      </c>
      <c r="AB4">
        <v>-1.3050265199700095E-2</v>
      </c>
      <c r="AC4" s="77">
        <v>2.7940277360554187E-2</v>
      </c>
      <c r="AD4">
        <v>2.1124768089053808E-2</v>
      </c>
      <c r="AE4" s="78">
        <v>-0.17560195223016489</v>
      </c>
      <c r="AF4" s="78">
        <v>-3.0687650334273935E-2</v>
      </c>
      <c r="AG4">
        <v>8.3796496474916795E-3</v>
      </c>
      <c r="AH4">
        <v>3.3946991733127363E-3</v>
      </c>
      <c r="AI4">
        <v>3.6499909419477733E-3</v>
      </c>
      <c r="AJ4">
        <v>-7.9426351504765964E-3</v>
      </c>
      <c r="AK4">
        <v>1.5520854806569093E-2</v>
      </c>
      <c r="AL4">
        <v>-7.1339061940565735E-3</v>
      </c>
      <c r="AM4">
        <v>-3.0283775709492302E-3</v>
      </c>
      <c r="AN4">
        <v>-1.7963317617695495E-2</v>
      </c>
      <c r="AO4" s="77">
        <v>5.1548127688041422E-2</v>
      </c>
      <c r="AP4">
        <v>-8.3743471397061293E-3</v>
      </c>
      <c r="AQ4">
        <v>-2.9177063956199175E-2</v>
      </c>
      <c r="AR4">
        <v>3.3464116991665754E-3</v>
      </c>
      <c r="AS4">
        <v>-1.5207791552614208E-2</v>
      </c>
      <c r="AT4">
        <v>1.8273086397788376E-2</v>
      </c>
      <c r="AU4">
        <v>-1.4647687673367903E-2</v>
      </c>
      <c r="AV4">
        <v>0</v>
      </c>
      <c r="AW4" s="78">
        <v>-3.1280161637304502E-2</v>
      </c>
      <c r="AX4">
        <v>-8.2668558724169703E-3</v>
      </c>
      <c r="AY4" s="77">
        <v>2.5488911664337716E-2</v>
      </c>
      <c r="AZ4">
        <v>-1.2150232822172372E-2</v>
      </c>
      <c r="BA4">
        <v>0</v>
      </c>
      <c r="BB4">
        <v>-1.3308603784015543E-3</v>
      </c>
      <c r="BC4">
        <v>-3.8384631388862491E-4</v>
      </c>
      <c r="BD4" s="77">
        <v>3.1156602337283113E-2</v>
      </c>
      <c r="BE4">
        <v>-1.1377170247486549E-2</v>
      </c>
      <c r="BF4">
        <v>-1.7628760001298753E-2</v>
      </c>
      <c r="BG4">
        <v>-3.9761515605779797E-3</v>
      </c>
      <c r="BH4">
        <v>1.8741880224752077E-2</v>
      </c>
      <c r="BI4" s="78">
        <v>-3.3712385563401219E-2</v>
      </c>
      <c r="BJ4">
        <v>1.4384974922888519E-2</v>
      </c>
      <c r="BK4">
        <v>0</v>
      </c>
      <c r="BL4">
        <v>0</v>
      </c>
      <c r="BM4" s="77">
        <v>3.654186718893853E-2</v>
      </c>
      <c r="BN4">
        <v>6.8027210884353843E-3</v>
      </c>
      <c r="BO4">
        <v>0</v>
      </c>
      <c r="BP4">
        <v>1.0630127760150902E-2</v>
      </c>
      <c r="BQ4">
        <v>0</v>
      </c>
      <c r="BR4" s="77">
        <v>3.5211658499142477E-2</v>
      </c>
      <c r="BS4" s="77">
        <v>3.4009774263125028E-2</v>
      </c>
      <c r="BT4">
        <v>-1.5414760561599748E-3</v>
      </c>
      <c r="BU4" s="77">
        <v>2.36377918547283E-2</v>
      </c>
      <c r="BV4">
        <v>-1.0591033962056426E-2</v>
      </c>
      <c r="BW4">
        <v>-8.1051479715765068E-3</v>
      </c>
      <c r="BX4">
        <v>0</v>
      </c>
      <c r="BY4">
        <v>-7.2631440956459166E-3</v>
      </c>
      <c r="BZ4" s="78">
        <v>-0.12020428427473683</v>
      </c>
      <c r="CA4">
        <v>-1.7274559578849723E-2</v>
      </c>
      <c r="CB4">
        <v>-1.7259853878174899E-2</v>
      </c>
      <c r="CC4">
        <v>1.2294379802499937E-2</v>
      </c>
      <c r="CD4">
        <v>2.6669188156648324E-3</v>
      </c>
    </row>
    <row r="5" spans="1:82" x14ac:dyDescent="0.3">
      <c r="A5" s="64" t="s">
        <v>9068</v>
      </c>
      <c r="B5">
        <v>-1.3235303095872196E-2</v>
      </c>
      <c r="C5">
        <v>0</v>
      </c>
      <c r="D5">
        <v>0</v>
      </c>
      <c r="E5">
        <v>-2.7814442613795912E-2</v>
      </c>
      <c r="F5">
        <v>-1.0750360750360744E-2</v>
      </c>
      <c r="G5" s="78">
        <v>-7.1428571428571425E-2</v>
      </c>
      <c r="H5">
        <v>-1.0234062804680717E-2</v>
      </c>
      <c r="I5">
        <v>1.7371282945523221E-2</v>
      </c>
      <c r="J5">
        <v>-1.8657808592065152E-3</v>
      </c>
      <c r="K5">
        <v>-2.0316797382988215E-2</v>
      </c>
      <c r="L5">
        <v>-1.0629337975849189E-2</v>
      </c>
      <c r="M5">
        <v>7.557254000272756E-3</v>
      </c>
      <c r="N5">
        <v>3.6494609751909369E-3</v>
      </c>
      <c r="O5">
        <v>0</v>
      </c>
      <c r="P5">
        <v>-2.2727272727272721E-2</v>
      </c>
      <c r="Q5">
        <v>-8.793458262812864E-3</v>
      </c>
      <c r="R5" s="78">
        <v>-4.3825520270225002E-2</v>
      </c>
      <c r="S5" s="77">
        <v>5.3225007813844073E-2</v>
      </c>
      <c r="T5">
        <v>-5.7646985580866502E-3</v>
      </c>
      <c r="U5" s="78">
        <v>-3.5585920884191928E-2</v>
      </c>
      <c r="V5">
        <v>-9.0654241241205896E-3</v>
      </c>
      <c r="W5" s="78">
        <v>-3.1205482256452696E-2</v>
      </c>
      <c r="X5">
        <v>-1.688619179925819E-3</v>
      </c>
      <c r="Y5">
        <v>1.5957462300341563E-2</v>
      </c>
      <c r="Z5">
        <v>0</v>
      </c>
      <c r="AA5">
        <v>-1.8508992263719579E-2</v>
      </c>
      <c r="AB5">
        <v>-1.7085170500540179E-2</v>
      </c>
      <c r="AC5" s="77">
        <v>2.1116142127974379E-2</v>
      </c>
      <c r="AD5">
        <v>1.8777571634714496E-2</v>
      </c>
      <c r="AE5" s="78">
        <v>-0.17827345440152104</v>
      </c>
      <c r="AF5" s="78">
        <v>-3.4518141171509781E-2</v>
      </c>
      <c r="AG5">
        <v>5.8466761373637544E-3</v>
      </c>
      <c r="AH5">
        <v>4.7555461805864011E-3</v>
      </c>
      <c r="AI5">
        <v>2.6474955366110522E-3</v>
      </c>
      <c r="AJ5">
        <v>-1.0448868887522734E-2</v>
      </c>
      <c r="AK5">
        <v>7.2396038305129161E-3</v>
      </c>
      <c r="AL5">
        <v>-6.8096377306903653E-3</v>
      </c>
      <c r="AM5">
        <v>-4.1647299911924335E-3</v>
      </c>
      <c r="AN5">
        <v>-2.4722560756285095E-2</v>
      </c>
      <c r="AO5" s="77">
        <v>4.8227513868399269E-2</v>
      </c>
      <c r="AP5">
        <v>-9.1396079076110082E-3</v>
      </c>
      <c r="AQ5" s="78">
        <v>-3.6744114408783002E-2</v>
      </c>
      <c r="AR5">
        <v>-8.0018828164953666E-4</v>
      </c>
      <c r="AS5">
        <v>-1.9343559675926589E-2</v>
      </c>
      <c r="AT5">
        <v>5.5392945122320547E-3</v>
      </c>
      <c r="AU5">
        <v>-1.5288883397770441E-2</v>
      </c>
      <c r="AV5">
        <v>0</v>
      </c>
      <c r="AW5">
        <v>-2.9858336108336114E-2</v>
      </c>
      <c r="AX5">
        <v>-1.1037942843251167E-2</v>
      </c>
      <c r="AY5" s="77">
        <v>2.0788412137682462E-2</v>
      </c>
      <c r="AZ5">
        <v>-1.2712812224693877E-2</v>
      </c>
      <c r="BA5">
        <v>0</v>
      </c>
      <c r="BB5">
        <v>-2.8746447997041592E-3</v>
      </c>
      <c r="BC5">
        <v>-3.6639875416641469E-4</v>
      </c>
      <c r="BD5" s="77">
        <v>3.5507014578397104E-2</v>
      </c>
      <c r="BE5">
        <v>-1.5488125318881786E-2</v>
      </c>
      <c r="BF5">
        <v>-1.8645634546694264E-2</v>
      </c>
      <c r="BG5">
        <v>-6.4198137875640946E-3</v>
      </c>
      <c r="BH5">
        <v>9.3473205738970732E-3</v>
      </c>
      <c r="BI5" s="78">
        <v>-3.1226412538745661E-2</v>
      </c>
      <c r="BJ5">
        <v>1.0484359179640338E-2</v>
      </c>
      <c r="BK5">
        <v>0</v>
      </c>
      <c r="BL5">
        <v>0</v>
      </c>
      <c r="BM5" s="77">
        <v>3.4386802079559901E-2</v>
      </c>
      <c r="BN5">
        <v>-1.1688311688311682E-2</v>
      </c>
      <c r="BO5">
        <v>0</v>
      </c>
      <c r="BP5">
        <v>1.107458391947614E-2</v>
      </c>
      <c r="BQ5">
        <v>0</v>
      </c>
      <c r="BR5" s="77">
        <v>3.8855883812118519E-2</v>
      </c>
      <c r="BS5" s="77">
        <v>4.0039633008740562E-2</v>
      </c>
      <c r="BT5">
        <v>-4.7181622094514021E-3</v>
      </c>
      <c r="BU5" s="77">
        <v>2.3862048069123773E-2</v>
      </c>
      <c r="BV5">
        <v>-1.312246063420293E-2</v>
      </c>
      <c r="BW5">
        <v>-1.0503530573659001E-2</v>
      </c>
      <c r="BX5">
        <v>0</v>
      </c>
      <c r="BY5">
        <v>-8.1698595619229888E-3</v>
      </c>
      <c r="BZ5" s="78">
        <v>-0.12351667057071468</v>
      </c>
      <c r="CA5">
        <v>-2.1998994198543884E-2</v>
      </c>
      <c r="CB5">
        <v>-2.1341206354398373E-2</v>
      </c>
      <c r="CC5">
        <v>4.8484920153339653E-3</v>
      </c>
      <c r="CD5">
        <v>-4.2519009069188785E-4</v>
      </c>
    </row>
    <row r="6" spans="1:82" x14ac:dyDescent="0.3">
      <c r="A6" s="64" t="s">
        <v>9069</v>
      </c>
      <c r="B6">
        <v>-1.3234559501242799E-2</v>
      </c>
      <c r="C6" s="78">
        <v>-0.33333333333333331</v>
      </c>
      <c r="D6">
        <v>0</v>
      </c>
      <c r="E6">
        <v>-2.5089935058370483E-2</v>
      </c>
      <c r="F6">
        <v>-1.0750360750360744E-2</v>
      </c>
      <c r="G6" s="78">
        <v>-7.6923076923076927E-2</v>
      </c>
      <c r="H6">
        <v>-1.1091695737785349E-2</v>
      </c>
      <c r="I6">
        <v>3.1341546509709023E-3</v>
      </c>
      <c r="J6">
        <v>-2.6233566167822736E-3</v>
      </c>
      <c r="K6">
        <v>-1.8126223096460062E-2</v>
      </c>
      <c r="L6">
        <v>-1.1416429672031795E-2</v>
      </c>
      <c r="M6">
        <v>6.154858637685231E-3</v>
      </c>
      <c r="N6">
        <v>2.9163231452789128E-3</v>
      </c>
      <c r="O6">
        <v>0</v>
      </c>
      <c r="P6">
        <v>-2.2727272727272721E-2</v>
      </c>
      <c r="Q6">
        <v>-8.719077614532382E-3</v>
      </c>
      <c r="R6">
        <v>-1.2289470113485185E-2</v>
      </c>
      <c r="S6" s="77">
        <v>3.260812469696097E-2</v>
      </c>
      <c r="T6">
        <v>-3.600196393584484E-3</v>
      </c>
      <c r="U6" s="78">
        <v>-4.258775743148302E-2</v>
      </c>
      <c r="V6">
        <v>-9.2621280050349877E-3</v>
      </c>
      <c r="W6" s="78">
        <v>-4.5443663628016523E-2</v>
      </c>
      <c r="X6">
        <v>-2.2739953688800246E-4</v>
      </c>
      <c r="Y6">
        <v>1.4669276801629742E-2</v>
      </c>
      <c r="Z6">
        <v>0</v>
      </c>
      <c r="AA6">
        <v>-2.0028626047882418E-2</v>
      </c>
      <c r="AB6">
        <v>-2.1064725082504399E-2</v>
      </c>
      <c r="AC6" s="77">
        <v>2.7271856071623052E-2</v>
      </c>
      <c r="AD6">
        <v>7.1437169102674279E-3</v>
      </c>
      <c r="AE6" s="78">
        <v>-0.17372799985606649</v>
      </c>
      <c r="AF6" s="78">
        <v>-3.6057263253363434E-2</v>
      </c>
      <c r="AG6">
        <v>8.4514018705396828E-3</v>
      </c>
      <c r="AH6">
        <v>6.7820613321015553E-3</v>
      </c>
      <c r="AI6">
        <v>4.8351192336687108E-3</v>
      </c>
      <c r="AJ6">
        <v>-1.4353824691212706E-2</v>
      </c>
      <c r="AK6">
        <v>2.1890987800078673E-3</v>
      </c>
      <c r="AL6">
        <v>-4.6451355661881995E-3</v>
      </c>
      <c r="AM6">
        <v>-6.3488150399909245E-3</v>
      </c>
      <c r="AN6">
        <v>-2.7609290961563684E-2</v>
      </c>
      <c r="AO6" s="77">
        <v>6.9917279744211636E-2</v>
      </c>
      <c r="AP6">
        <v>-1.1544488355087807E-2</v>
      </c>
      <c r="AQ6" s="78">
        <v>-3.757056068977474E-2</v>
      </c>
      <c r="AR6">
        <v>-2.6286069696240572E-3</v>
      </c>
      <c r="AS6">
        <v>-2.1127386314404396E-2</v>
      </c>
      <c r="AT6">
        <v>1.4429267470675852E-2</v>
      </c>
      <c r="AU6">
        <v>-1.6161605636771742E-2</v>
      </c>
      <c r="AV6">
        <v>0</v>
      </c>
      <c r="AW6">
        <v>-3.5810717060717062E-2</v>
      </c>
      <c r="AX6">
        <v>-1.0091386850823614E-2</v>
      </c>
      <c r="AY6" s="77">
        <v>2.3670665019935352E-2</v>
      </c>
      <c r="AZ6">
        <v>-8.7943169268882397E-3</v>
      </c>
      <c r="BA6">
        <v>0</v>
      </c>
      <c r="BB6">
        <v>-3.9699350516209176E-3</v>
      </c>
      <c r="BC6">
        <v>1.9606257571584355E-3</v>
      </c>
      <c r="BD6" s="77">
        <v>5.4600773484068242E-2</v>
      </c>
      <c r="BE6">
        <v>-2.0538630369386836E-2</v>
      </c>
      <c r="BF6">
        <v>-2.3036481794684371E-2</v>
      </c>
      <c r="BG6">
        <v>-3.0013049467311468E-3</v>
      </c>
      <c r="BH6">
        <v>2.0286261082524219E-4</v>
      </c>
      <c r="BI6" s="78">
        <v>-3.5816368037792076E-2</v>
      </c>
      <c r="BJ6">
        <v>3.5444048712649752E-3</v>
      </c>
      <c r="BK6">
        <v>0</v>
      </c>
      <c r="BL6">
        <v>0</v>
      </c>
      <c r="BM6" s="77">
        <v>2.9366212912629273E-2</v>
      </c>
      <c r="BN6">
        <v>-1.1688311688311682E-2</v>
      </c>
      <c r="BO6">
        <v>0</v>
      </c>
      <c r="BP6">
        <v>1.0245787423232337E-2</v>
      </c>
      <c r="BQ6">
        <v>0</v>
      </c>
      <c r="BR6" s="77">
        <v>5.1210363864440292E-2</v>
      </c>
      <c r="BS6" s="77">
        <v>6.8498131032455972E-2</v>
      </c>
      <c r="BT6">
        <v>-2.4454349367241347E-3</v>
      </c>
      <c r="BU6" s="77">
        <v>3.865705698177975E-2</v>
      </c>
      <c r="BV6">
        <v>-1.1794578397020432E-2</v>
      </c>
      <c r="BW6">
        <v>-1.0434965598261729E-2</v>
      </c>
      <c r="BX6">
        <v>0</v>
      </c>
      <c r="BY6">
        <v>-9.4834108754743036E-3</v>
      </c>
      <c r="BZ6" s="78">
        <v>-0.11385862935618159</v>
      </c>
      <c r="CA6">
        <v>-1.152468589814862E-2</v>
      </c>
      <c r="CB6">
        <v>-2.0715274632026742E-2</v>
      </c>
      <c r="CC6">
        <v>1.3506500673342621E-2</v>
      </c>
      <c r="CD6">
        <v>-8.1325099134669338E-4</v>
      </c>
    </row>
    <row r="7" spans="1:82" x14ac:dyDescent="0.3">
      <c r="A7" s="64" t="s">
        <v>9070</v>
      </c>
      <c r="B7">
        <v>-9.3291193601280908E-3</v>
      </c>
      <c r="C7" s="78">
        <v>-0.33333333333333331</v>
      </c>
      <c r="D7">
        <v>0</v>
      </c>
      <c r="E7">
        <v>-2.4996246541459714E-2</v>
      </c>
      <c r="F7">
        <v>-1.9841269841269837E-2</v>
      </c>
      <c r="G7" s="78">
        <v>-8.3333333333333329E-2</v>
      </c>
      <c r="H7">
        <v>-1.0592195238284849E-2</v>
      </c>
      <c r="I7">
        <v>3.971565956550429E-3</v>
      </c>
      <c r="J7">
        <v>-6.2890457663423941E-3</v>
      </c>
      <c r="K7">
        <v>-2.0258894346778373E-2</v>
      </c>
      <c r="L7">
        <v>-1.3569539719878688E-2</v>
      </c>
      <c r="M7">
        <v>2.2541494178270742E-3</v>
      </c>
      <c r="N7">
        <v>2.3203008101261497E-3</v>
      </c>
      <c r="O7">
        <v>0</v>
      </c>
      <c r="P7">
        <v>-2.2727272727272721E-2</v>
      </c>
      <c r="Q7">
        <v>-5.5940776145323879E-3</v>
      </c>
      <c r="R7">
        <v>-2.6033229273380097E-3</v>
      </c>
      <c r="S7" s="77">
        <v>2.8908336113451449E-2</v>
      </c>
      <c r="T7">
        <v>-5.2235730169611066E-3</v>
      </c>
      <c r="U7" s="78">
        <v>-5.0501400908506772E-2</v>
      </c>
      <c r="V7">
        <v>-4.8963356945786497E-3</v>
      </c>
      <c r="W7" s="78">
        <v>-4.5996391091134313E-2</v>
      </c>
      <c r="X7">
        <v>4.0042757474188671E-3</v>
      </c>
      <c r="Y7">
        <v>1.3555194805194805E-2</v>
      </c>
      <c r="Z7">
        <v>0</v>
      </c>
      <c r="AA7">
        <v>-2.1058929078185459E-2</v>
      </c>
      <c r="AB7">
        <v>-1.6845048429321451E-2</v>
      </c>
      <c r="AC7" s="77">
        <v>2.4930856516521382E-2</v>
      </c>
      <c r="AD7">
        <v>-1.5759660042206661E-4</v>
      </c>
      <c r="AE7" s="78">
        <v>-0.18391781004587671</v>
      </c>
      <c r="AF7" s="78">
        <v>-3.8591550007204219E-2</v>
      </c>
      <c r="AG7">
        <v>1.063158586890549E-2</v>
      </c>
      <c r="AH7">
        <v>6.1551020844526523E-3</v>
      </c>
      <c r="AI7">
        <v>-3.1768054937129854E-4</v>
      </c>
      <c r="AJ7">
        <v>-1.2136909925211815E-2</v>
      </c>
      <c r="AK7">
        <v>2.1890987800078673E-3</v>
      </c>
      <c r="AL7">
        <v>4.9242424242424195E-3</v>
      </c>
      <c r="AM7">
        <v>-5.1748012584908404E-3</v>
      </c>
      <c r="AN7" s="78">
        <v>-4.1122804475077199E-2</v>
      </c>
      <c r="AO7" s="77">
        <v>5.5270815097746999E-2</v>
      </c>
      <c r="AP7">
        <v>-1.1544488355087807E-2</v>
      </c>
      <c r="AQ7">
        <v>-3.5724934617733572E-2</v>
      </c>
      <c r="AR7">
        <v>-3.7265155417273784E-3</v>
      </c>
      <c r="AS7">
        <v>-1.8962884149902229E-2</v>
      </c>
      <c r="AT7">
        <v>1.3527438253758611E-2</v>
      </c>
      <c r="AU7">
        <v>-1.8293195803035778E-2</v>
      </c>
      <c r="AV7">
        <v>0</v>
      </c>
      <c r="AW7">
        <v>-3.5810717060717062E-2</v>
      </c>
      <c r="AX7">
        <v>-9.0812858407226024E-3</v>
      </c>
      <c r="AY7" s="77">
        <v>2.4206379305649631E-2</v>
      </c>
      <c r="AZ7">
        <v>-8.5427135444674559E-3</v>
      </c>
      <c r="BA7">
        <v>0</v>
      </c>
      <c r="BB7">
        <v>-1.7226846325665813E-4</v>
      </c>
      <c r="BC7">
        <v>3.2512390584478949E-3</v>
      </c>
      <c r="BD7" s="77">
        <v>5.0030056189290434E-2</v>
      </c>
      <c r="BE7">
        <v>-1.731016869022093E-2</v>
      </c>
      <c r="BF7">
        <v>-2.2095745486575714E-2</v>
      </c>
      <c r="BG7">
        <v>-5.8693762243995085E-3</v>
      </c>
      <c r="BH7">
        <v>-2.7658973834324193E-3</v>
      </c>
      <c r="BI7" s="78">
        <v>-3.7602082323506363E-2</v>
      </c>
      <c r="BJ7">
        <v>-2.2744121417261322E-2</v>
      </c>
      <c r="BK7">
        <v>0</v>
      </c>
      <c r="BL7">
        <v>0</v>
      </c>
      <c r="BM7" s="77">
        <v>3.3705479148295865E-2</v>
      </c>
      <c r="BN7">
        <v>-1.7370129870129862E-2</v>
      </c>
      <c r="BO7">
        <v>0</v>
      </c>
      <c r="BP7">
        <v>7.0383094173672297E-3</v>
      </c>
      <c r="BQ7">
        <v>0</v>
      </c>
      <c r="BR7" s="77">
        <v>3.9136993099188895E-2</v>
      </c>
      <c r="BS7" s="77">
        <v>7.1956629056171409E-2</v>
      </c>
      <c r="BT7">
        <v>2.1000196087304136E-3</v>
      </c>
      <c r="BU7">
        <v>6.5461754390800176E-3</v>
      </c>
      <c r="BV7">
        <v>-1.3166628535050328E-2</v>
      </c>
      <c r="BW7">
        <v>-1.0252478296336489E-2</v>
      </c>
      <c r="BX7">
        <v>0</v>
      </c>
      <c r="BY7">
        <v>-1.0623512550115453E-2</v>
      </c>
      <c r="BZ7" s="78">
        <v>-0.10011420791192333</v>
      </c>
      <c r="CA7">
        <v>-2.5701542180268048E-2</v>
      </c>
      <c r="CB7">
        <v>-2.0081988395163758E-2</v>
      </c>
      <c r="CC7" s="77">
        <v>1.6080083390466012E-2</v>
      </c>
      <c r="CD7">
        <v>-3.3832924148912936E-3</v>
      </c>
    </row>
    <row r="8" spans="1:82" x14ac:dyDescent="0.3">
      <c r="A8" s="64" t="s">
        <v>9071</v>
      </c>
      <c r="B8">
        <v>-3.054273071505477E-3</v>
      </c>
      <c r="C8" s="78">
        <v>-0.25</v>
      </c>
      <c r="D8">
        <v>0</v>
      </c>
      <c r="E8">
        <v>-1.8882477269795708E-2</v>
      </c>
      <c r="F8">
        <v>-1.0750360750360744E-2</v>
      </c>
      <c r="G8" s="78">
        <v>-9.0909090909090912E-2</v>
      </c>
      <c r="H8">
        <v>-1.11959393202898E-2</v>
      </c>
      <c r="I8">
        <v>5.472103958339726E-3</v>
      </c>
      <c r="J8">
        <v>-2.681542158838784E-3</v>
      </c>
      <c r="K8">
        <v>-1.7686229234912185E-2</v>
      </c>
      <c r="L8">
        <v>-8.3831676503897373E-3</v>
      </c>
      <c r="M8">
        <v>5.5649725815914066E-3</v>
      </c>
      <c r="N8">
        <v>-1.6322683598343282E-3</v>
      </c>
      <c r="O8">
        <v>0</v>
      </c>
      <c r="P8">
        <v>-2.2727272727272721E-2</v>
      </c>
      <c r="Q8">
        <v>-7.8320933576292509E-3</v>
      </c>
      <c r="R8">
        <v>-7.8219751224739616E-3</v>
      </c>
      <c r="S8" s="77">
        <v>2.9426705840659376E-2</v>
      </c>
      <c r="T8">
        <v>-5.9811487745368647E-3</v>
      </c>
      <c r="U8" s="78">
        <v>-4.1429898407213006E-2</v>
      </c>
      <c r="V8">
        <v>-2.633978886767298E-3</v>
      </c>
      <c r="W8" s="78">
        <v>-5.0323080444561637E-2</v>
      </c>
      <c r="X8">
        <v>5.3667154217764881E-3</v>
      </c>
      <c r="Y8">
        <v>7.4945887445887482E-3</v>
      </c>
      <c r="Z8">
        <v>0</v>
      </c>
      <c r="AA8">
        <v>-2.2228545201072602E-2</v>
      </c>
      <c r="AB8">
        <v>-1.4990004835765031E-2</v>
      </c>
      <c r="AC8" s="77">
        <v>3.3155286679890969E-2</v>
      </c>
      <c r="AD8">
        <v>1.7073883014649589E-3</v>
      </c>
      <c r="AE8" s="78">
        <v>-0.15188317801124465</v>
      </c>
      <c r="AF8" s="78">
        <v>-3.5343991346872959E-2</v>
      </c>
      <c r="AG8">
        <v>1.2942598190352149E-2</v>
      </c>
      <c r="AH8">
        <v>6.1551020844526523E-3</v>
      </c>
      <c r="AI8">
        <v>-4.1429826921951437E-4</v>
      </c>
      <c r="AJ8">
        <v>-1.3273546829137188E-2</v>
      </c>
      <c r="AK8">
        <v>4.3929555293191697E-3</v>
      </c>
      <c r="AL8">
        <v>-4.1666666666666683E-3</v>
      </c>
      <c r="AM8">
        <v>-3.1303469098520166E-3</v>
      </c>
      <c r="AN8">
        <v>-3.2749598733450402E-2</v>
      </c>
      <c r="AO8" s="77">
        <v>5.2363838353560954E-2</v>
      </c>
      <c r="AP8">
        <v>-1.27462297463869E-2</v>
      </c>
      <c r="AQ8" s="78">
        <v>-3.504903059610464E-2</v>
      </c>
      <c r="AR8">
        <v>-2.5635627389031922E-3</v>
      </c>
      <c r="AS8">
        <v>-1.7954217687658629E-2</v>
      </c>
      <c r="AT8">
        <v>1.1051034322865244E-2</v>
      </c>
      <c r="AU8">
        <v>-1.5717617694440199E-2</v>
      </c>
      <c r="AV8">
        <v>0</v>
      </c>
      <c r="AW8">
        <v>-2.7789326686385511E-2</v>
      </c>
      <c r="AX8">
        <v>-1.0154356256858713E-2</v>
      </c>
      <c r="AY8" s="77">
        <v>2.6585728351665349E-2</v>
      </c>
      <c r="AZ8">
        <v>-6.403966448150708E-3</v>
      </c>
      <c r="BA8">
        <v>0</v>
      </c>
      <c r="BB8">
        <v>-8.6735059773273139E-4</v>
      </c>
      <c r="BC8">
        <v>1.8340751412839723E-3</v>
      </c>
      <c r="BD8" s="77">
        <v>4.6195181386673695E-2</v>
      </c>
      <c r="BE8">
        <v>-1.1985764776475333E-2</v>
      </c>
      <c r="BF8">
        <v>-1.8913863257208632E-2</v>
      </c>
      <c r="BG8">
        <v>-4.5355941419543237E-3</v>
      </c>
      <c r="BH8">
        <v>9.6186485124363666E-4</v>
      </c>
      <c r="BI8" s="78">
        <v>-3.7898468983529388E-2</v>
      </c>
      <c r="BJ8">
        <v>-2.2022930087150606E-2</v>
      </c>
      <c r="BK8">
        <v>0</v>
      </c>
      <c r="BL8">
        <v>0</v>
      </c>
      <c r="BM8" s="77">
        <v>3.3027400750010205E-2</v>
      </c>
      <c r="BN8">
        <v>-2.4675324675324673E-2</v>
      </c>
      <c r="BO8">
        <v>0</v>
      </c>
      <c r="BP8">
        <v>7.9383994263681305E-3</v>
      </c>
      <c r="BQ8">
        <v>0</v>
      </c>
      <c r="BR8" s="77">
        <v>3.9888413155736442E-2</v>
      </c>
      <c r="BS8" s="77">
        <v>7.8883035982578315E-2</v>
      </c>
      <c r="BT8">
        <v>-2.3609665595728251E-3</v>
      </c>
      <c r="BU8">
        <v>-2.3981060858466641E-3</v>
      </c>
      <c r="BV8">
        <v>-1.2991116901681411E-2</v>
      </c>
      <c r="BW8">
        <v>-1.0890790464582138E-2</v>
      </c>
      <c r="BX8">
        <v>0</v>
      </c>
      <c r="BY8">
        <v>-1.1869741069071245E-2</v>
      </c>
      <c r="BZ8" s="78">
        <v>-9.3857069917428121E-2</v>
      </c>
      <c r="CA8">
        <v>-1.6231845210571083E-2</v>
      </c>
      <c r="CB8">
        <v>-1.8443556547341967E-2</v>
      </c>
      <c r="CC8" s="77">
        <v>2.2658058261123812E-2</v>
      </c>
      <c r="CD8">
        <v>3.5831083691925049E-3</v>
      </c>
    </row>
    <row r="9" spans="1:82" x14ac:dyDescent="0.3">
      <c r="A9" s="64" t="s">
        <v>9072</v>
      </c>
      <c r="B9">
        <v>-4.7236171402534194E-3</v>
      </c>
      <c r="C9" s="78">
        <v>-0.2</v>
      </c>
      <c r="D9" s="77">
        <v>5.0632911392404965E-2</v>
      </c>
      <c r="E9">
        <v>-1.4593828065892267E-2</v>
      </c>
      <c r="F9">
        <v>-1.0750360750360744E-2</v>
      </c>
      <c r="G9" s="78">
        <v>-0.1</v>
      </c>
      <c r="H9">
        <v>-1.0207797027799682E-2</v>
      </c>
      <c r="I9">
        <v>5.0511728846212856E-3</v>
      </c>
      <c r="J9">
        <v>-4.0881488611150906E-4</v>
      </c>
      <c r="K9">
        <v>-2.1664802149411883E-2</v>
      </c>
      <c r="L9">
        <v>-7.4740767412988266E-3</v>
      </c>
      <c r="M9">
        <v>6.7930341961264518E-3</v>
      </c>
      <c r="N9">
        <v>1.0814358464071938E-3</v>
      </c>
      <c r="O9">
        <v>0</v>
      </c>
      <c r="P9">
        <v>-2.2727272727272721E-2</v>
      </c>
      <c r="Q9">
        <v>-1.0202817146035967E-2</v>
      </c>
      <c r="R9">
        <v>1.9392737296839789E-3</v>
      </c>
      <c r="S9" s="77">
        <v>3.326645336410991E-2</v>
      </c>
      <c r="T9">
        <v>-8.2538760472641391E-3</v>
      </c>
      <c r="U9" s="78">
        <v>-4.264213179234988E-2</v>
      </c>
      <c r="V9">
        <v>-1.3189085894441894E-3</v>
      </c>
      <c r="W9" s="78">
        <v>-5.4085790602620636E-2</v>
      </c>
      <c r="X9">
        <v>9.6940747969901497E-3</v>
      </c>
      <c r="Y9">
        <v>1.9805194805194805E-2</v>
      </c>
      <c r="Z9">
        <v>0</v>
      </c>
      <c r="AA9">
        <v>-2.2100818333827446E-2</v>
      </c>
      <c r="AB9">
        <v>-2.7353308959690455E-2</v>
      </c>
      <c r="AC9" s="77">
        <v>3.019077691575945E-2</v>
      </c>
      <c r="AD9">
        <v>3.1786148423779037E-3</v>
      </c>
      <c r="AE9" s="78">
        <v>-0.15025980138786804</v>
      </c>
      <c r="AF9" s="78">
        <v>-3.9028873880070106E-2</v>
      </c>
      <c r="AG9">
        <v>1.4055945309754219E-2</v>
      </c>
      <c r="AH9">
        <v>3.0848457687602335E-3</v>
      </c>
      <c r="AI9">
        <v>3.1334529354466641E-5</v>
      </c>
      <c r="AJ9">
        <v>-9.9189443908121403E-3</v>
      </c>
      <c r="AK9">
        <v>1.1555489964580883E-2</v>
      </c>
      <c r="AL9">
        <v>-1.3636363636363641E-2</v>
      </c>
      <c r="AM9">
        <v>-5.2018601213986602E-3</v>
      </c>
      <c r="AN9" s="78">
        <v>-4.5118182530605629E-2</v>
      </c>
      <c r="AO9" s="77">
        <v>6.0284440478708519E-2</v>
      </c>
      <c r="AP9">
        <v>-1.0973850147269683E-2</v>
      </c>
      <c r="AQ9">
        <v>-3.8686325379932947E-2</v>
      </c>
      <c r="AR9">
        <v>7.1944653027069391E-3</v>
      </c>
      <c r="AS9">
        <v>-1.4515247836475035E-2</v>
      </c>
      <c r="AT9">
        <v>1.2818040352547336E-2</v>
      </c>
      <c r="AU9">
        <v>-1.4830842008352595E-2</v>
      </c>
      <c r="AV9">
        <v>0</v>
      </c>
      <c r="AW9" s="78">
        <v>-4.1158310643604756E-2</v>
      </c>
      <c r="AX9">
        <v>-8.5163546188570822E-3</v>
      </c>
      <c r="AY9" s="77">
        <v>3.7893386211047347E-2</v>
      </c>
      <c r="AZ9">
        <v>-5.4569967511810102E-3</v>
      </c>
      <c r="BA9">
        <v>0</v>
      </c>
      <c r="BB9">
        <v>-8.6735059773272543E-4</v>
      </c>
      <c r="BC9">
        <v>1.4188012655995423E-3</v>
      </c>
      <c r="BD9" s="77">
        <v>6.0837031784338039E-2</v>
      </c>
      <c r="BE9">
        <v>-8.3758185088904629E-3</v>
      </c>
      <c r="BF9">
        <v>-1.9359650447126089E-2</v>
      </c>
      <c r="BG9">
        <v>-7.2131523343933546E-3</v>
      </c>
      <c r="BH9">
        <v>2.8464124111874673E-3</v>
      </c>
      <c r="BI9">
        <v>-3.7885407332536702E-2</v>
      </c>
      <c r="BJ9">
        <v>-1.7854237816854055E-2</v>
      </c>
      <c r="BK9">
        <v>0</v>
      </c>
      <c r="BL9">
        <v>0</v>
      </c>
      <c r="BM9" s="77">
        <v>2.9818844600277582E-2</v>
      </c>
      <c r="BN9">
        <v>-1.673881673881673E-2</v>
      </c>
      <c r="BO9">
        <v>0</v>
      </c>
      <c r="BP9">
        <v>8.9218151570058819E-3</v>
      </c>
      <c r="BQ9">
        <v>0</v>
      </c>
      <c r="BR9" s="77">
        <v>2.7429353228322084E-2</v>
      </c>
      <c r="BS9" s="77">
        <v>6.9911744116549615E-2</v>
      </c>
      <c r="BT9">
        <v>-3.4432176418239088E-3</v>
      </c>
      <c r="BU9">
        <v>-1.158436664359064E-3</v>
      </c>
      <c r="BV9">
        <v>-1.1740968739154417E-2</v>
      </c>
      <c r="BW9">
        <v>-8.3633377193076102E-3</v>
      </c>
      <c r="BX9">
        <v>0</v>
      </c>
      <c r="BY9">
        <v>-1.0582166166877415E-2</v>
      </c>
      <c r="BZ9" s="78">
        <v>-8.6655393535730665E-2</v>
      </c>
      <c r="CA9">
        <v>-1.1833018231098941E-2</v>
      </c>
      <c r="CB9">
        <v>-1.3892389239576409E-2</v>
      </c>
      <c r="CC9">
        <v>1.8441010940628208E-2</v>
      </c>
      <c r="CD9">
        <v>3.1317183270096194E-3</v>
      </c>
    </row>
    <row r="10" spans="1:82" x14ac:dyDescent="0.3">
      <c r="A10" s="64" t="s">
        <v>9073</v>
      </c>
      <c r="B10">
        <v>-5.2836929344521385E-3</v>
      </c>
      <c r="C10" s="78">
        <v>-0.16666666666666666</v>
      </c>
      <c r="D10">
        <v>-5.0406871609403638E-3</v>
      </c>
      <c r="E10">
        <v>-1.3587353535162912E-2</v>
      </c>
      <c r="F10">
        <v>-1.0750360750360744E-2</v>
      </c>
      <c r="G10" s="78">
        <v>-0.1111111111111111</v>
      </c>
      <c r="H10">
        <v>-8.8787167513509884E-3</v>
      </c>
      <c r="I10">
        <v>-4.2381966071373765E-3</v>
      </c>
      <c r="J10">
        <v>-5.5675450448416722E-3</v>
      </c>
      <c r="K10">
        <v>-2.3860236884858221E-2</v>
      </c>
      <c r="L10">
        <v>-1.1147171323484322E-2</v>
      </c>
      <c r="M10">
        <v>3.9906917050680094E-3</v>
      </c>
      <c r="N10">
        <v>3.5993512490647186E-4</v>
      </c>
      <c r="O10">
        <v>0</v>
      </c>
      <c r="P10">
        <v>-2.2727272727272721E-2</v>
      </c>
      <c r="Q10">
        <v>-8.7719330668271298E-3</v>
      </c>
      <c r="R10">
        <v>9.0310221022821139E-4</v>
      </c>
      <c r="S10" s="77">
        <v>2.6182628098466457E-2</v>
      </c>
      <c r="T10">
        <v>-8.35047040615358E-3</v>
      </c>
      <c r="U10" s="78">
        <v>-4.5139932974623848E-2</v>
      </c>
      <c r="V10">
        <v>-8.4597456935165908E-3</v>
      </c>
      <c r="W10" s="78">
        <v>-5.3688135894621097E-2</v>
      </c>
      <c r="X10">
        <v>2.442836769503816E-3</v>
      </c>
      <c r="Y10">
        <v>1.006493506493507E-2</v>
      </c>
      <c r="Z10">
        <v>0</v>
      </c>
      <c r="AA10">
        <v>-1.787733951858397E-2</v>
      </c>
      <c r="AB10">
        <v>-2.9442933213403074E-2</v>
      </c>
      <c r="AC10">
        <v>7.2550081301900483E-3</v>
      </c>
      <c r="AD10">
        <v>-1.6076995916521248E-3</v>
      </c>
      <c r="AE10" s="78">
        <v>-0.14931283169089837</v>
      </c>
      <c r="AF10" s="78">
        <v>-3.64622239998263E-2</v>
      </c>
      <c r="AG10">
        <v>6.4479992726749176E-3</v>
      </c>
      <c r="AH10">
        <v>2.6422862998315955E-3</v>
      </c>
      <c r="AI10">
        <v>1.8286020348587341E-4</v>
      </c>
      <c r="AJ10">
        <v>-1.0223022563875228E-2</v>
      </c>
      <c r="AK10" s="77">
        <v>1.310949151858243E-2</v>
      </c>
      <c r="AL10">
        <v>-1.1363636363636366E-2</v>
      </c>
      <c r="AM10">
        <v>-7.1648254237984292E-3</v>
      </c>
      <c r="AN10" s="78">
        <v>-4.5478932891355989E-2</v>
      </c>
      <c r="AO10" s="77">
        <v>5.4339431808904222E-2</v>
      </c>
      <c r="AP10">
        <v>-1.0432724606144144E-2</v>
      </c>
      <c r="AQ10">
        <v>-2.8678934396932199E-2</v>
      </c>
      <c r="AR10">
        <v>8.7837135779539051E-4</v>
      </c>
      <c r="AS10">
        <v>-1.6750717285059238E-2</v>
      </c>
      <c r="AT10" s="77">
        <v>1.6529371562062384E-2</v>
      </c>
      <c r="AU10">
        <v>-1.4229328480794052E-2</v>
      </c>
      <c r="AV10">
        <v>0</v>
      </c>
      <c r="AW10">
        <v>-3.4664804150098268E-2</v>
      </c>
      <c r="AX10">
        <v>-9.1240357078215869E-3</v>
      </c>
      <c r="AY10" s="77">
        <v>4.7536998698815267E-2</v>
      </c>
      <c r="AZ10">
        <v>-6.7448755390597977E-3</v>
      </c>
      <c r="BA10">
        <v>0</v>
      </c>
      <c r="BB10">
        <v>1.9665439028284317E-3</v>
      </c>
      <c r="BC10">
        <v>-9.5542145910368489E-4</v>
      </c>
      <c r="BD10" s="77">
        <v>6.5233374699085397E-2</v>
      </c>
      <c r="BE10">
        <v>-1.313631876326238E-2</v>
      </c>
      <c r="BF10">
        <v>-2.1323193029624179E-2</v>
      </c>
      <c r="BG10">
        <v>-8.3804309526523731E-3</v>
      </c>
      <c r="BH10">
        <v>-1.8518068255286989E-3</v>
      </c>
      <c r="BI10" s="78">
        <v>-3.7840948661317465E-2</v>
      </c>
      <c r="BJ10">
        <v>-3.1619004123993252E-2</v>
      </c>
      <c r="BK10">
        <v>0</v>
      </c>
      <c r="BL10">
        <v>0</v>
      </c>
      <c r="BM10" s="77">
        <v>2.6807607133081567E-2</v>
      </c>
      <c r="BN10">
        <v>-2.0147907647907651E-2</v>
      </c>
      <c r="BO10">
        <v>0</v>
      </c>
      <c r="BP10">
        <v>1.1277202551763356E-2</v>
      </c>
      <c r="BQ10">
        <v>0</v>
      </c>
      <c r="BR10">
        <v>3.2758581445944328E-3</v>
      </c>
      <c r="BS10" s="77">
        <v>3.8346087550893034E-2</v>
      </c>
      <c r="BT10">
        <v>1.0468045311250859E-3</v>
      </c>
      <c r="BU10">
        <v>-8.0919287042340877E-3</v>
      </c>
      <c r="BV10">
        <v>-1.2193459405168224E-2</v>
      </c>
      <c r="BW10">
        <v>-6.9643302227391348E-3</v>
      </c>
      <c r="BX10">
        <v>0</v>
      </c>
      <c r="BY10">
        <v>-1.0061082312460225E-2</v>
      </c>
      <c r="BZ10" s="78">
        <v>-0.10088882405358689</v>
      </c>
      <c r="CA10">
        <v>-8.5113399094206219E-3</v>
      </c>
      <c r="CB10">
        <v>-1.9442194645133706E-2</v>
      </c>
      <c r="CC10" s="77">
        <v>1.5340507840125113E-2</v>
      </c>
      <c r="CD10">
        <v>-1.029012478262824E-3</v>
      </c>
    </row>
    <row r="11" spans="1:82" x14ac:dyDescent="0.3">
      <c r="A11" s="64" t="s">
        <v>9074</v>
      </c>
      <c r="B11">
        <v>-1.1681631166717827E-2</v>
      </c>
      <c r="C11" s="78">
        <v>-0.14285714285714285</v>
      </c>
      <c r="D11">
        <v>-2.7350357097192562E-2</v>
      </c>
      <c r="E11">
        <v>-9.7479821556744201E-3</v>
      </c>
      <c r="F11">
        <v>-1.0750360750360744E-2</v>
      </c>
      <c r="G11" s="78">
        <v>-0.125</v>
      </c>
      <c r="H11">
        <v>-9.1820937709751471E-3</v>
      </c>
      <c r="I11">
        <v>-7.743528954540343E-3</v>
      </c>
      <c r="J11">
        <v>-7.732047209343831E-3</v>
      </c>
      <c r="K11">
        <v>-2.1887976012036462E-2</v>
      </c>
      <c r="L11">
        <v>-1.2157774184788946E-2</v>
      </c>
      <c r="M11">
        <v>-2.7942001977301461E-4</v>
      </c>
      <c r="N11">
        <v>3.8213514710649363E-4</v>
      </c>
      <c r="O11">
        <v>0</v>
      </c>
      <c r="P11">
        <v>-2.2727272727272721E-2</v>
      </c>
      <c r="Q11">
        <v>-7.4415087553459927E-3</v>
      </c>
      <c r="R11">
        <v>7.3692227813159702E-3</v>
      </c>
      <c r="S11" s="77">
        <v>1.4644166560004912E-2</v>
      </c>
      <c r="T11">
        <v>-1.2033130338813515E-2</v>
      </c>
      <c r="U11" s="78">
        <v>-4.5083667401116891E-2</v>
      </c>
      <c r="V11">
        <v>-1.0294762528533424E-2</v>
      </c>
      <c r="W11" s="78">
        <v>-5.8495635769539797E-2</v>
      </c>
      <c r="X11">
        <v>1.0711188841864934E-3</v>
      </c>
      <c r="Y11" s="77">
        <v>1.2738731856378915E-2</v>
      </c>
      <c r="Z11">
        <v>0</v>
      </c>
      <c r="AA11">
        <v>-1.6448342053501219E-2</v>
      </c>
      <c r="AB11">
        <v>-2.3773306397531193E-2</v>
      </c>
      <c r="AC11">
        <v>9.504744544390575E-3</v>
      </c>
      <c r="AD11">
        <v>-1.5005196188753165E-3</v>
      </c>
      <c r="AE11" s="78">
        <v>-0.12922060507693259</v>
      </c>
      <c r="AF11">
        <v>-3.1856336060605013E-2</v>
      </c>
      <c r="AG11">
        <v>1.2861337504705499E-3</v>
      </c>
      <c r="AH11">
        <v>1.7088263023098064E-3</v>
      </c>
      <c r="AI11">
        <v>-1.7997629305765567E-3</v>
      </c>
      <c r="AJ11">
        <v>-1.3219933825249296E-2</v>
      </c>
      <c r="AK11">
        <v>-1.8546352637261728E-2</v>
      </c>
      <c r="AL11">
        <v>-1.1363636363636366E-2</v>
      </c>
      <c r="AM11">
        <v>-7.8901639150943687E-3</v>
      </c>
      <c r="AN11" s="78">
        <v>-5.7133944546367665E-2</v>
      </c>
      <c r="AO11" s="77">
        <v>4.2593220460570853E-2</v>
      </c>
      <c r="AP11">
        <v>-1.1350998251690515E-2</v>
      </c>
      <c r="AQ11">
        <v>-3.2945853918089012E-2</v>
      </c>
      <c r="AR11">
        <v>2.9591491507171071E-3</v>
      </c>
      <c r="AS11">
        <v>-1.2861029897348138E-2</v>
      </c>
      <c r="AT11" s="77">
        <v>1.4253627621640425E-2</v>
      </c>
      <c r="AU11">
        <v>-1.4082226391944386E-2</v>
      </c>
      <c r="AV11">
        <v>0</v>
      </c>
      <c r="AW11">
        <v>-3.4425569700337499E-2</v>
      </c>
      <c r="AX11">
        <v>-1.0988657154486379E-2</v>
      </c>
      <c r="AY11" s="77">
        <v>4.7326028234680247E-2</v>
      </c>
      <c r="AZ11">
        <v>-7.4246670133769118E-3</v>
      </c>
      <c r="BA11">
        <v>0</v>
      </c>
      <c r="BB11">
        <v>1.4053766749945365E-3</v>
      </c>
      <c r="BC11">
        <v>-3.1779519647741512E-4</v>
      </c>
      <c r="BD11" s="77">
        <v>6.4554948647525021E-2</v>
      </c>
      <c r="BE11">
        <v>-1.532155499278785E-2</v>
      </c>
      <c r="BF11">
        <v>-2.0142500129126332E-2</v>
      </c>
      <c r="BG11">
        <v>-6.8169986786146917E-3</v>
      </c>
      <c r="BH11">
        <v>-2.7207549457907263E-3</v>
      </c>
      <c r="BI11" s="78">
        <v>-4.5465846286215091E-2</v>
      </c>
      <c r="BJ11" s="78">
        <v>-3.4583431001463612E-2</v>
      </c>
      <c r="BK11">
        <v>0</v>
      </c>
      <c r="BL11">
        <v>0</v>
      </c>
      <c r="BM11" s="77">
        <v>2.8186682864488912E-2</v>
      </c>
      <c r="BN11">
        <v>-3.1691919191919188E-2</v>
      </c>
      <c r="BO11">
        <v>0</v>
      </c>
      <c r="BP11">
        <v>1.1086383469855165E-2</v>
      </c>
      <c r="BQ11">
        <v>0</v>
      </c>
      <c r="BR11">
        <v>2.9759930838717595E-3</v>
      </c>
      <c r="BS11" s="77">
        <v>3.7149915302089213E-2</v>
      </c>
      <c r="BT11">
        <v>-8.9559105238550934E-5</v>
      </c>
      <c r="BU11">
        <v>-1.3497334109639492E-2</v>
      </c>
      <c r="BV11">
        <v>-8.0467289426482836E-3</v>
      </c>
      <c r="BW11">
        <v>-8.6069106207886641E-3</v>
      </c>
      <c r="BX11">
        <v>0</v>
      </c>
      <c r="BY11">
        <v>-1.0274150494278402E-2</v>
      </c>
      <c r="BZ11" s="78">
        <v>-9.4030898329404297E-2</v>
      </c>
      <c r="CA11">
        <v>-1.0191181806653833E-2</v>
      </c>
      <c r="CB11">
        <v>-2.1369751418211708E-2</v>
      </c>
      <c r="CC11" s="77">
        <v>2.1653639153256427E-2</v>
      </c>
      <c r="CD11">
        <v>-2.7942175702005928E-3</v>
      </c>
    </row>
    <row r="12" spans="1:82" x14ac:dyDescent="0.3">
      <c r="A12" s="64" t="s">
        <v>9075</v>
      </c>
      <c r="B12">
        <v>-1.0696344776807164E-2</v>
      </c>
      <c r="C12" s="78">
        <v>-0.125</v>
      </c>
      <c r="D12">
        <v>-2.4961166399406862E-2</v>
      </c>
      <c r="E12">
        <v>-9.4814378372195078E-3</v>
      </c>
      <c r="F12">
        <v>-1.9841269841269837E-2</v>
      </c>
      <c r="G12" s="78">
        <v>-0.14285714285714285</v>
      </c>
      <c r="H12">
        <v>-8.2448866482010118E-3</v>
      </c>
      <c r="I12">
        <v>-1.79918816272048E-2</v>
      </c>
      <c r="J12">
        <v>-7.8111969153592149E-3</v>
      </c>
      <c r="K12">
        <v>-2.4092209929886164E-2</v>
      </c>
      <c r="L12">
        <v>-1.129197331898809E-2</v>
      </c>
      <c r="M12">
        <v>-9.3435791235594394E-5</v>
      </c>
      <c r="N12">
        <v>-1.7376200976487537E-3</v>
      </c>
      <c r="O12">
        <v>0</v>
      </c>
      <c r="P12">
        <v>-2.2727272727272721E-2</v>
      </c>
      <c r="Q12">
        <v>-6.2596905735278095E-3</v>
      </c>
      <c r="R12">
        <v>7.1103454460266753E-3</v>
      </c>
      <c r="S12" s="77">
        <v>7.2916944706907247E-3</v>
      </c>
      <c r="T12">
        <v>-1.347613178181495E-2</v>
      </c>
      <c r="U12" s="78">
        <v>-4.4466432718912936E-2</v>
      </c>
      <c r="V12">
        <v>-7.1174040379673844E-3</v>
      </c>
      <c r="W12" s="78">
        <v>-6.4030606139102497E-2</v>
      </c>
      <c r="X12">
        <v>-8.4296783804862986E-4</v>
      </c>
      <c r="Y12">
        <v>6.2452253628724249E-3</v>
      </c>
      <c r="Z12">
        <v>0</v>
      </c>
      <c r="AA12">
        <v>-2.0037683746291182E-2</v>
      </c>
      <c r="AB12">
        <v>-2.4636329651349511E-2</v>
      </c>
      <c r="AC12" s="77">
        <v>1.2302234589898313E-2</v>
      </c>
      <c r="AD12">
        <v>4.970813877712553E-3</v>
      </c>
      <c r="AE12" s="78">
        <v>-6.8614544470871994E-2</v>
      </c>
      <c r="AF12" s="78">
        <v>-3.9902854759297647E-2</v>
      </c>
      <c r="AG12">
        <v>-1.2322433303335954E-3</v>
      </c>
      <c r="AH12">
        <v>1.1003288395077073E-3</v>
      </c>
      <c r="AI12">
        <v>2.1501641476927699E-3</v>
      </c>
      <c r="AJ12">
        <v>-1.5874460009187238E-2</v>
      </c>
      <c r="AK12">
        <v>-1.8546352637261728E-2</v>
      </c>
      <c r="AL12">
        <v>-1.1363636363636366E-2</v>
      </c>
      <c r="AM12">
        <v>-8.2225419692793789E-3</v>
      </c>
      <c r="AN12" s="78">
        <v>-5.8265388859630153E-2</v>
      </c>
      <c r="AO12" s="77">
        <v>3.6637107607906276E-2</v>
      </c>
      <c r="AP12">
        <v>-1.0926189415666726E-2</v>
      </c>
      <c r="AQ12">
        <v>-2.6043497015732109E-2</v>
      </c>
      <c r="AR12">
        <v>6.190526152585917E-3</v>
      </c>
      <c r="AS12">
        <v>-1.6007160626123493E-2</v>
      </c>
      <c r="AT12">
        <v>6.0163044620309431E-3</v>
      </c>
      <c r="AU12">
        <v>-1.3893088813725744E-2</v>
      </c>
      <c r="AV12">
        <v>0</v>
      </c>
      <c r="AW12" s="78">
        <v>-3.9773163283225207E-2</v>
      </c>
      <c r="AX12">
        <v>-1.1619970285799509E-2</v>
      </c>
      <c r="AY12" s="77">
        <v>4.0714457986746354E-2</v>
      </c>
      <c r="AZ12">
        <v>-7.2531360649864549E-3</v>
      </c>
      <c r="BA12">
        <v>0</v>
      </c>
      <c r="BB12">
        <v>-7.6006862770565842E-4</v>
      </c>
      <c r="BC12">
        <v>-1.5120322672433162E-3</v>
      </c>
      <c r="BD12" s="77">
        <v>6.3575086503992115E-2</v>
      </c>
      <c r="BE12">
        <v>-1.4052181254180292E-2</v>
      </c>
      <c r="BF12">
        <v>-2.2580674981094284E-2</v>
      </c>
      <c r="BG12">
        <v>-1.5442733164832622E-2</v>
      </c>
      <c r="BH12">
        <v>-2.3110831416494307E-3</v>
      </c>
      <c r="BI12">
        <v>-2.3252814065271476E-2</v>
      </c>
      <c r="BJ12">
        <v>-2.1373203728736325E-2</v>
      </c>
      <c r="BK12">
        <v>0</v>
      </c>
      <c r="BL12">
        <v>0</v>
      </c>
      <c r="BM12" s="77">
        <v>2.724459445461699E-2</v>
      </c>
      <c r="BN12">
        <v>-2.4116161616161615E-2</v>
      </c>
      <c r="BO12">
        <v>0</v>
      </c>
      <c r="BP12" s="77">
        <v>1.0407957418294785E-2</v>
      </c>
      <c r="BQ12">
        <v>0</v>
      </c>
      <c r="BR12">
        <v>4.7961426312940333E-3</v>
      </c>
      <c r="BS12" s="77">
        <v>1.1695369847543758E-2</v>
      </c>
      <c r="BT12">
        <v>-1.1176976333770754E-3</v>
      </c>
      <c r="BU12">
        <v>-1.8102657863899415E-2</v>
      </c>
      <c r="BV12">
        <v>-1.0489126839591635E-2</v>
      </c>
      <c r="BW12">
        <v>-8.4943829853252485E-3</v>
      </c>
      <c r="BX12">
        <v>0</v>
      </c>
      <c r="BY12">
        <v>-1.020775284518355E-2</v>
      </c>
      <c r="BZ12" s="78">
        <v>-8.4111962108586263E-2</v>
      </c>
      <c r="CA12">
        <v>-4.7366363521083735E-3</v>
      </c>
      <c r="CB12">
        <v>-2.6226097901916687E-2</v>
      </c>
      <c r="CC12" s="77">
        <v>1.6739634239251511E-2</v>
      </c>
      <c r="CD12">
        <v>-9.1453370957404485E-3</v>
      </c>
    </row>
    <row r="13" spans="1:82" x14ac:dyDescent="0.3">
      <c r="A13" s="64" t="s">
        <v>9076</v>
      </c>
      <c r="B13">
        <v>-5.6509907697918074E-3</v>
      </c>
      <c r="C13" s="78">
        <v>-0.22222222222222221</v>
      </c>
      <c r="D13">
        <v>-1.9968933119525488E-2</v>
      </c>
      <c r="E13">
        <v>-1.3107599284324174E-3</v>
      </c>
      <c r="F13" s="77">
        <v>1.6522366522366518E-2</v>
      </c>
      <c r="G13" s="78">
        <v>-0.16666666666666666</v>
      </c>
      <c r="H13">
        <v>-5.3255370901959904E-3</v>
      </c>
      <c r="I13">
        <v>-1.1843037911577377E-2</v>
      </c>
      <c r="J13">
        <v>-7.9228514116857843E-3</v>
      </c>
      <c r="K13">
        <v>-2.822353959313072E-2</v>
      </c>
      <c r="L13">
        <v>-1.0889720704346094E-2</v>
      </c>
      <c r="M13">
        <v>-2.7447594923427315E-4</v>
      </c>
      <c r="N13">
        <v>4.156086180799642E-4</v>
      </c>
      <c r="O13">
        <v>0</v>
      </c>
      <c r="P13" s="78">
        <v>-3.7878787878787873E-2</v>
      </c>
      <c r="Q13">
        <v>-4.4678890078426979E-3</v>
      </c>
      <c r="R13" s="77">
        <v>1.6113841949523179E-2</v>
      </c>
      <c r="S13">
        <v>-5.7653976908790478E-3</v>
      </c>
      <c r="T13">
        <v>-1.347613178181495E-2</v>
      </c>
      <c r="U13" s="78">
        <v>-4.6145787846543933E-2</v>
      </c>
      <c r="V13">
        <v>-4.2412766389912579E-3</v>
      </c>
      <c r="W13" s="78">
        <v>-6.1707545894406815E-2</v>
      </c>
      <c r="X13">
        <v>-7.0165457119919202E-4</v>
      </c>
      <c r="Y13" s="77">
        <v>1.836643748408455E-2</v>
      </c>
      <c r="Z13">
        <v>0</v>
      </c>
      <c r="AA13">
        <v>-1.4582106155444753E-2</v>
      </c>
      <c r="AB13">
        <v>-2.7402542937038473E-2</v>
      </c>
      <c r="AC13" s="77">
        <v>1.710724947465608E-2</v>
      </c>
      <c r="AD13">
        <v>7.0793734455301847E-3</v>
      </c>
      <c r="AE13" s="78">
        <v>-6.8614544470871994E-2</v>
      </c>
      <c r="AF13">
        <v>-3.4086477736594817E-2</v>
      </c>
      <c r="AG13">
        <v>7.7332133580772374E-4</v>
      </c>
      <c r="AH13">
        <v>-8.032136274150419E-4</v>
      </c>
      <c r="AI13">
        <v>4.1011157152927476E-3</v>
      </c>
      <c r="AJ13">
        <v>-1.1844506201863085E-2</v>
      </c>
      <c r="AK13">
        <v>-2.6122110213019301E-2</v>
      </c>
      <c r="AL13">
        <v>0</v>
      </c>
      <c r="AM13">
        <v>-1.0803707223940995E-2</v>
      </c>
      <c r="AN13" s="78">
        <v>-5.3313430249134951E-2</v>
      </c>
      <c r="AO13" s="77">
        <v>3.1274015202929058E-2</v>
      </c>
      <c r="AP13">
        <v>-6.8782473080231336E-3</v>
      </c>
      <c r="AQ13">
        <v>-1.8583529210936714E-2</v>
      </c>
      <c r="AR13">
        <v>2.3981016504065664E-3</v>
      </c>
      <c r="AS13">
        <v>-1.2849804840482353E-2</v>
      </c>
      <c r="AT13">
        <v>1.2735843070400165E-2</v>
      </c>
      <c r="AU13">
        <v>-1.4499957053602125E-2</v>
      </c>
      <c r="AV13">
        <v>0</v>
      </c>
      <c r="AW13" s="78">
        <v>-3.9773163283225207E-2</v>
      </c>
      <c r="AX13">
        <v>-1.0363904669790577E-2</v>
      </c>
      <c r="AY13" s="77">
        <v>2.3791986518820349E-2</v>
      </c>
      <c r="AZ13">
        <v>-5.2778413566980402E-3</v>
      </c>
      <c r="BA13">
        <v>0</v>
      </c>
      <c r="BB13">
        <v>9.0339136908766215E-4</v>
      </c>
      <c r="BC13">
        <v>-4.5232671435636715E-3</v>
      </c>
      <c r="BD13" s="77">
        <v>6.2202419435960804E-2</v>
      </c>
      <c r="BE13">
        <v>-1.5114578754291104E-2</v>
      </c>
      <c r="BF13">
        <v>-2.1775074331743638E-2</v>
      </c>
      <c r="BG13">
        <v>-8.974201696301148E-3</v>
      </c>
      <c r="BH13">
        <v>-4.8334642810332088E-3</v>
      </c>
      <c r="BI13">
        <v>-2.0625383692176365E-2</v>
      </c>
      <c r="BJ13">
        <v>-3.2813621419154025E-2</v>
      </c>
      <c r="BK13">
        <v>0</v>
      </c>
      <c r="BL13">
        <v>0</v>
      </c>
      <c r="BM13" s="77">
        <v>2.7263153011503605E-2</v>
      </c>
      <c r="BN13">
        <v>-3.3207070707070706E-2</v>
      </c>
      <c r="BO13">
        <v>0</v>
      </c>
      <c r="BP13">
        <v>8.3260698402239982E-3</v>
      </c>
      <c r="BQ13">
        <v>0</v>
      </c>
      <c r="BR13">
        <v>9.9122386564809723E-3</v>
      </c>
      <c r="BS13">
        <v>6.0135516657255769E-3</v>
      </c>
      <c r="BT13">
        <v>-3.418141092357115E-3</v>
      </c>
      <c r="BU13">
        <v>2.4668627056211524E-3</v>
      </c>
      <c r="BV13">
        <v>-1.069781454827934E-2</v>
      </c>
      <c r="BW13">
        <v>-5.0892746590720595E-3</v>
      </c>
      <c r="BX13">
        <v>0</v>
      </c>
      <c r="BY13">
        <v>-7.7216949267531311E-3</v>
      </c>
      <c r="BZ13" s="78">
        <v>-8.07415512145266E-2</v>
      </c>
      <c r="CA13">
        <v>4.5226229071508922E-3</v>
      </c>
      <c r="CB13">
        <v>-2.3351140648514856E-2</v>
      </c>
      <c r="CC13" s="77">
        <v>1.9640067139684414E-2</v>
      </c>
      <c r="CD13">
        <v>-7.6742977136311221E-3</v>
      </c>
    </row>
    <row r="14" spans="1:82" x14ac:dyDescent="0.3">
      <c r="A14" s="64" t="s">
        <v>9077</v>
      </c>
      <c r="B14">
        <v>-8.311689089200892E-3</v>
      </c>
      <c r="C14" s="78">
        <v>-0.22222222222222221</v>
      </c>
      <c r="D14">
        <v>-2.0465914211626451E-2</v>
      </c>
      <c r="E14">
        <v>-9.5762024044012076E-3</v>
      </c>
      <c r="F14">
        <v>1.6522366522366518E-2</v>
      </c>
      <c r="G14">
        <v>0</v>
      </c>
      <c r="H14">
        <v>-6.6891734538323559E-3</v>
      </c>
      <c r="I14">
        <v>-1.2103365006480552E-2</v>
      </c>
      <c r="J14">
        <v>-8.038101273385943E-3</v>
      </c>
      <c r="K14">
        <v>-3.1990345610740607E-2</v>
      </c>
      <c r="L14">
        <v>-1.0159134746487412E-2</v>
      </c>
      <c r="M14">
        <v>4.4977230657682462E-3</v>
      </c>
      <c r="N14">
        <v>-1.0051928027214581E-3</v>
      </c>
      <c r="O14">
        <v>0</v>
      </c>
      <c r="P14" s="78">
        <v>-6.8181818181818177E-2</v>
      </c>
      <c r="Q14">
        <v>-6.8083936210745792E-3</v>
      </c>
      <c r="R14" s="77">
        <v>1.6715092550773778E-2</v>
      </c>
      <c r="S14">
        <v>-1.3405064967145924E-2</v>
      </c>
      <c r="T14">
        <v>-9.5362311027838414E-3</v>
      </c>
      <c r="U14" s="78">
        <v>-4.6998690487140581E-2</v>
      </c>
      <c r="V14">
        <v>-5.1887696200079081E-3</v>
      </c>
      <c r="W14" s="78">
        <v>-5.6129931308435688E-2</v>
      </c>
      <c r="X14">
        <v>2.6732821803609331E-3</v>
      </c>
      <c r="Y14" s="77">
        <v>2.726662820245708E-2</v>
      </c>
      <c r="Z14">
        <v>0</v>
      </c>
      <c r="AA14">
        <v>-9.0924267527218734E-3</v>
      </c>
      <c r="AB14">
        <v>-2.9899383048170025E-2</v>
      </c>
      <c r="AC14" s="77">
        <v>1.7985885724151836E-2</v>
      </c>
      <c r="AD14">
        <v>5.4234486581522436E-3</v>
      </c>
      <c r="AE14" s="78">
        <v>-5.0230706087033596E-2</v>
      </c>
      <c r="AF14">
        <v>-3.3727277656724342E-2</v>
      </c>
      <c r="AG14">
        <v>-5.8244726098083989E-3</v>
      </c>
      <c r="AH14">
        <v>3.191208282527414E-4</v>
      </c>
      <c r="AI14">
        <v>2.593903394004424E-3</v>
      </c>
      <c r="AJ14">
        <v>-1.3298223451678514E-2</v>
      </c>
      <c r="AK14">
        <v>-2.2334231425140513E-2</v>
      </c>
      <c r="AL14">
        <v>0</v>
      </c>
      <c r="AM14">
        <v>-8.0398044600382343E-3</v>
      </c>
      <c r="AN14" s="78">
        <v>-4.1787456223160928E-2</v>
      </c>
      <c r="AO14" s="77">
        <v>2.3947599788278349E-2</v>
      </c>
      <c r="AP14">
        <v>-1.0558388625449715E-2</v>
      </c>
      <c r="AQ14">
        <v>-1.9400913580952667E-2</v>
      </c>
      <c r="AR14">
        <v>8.0596325485305358E-3</v>
      </c>
      <c r="AS14">
        <v>-1.6306026038639034E-2</v>
      </c>
      <c r="AT14">
        <v>1.1395163547902459E-2</v>
      </c>
      <c r="AU14">
        <v>-7.7684187971371835E-3</v>
      </c>
      <c r="AV14">
        <v>0</v>
      </c>
      <c r="AW14" s="78">
        <v>-3.4722658232720145E-2</v>
      </c>
      <c r="AX14">
        <v>-1.377405463166468E-2</v>
      </c>
      <c r="AY14" s="77">
        <v>2.7220540836702719E-2</v>
      </c>
      <c r="AZ14">
        <v>-6.7452467718350168E-3</v>
      </c>
      <c r="BA14">
        <v>0</v>
      </c>
      <c r="BB14">
        <v>9.0339136908766215E-4</v>
      </c>
      <c r="BC14">
        <v>-7.9509869647261151E-3</v>
      </c>
      <c r="BD14" s="77">
        <v>4.5761413633252861E-2</v>
      </c>
      <c r="BE14">
        <v>-1.3150017891425154E-2</v>
      </c>
      <c r="BF14">
        <v>-2.0250771092820665E-2</v>
      </c>
      <c r="BG14">
        <v>-9.5915809214902215E-3</v>
      </c>
      <c r="BH14">
        <v>-4.0904863287529259E-3</v>
      </c>
      <c r="BI14">
        <v>-1.6837504904297571E-2</v>
      </c>
      <c r="BJ14" s="78">
        <v>-4.3636132241664842E-2</v>
      </c>
      <c r="BK14">
        <v>0</v>
      </c>
      <c r="BL14">
        <v>0</v>
      </c>
      <c r="BM14" s="77">
        <v>2.7518255052319938E-2</v>
      </c>
      <c r="BN14">
        <v>-2.8156565656565657E-2</v>
      </c>
      <c r="BO14">
        <v>0</v>
      </c>
      <c r="BP14">
        <v>7.7783406487001942E-3</v>
      </c>
      <c r="BQ14">
        <v>0</v>
      </c>
      <c r="BR14" s="77">
        <v>1.8066945087049476E-2</v>
      </c>
      <c r="BS14" s="77">
        <v>3.9346884999058911E-2</v>
      </c>
      <c r="BT14">
        <v>-9.2456469198629408E-3</v>
      </c>
      <c r="BU14">
        <v>-2.6518924131339596E-3</v>
      </c>
      <c r="BV14">
        <v>-9.3144451635014357E-3</v>
      </c>
      <c r="BW14">
        <v>-7.4566320723010318E-3</v>
      </c>
      <c r="BX14">
        <v>0</v>
      </c>
      <c r="BY14">
        <v>-7.7216949267531311E-3</v>
      </c>
      <c r="BZ14" s="78">
        <v>-8.7926297529741473E-2</v>
      </c>
      <c r="CA14">
        <v>1.588625927078726E-2</v>
      </c>
      <c r="CB14">
        <v>-2.3928697882063178E-2</v>
      </c>
      <c r="CC14">
        <v>1.6051550393272929E-2</v>
      </c>
      <c r="CD14">
        <v>-9.5569311740159053E-3</v>
      </c>
    </row>
    <row r="15" spans="1:82" x14ac:dyDescent="0.3">
      <c r="A15" s="64" t="s">
        <v>9078</v>
      </c>
      <c r="B15">
        <v>-9.4762049379775726E-3</v>
      </c>
      <c r="C15" s="78">
        <v>-0.2</v>
      </c>
      <c r="D15">
        <v>-1.2389987357038112E-2</v>
      </c>
      <c r="E15">
        <v>-8.73833059878747E-3</v>
      </c>
      <c r="F15">
        <v>1.3113275613275615E-2</v>
      </c>
      <c r="G15">
        <v>0</v>
      </c>
      <c r="H15">
        <v>-4.0413358545384435E-3</v>
      </c>
      <c r="I15">
        <v>-1.193627060764323E-2</v>
      </c>
      <c r="J15">
        <v>-4.2889046726575309E-3</v>
      </c>
      <c r="K15" s="78">
        <v>-3.3071980902902205E-2</v>
      </c>
      <c r="L15">
        <v>-5.4070686307849331E-3</v>
      </c>
      <c r="M15">
        <v>2.5733291922218284E-3</v>
      </c>
      <c r="N15">
        <v>-1.0164662514949062E-3</v>
      </c>
      <c r="O15">
        <v>0</v>
      </c>
      <c r="P15" s="78">
        <v>-3.4090909090909095E-2</v>
      </c>
      <c r="Q15">
        <v>-1.455053708730864E-2</v>
      </c>
      <c r="R15" s="77">
        <v>3.4539139471594899E-2</v>
      </c>
      <c r="S15">
        <v>-1.6259414918270074E-2</v>
      </c>
      <c r="T15">
        <v>-1.7872098134303047E-2</v>
      </c>
      <c r="U15" s="78">
        <v>-3.6389186354909168E-2</v>
      </c>
      <c r="V15">
        <v>-7.4028458663422201E-3</v>
      </c>
      <c r="W15" s="78">
        <v>-4.8119180793998462E-2</v>
      </c>
      <c r="X15">
        <v>7.1651707631586068E-3</v>
      </c>
      <c r="Y15" s="77">
        <v>2.0460600006054548E-2</v>
      </c>
      <c r="Z15">
        <v>0</v>
      </c>
      <c r="AA15">
        <v>-1.3058315144839778E-2</v>
      </c>
      <c r="AB15">
        <v>-3.0951507291015215E-2</v>
      </c>
      <c r="AC15">
        <v>1.6746533678348174E-2</v>
      </c>
      <c r="AD15">
        <v>3.8848711598535026E-3</v>
      </c>
      <c r="AE15">
        <v>-1.2535572937355022E-2</v>
      </c>
      <c r="AF15">
        <v>-2.7426358752272558E-2</v>
      </c>
      <c r="AG15">
        <v>-1.2310621703496063E-2</v>
      </c>
      <c r="AH15">
        <v>-1.6642219159595567E-3</v>
      </c>
      <c r="AI15">
        <v>2.7145144902252761E-3</v>
      </c>
      <c r="AJ15">
        <v>-9.5575295018111746E-3</v>
      </c>
      <c r="AK15">
        <v>-1.3243322334231424E-2</v>
      </c>
      <c r="AL15">
        <v>6.4935064935064983E-3</v>
      </c>
      <c r="AM15">
        <v>-4.3929438903795503E-3</v>
      </c>
      <c r="AN15" s="78">
        <v>-4.1926037154424771E-2</v>
      </c>
      <c r="AO15" s="77">
        <v>2.4030244416377518E-2</v>
      </c>
      <c r="AP15">
        <v>-9.9350506042869303E-3</v>
      </c>
      <c r="AQ15">
        <v>-1.7102650046734082E-2</v>
      </c>
      <c r="AR15">
        <v>7.072831018988159E-3</v>
      </c>
      <c r="AS15">
        <v>-1.9719383644737562E-2</v>
      </c>
      <c r="AT15">
        <v>1.3393165545904461E-2</v>
      </c>
      <c r="AU15">
        <v>-6.3146858081344877E-3</v>
      </c>
      <c r="AV15">
        <v>0</v>
      </c>
      <c r="AW15">
        <v>-2.5215825196475347E-2</v>
      </c>
      <c r="AX15">
        <v>-1.3247819122207695E-2</v>
      </c>
      <c r="AY15" s="77">
        <v>3.1352772241661393E-2</v>
      </c>
      <c r="AZ15">
        <v>-4.5354119200348639E-3</v>
      </c>
      <c r="BA15" s="78">
        <v>-3.1250000000000028E-2</v>
      </c>
      <c r="BB15">
        <v>3.4906764403223547E-4</v>
      </c>
      <c r="BC15">
        <v>-1.1054967674570012E-2</v>
      </c>
      <c r="BD15" s="77">
        <v>5.5812271865929297E-2</v>
      </c>
      <c r="BE15">
        <v>-7.342781649406307E-3</v>
      </c>
      <c r="BF15">
        <v>-1.4791203484095078E-2</v>
      </c>
      <c r="BG15">
        <v>-1.6896539839352364E-2</v>
      </c>
      <c r="BH15">
        <v>-3.710865949132551E-3</v>
      </c>
      <c r="BI15">
        <v>-2.6054676621469288E-2</v>
      </c>
      <c r="BJ15" s="78">
        <v>-3.8026707083641212E-2</v>
      </c>
      <c r="BK15">
        <v>0</v>
      </c>
      <c r="BL15">
        <v>0</v>
      </c>
      <c r="BM15" s="77">
        <v>1.9360293051808728E-2</v>
      </c>
      <c r="BN15">
        <v>-2.8156565656565657E-2</v>
      </c>
      <c r="BO15" s="77">
        <v>8.2191780821917734E-2</v>
      </c>
      <c r="BP15">
        <v>6.38063990301587E-3</v>
      </c>
      <c r="BQ15">
        <v>0</v>
      </c>
      <c r="BR15">
        <v>1.6267593690459867E-2</v>
      </c>
      <c r="BS15" s="77">
        <v>3.9346884999058904E-2</v>
      </c>
      <c r="BT15">
        <v>-8.9209715951876229E-3</v>
      </c>
      <c r="BU15">
        <v>2.2858781496365999E-3</v>
      </c>
      <c r="BV15">
        <v>-9.5135013176784172E-3</v>
      </c>
      <c r="BW15">
        <v>-7.705375264592613E-3</v>
      </c>
      <c r="BX15">
        <v>0</v>
      </c>
      <c r="BY15">
        <v>-6.8108317499426356E-3</v>
      </c>
      <c r="BZ15" s="78">
        <v>-8.3585834071630949E-2</v>
      </c>
      <c r="CA15" s="77">
        <v>2.1815113025727972E-2</v>
      </c>
      <c r="CB15">
        <v>-1.9891935469848663E-2</v>
      </c>
      <c r="CC15">
        <v>9.9326692743918095E-3</v>
      </c>
      <c r="CD15">
        <v>-1.0521874244222136E-2</v>
      </c>
    </row>
    <row r="16" spans="1:82" x14ac:dyDescent="0.3">
      <c r="A16" s="64" t="s">
        <v>9079</v>
      </c>
      <c r="B16">
        <v>-1.0250253514934703E-2</v>
      </c>
      <c r="C16" s="78">
        <v>-0.18181818181818182</v>
      </c>
      <c r="D16">
        <v>-1.5248290219459643E-2</v>
      </c>
      <c r="E16">
        <v>1.0724978653839427E-2</v>
      </c>
      <c r="F16">
        <v>1.6522366522366518E-2</v>
      </c>
      <c r="G16">
        <v>0</v>
      </c>
      <c r="H16">
        <v>-1.0966718229178953E-3</v>
      </c>
      <c r="I16">
        <v>-1.1778053568489138E-2</v>
      </c>
      <c r="J16">
        <v>-6.1090542200797982E-3</v>
      </c>
      <c r="K16">
        <v>-3.1211631157150001E-2</v>
      </c>
      <c r="L16">
        <v>-4.6890366627529659E-3</v>
      </c>
      <c r="M16">
        <v>1.5862782376542281E-3</v>
      </c>
      <c r="N16">
        <v>-1.0164662514949062E-3</v>
      </c>
      <c r="O16">
        <v>0</v>
      </c>
      <c r="P16" s="78">
        <v>-5.681818181818183E-2</v>
      </c>
      <c r="Q16">
        <v>-9.5620847944183143E-3</v>
      </c>
      <c r="R16" s="77">
        <v>2.8420258352713782E-2</v>
      </c>
      <c r="S16" s="78">
        <v>-3.2500775896473162E-2</v>
      </c>
      <c r="T16">
        <v>-1.5158393928061524E-2</v>
      </c>
      <c r="U16" s="78">
        <v>-3.296600274990074E-2</v>
      </c>
      <c r="V16">
        <v>-1.2163604560697176E-2</v>
      </c>
      <c r="W16" s="78">
        <v>-5.7320342805708697E-2</v>
      </c>
      <c r="X16">
        <v>7.6035848817921714E-3</v>
      </c>
      <c r="Y16">
        <v>1.4778781824236375E-2</v>
      </c>
      <c r="Z16">
        <v>0</v>
      </c>
      <c r="AA16">
        <v>-1.31581661135432E-2</v>
      </c>
      <c r="AB16" s="78">
        <v>-3.4807155580659027E-2</v>
      </c>
      <c r="AC16" s="77">
        <v>3.3452050383864888E-2</v>
      </c>
      <c r="AD16">
        <v>-9.6053518883684459E-4</v>
      </c>
      <c r="AE16">
        <v>1.9596088504651252E-2</v>
      </c>
      <c r="AF16">
        <v>-2.8197500899475033E-2</v>
      </c>
      <c r="AG16">
        <v>-1.3974626248118708E-2</v>
      </c>
      <c r="AH16">
        <v>-3.5581613098989604E-3</v>
      </c>
      <c r="AI16">
        <v>-4.4924748182685224E-4</v>
      </c>
      <c r="AJ16">
        <v>-8.8631404843317208E-3</v>
      </c>
      <c r="AK16">
        <v>-4.5656363838181965E-3</v>
      </c>
      <c r="AL16">
        <v>0</v>
      </c>
      <c r="AM16">
        <v>-3.7343168031810344E-3</v>
      </c>
      <c r="AN16" s="78">
        <v>-4.0032097760485379E-2</v>
      </c>
      <c r="AO16" s="77">
        <v>3.6610593360362827E-2</v>
      </c>
      <c r="AP16">
        <v>-7.8844696063375113E-3</v>
      </c>
      <c r="AQ16">
        <v>-1.2507876108894445E-2</v>
      </c>
      <c r="AR16">
        <v>6.1714560514032179E-4</v>
      </c>
      <c r="AS16">
        <v>-1.4956555854191228E-2</v>
      </c>
      <c r="AT16">
        <v>1.9575143778939038E-2</v>
      </c>
      <c r="AU16">
        <v>-6.4405115394965537E-3</v>
      </c>
      <c r="AV16" s="77">
        <v>2.4242424242424267E-2</v>
      </c>
      <c r="AW16">
        <v>-1.1579461560111708E-2</v>
      </c>
      <c r="AX16">
        <v>-1.1096438800638275E-2</v>
      </c>
      <c r="AY16" s="77">
        <v>2.6982142871032025E-2</v>
      </c>
      <c r="AZ16">
        <v>-6.6827585845664747E-3</v>
      </c>
      <c r="BA16">
        <v>-1.5625000000000014E-2</v>
      </c>
      <c r="BB16">
        <v>1.4577150941430951E-3</v>
      </c>
      <c r="BC16">
        <v>-1.4375510767840384E-2</v>
      </c>
      <c r="BD16" s="77">
        <v>7.2070775912764395E-2</v>
      </c>
      <c r="BE16">
        <v>-3.5123940610569319E-3</v>
      </c>
      <c r="BF16">
        <v>-9.9806438469187617E-3</v>
      </c>
      <c r="BG16">
        <v>-1.815863075365207E-2</v>
      </c>
      <c r="BH16">
        <v>-1.1183726987358622E-2</v>
      </c>
      <c r="BI16">
        <v>-2.5297100863893533E-2</v>
      </c>
      <c r="BJ16" s="78">
        <v>-4.5787239234417271E-2</v>
      </c>
      <c r="BK16">
        <v>0</v>
      </c>
      <c r="BL16">
        <v>0</v>
      </c>
      <c r="BM16">
        <v>9.4310480051565566E-3</v>
      </c>
      <c r="BN16">
        <v>-2.2474747474747477E-2</v>
      </c>
      <c r="BO16" s="77">
        <v>8.1793564829563556E-2</v>
      </c>
      <c r="BP16">
        <v>5.4232900183249257E-3</v>
      </c>
      <c r="BQ16">
        <v>0</v>
      </c>
      <c r="BR16" s="77">
        <v>2.297385039671658E-2</v>
      </c>
      <c r="BS16" s="77">
        <v>3.506493506493507E-2</v>
      </c>
      <c r="BT16">
        <v>-7.9538536067930363E-3</v>
      </c>
      <c r="BU16">
        <v>-1.4462688598930152E-2</v>
      </c>
      <c r="BV16">
        <v>-8.4242551083727468E-3</v>
      </c>
      <c r="BW16">
        <v>-8.1262506854680328E-3</v>
      </c>
      <c r="BX16">
        <v>0</v>
      </c>
      <c r="BY16">
        <v>-5.9638526420939617E-3</v>
      </c>
      <c r="BZ16" s="78">
        <v>-8.2531333017129893E-2</v>
      </c>
      <c r="CA16">
        <v>2.117572683646966E-2</v>
      </c>
      <c r="CB16">
        <v>-2.1307045702443371E-2</v>
      </c>
      <c r="CC16">
        <v>1.9402366244088785E-2</v>
      </c>
      <c r="CD16">
        <v>-9.2965135590965271E-3</v>
      </c>
    </row>
    <row r="17" spans="1:82" x14ac:dyDescent="0.3">
      <c r="A17" s="64" t="s">
        <v>9080</v>
      </c>
      <c r="B17">
        <v>-2.7914821439332482E-3</v>
      </c>
      <c r="C17" s="78">
        <v>-0.16666666666666666</v>
      </c>
      <c r="D17">
        <v>-1.1708336230512659E-2</v>
      </c>
      <c r="E17">
        <v>8.7137155806294546E-3</v>
      </c>
      <c r="F17">
        <v>1.1471861471861472E-2</v>
      </c>
      <c r="G17">
        <v>0</v>
      </c>
      <c r="H17">
        <v>8.460532125060756E-4</v>
      </c>
      <c r="I17">
        <v>-9.9749578499068389E-3</v>
      </c>
      <c r="J17">
        <v>-5.3386381954264846E-3</v>
      </c>
      <c r="K17">
        <v>-2.3020083134965355E-2</v>
      </c>
      <c r="L17">
        <v>-2.9578068387396336E-3</v>
      </c>
      <c r="M17">
        <v>4.7340262278658157E-4</v>
      </c>
      <c r="N17">
        <v>3.8213514710649346E-4</v>
      </c>
      <c r="O17">
        <v>0</v>
      </c>
      <c r="P17" s="78">
        <v>-5.681818181818183E-2</v>
      </c>
      <c r="Q17">
        <v>-1.1397468112303698E-2</v>
      </c>
      <c r="R17" s="77">
        <v>3.1910095951173091E-2</v>
      </c>
      <c r="S17">
        <v>-2.3864063771388947E-2</v>
      </c>
      <c r="T17">
        <v>-1.3710442222819939E-2</v>
      </c>
      <c r="U17">
        <v>-1.8862836839505914E-2</v>
      </c>
      <c r="V17">
        <v>-1.0997596655558828E-2</v>
      </c>
      <c r="W17" s="78">
        <v>-4.9183177478179789E-2</v>
      </c>
      <c r="X17">
        <v>1.1604176941489663E-2</v>
      </c>
      <c r="Y17">
        <v>1.4778781824236375E-2</v>
      </c>
      <c r="Z17" s="78">
        <v>-0.1111111111111111</v>
      </c>
      <c r="AA17">
        <v>-1.2036486693512965E-2</v>
      </c>
      <c r="AB17" s="78">
        <v>-2.821912488393058E-2</v>
      </c>
      <c r="AC17" s="77">
        <v>2.710107377426758E-2</v>
      </c>
      <c r="AD17">
        <v>1.6745566431123124E-4</v>
      </c>
      <c r="AE17">
        <v>1.9761377760849602E-2</v>
      </c>
      <c r="AF17">
        <v>-1.6523627523473989E-2</v>
      </c>
      <c r="AG17">
        <v>-1.2541119866136579E-2</v>
      </c>
      <c r="AH17">
        <v>-5.241662993400645E-3</v>
      </c>
      <c r="AI17">
        <v>-4.0145946722040202E-5</v>
      </c>
      <c r="AJ17">
        <v>-5.1293742505654936E-3</v>
      </c>
      <c r="AK17">
        <v>-1.5929272747454561E-2</v>
      </c>
      <c r="AL17">
        <v>0</v>
      </c>
      <c r="AM17">
        <v>3.6730243637509278E-3</v>
      </c>
      <c r="AN17" s="78">
        <v>-3.5486643215030839E-2</v>
      </c>
      <c r="AO17" s="77">
        <v>2.1337588396636218E-2</v>
      </c>
      <c r="AP17">
        <v>-4.0016883512934871E-3</v>
      </c>
      <c r="AQ17">
        <v>-1.0380347530918125E-2</v>
      </c>
      <c r="AR17">
        <v>1.1488590264692666E-3</v>
      </c>
      <c r="AS17">
        <v>-1.5402188652765193E-2</v>
      </c>
      <c r="AT17">
        <v>1.4289731516782584E-2</v>
      </c>
      <c r="AU17">
        <v>-5.273222887289819E-4</v>
      </c>
      <c r="AV17" s="77">
        <v>3.3726150392817088E-2</v>
      </c>
      <c r="AW17">
        <v>-1.4826214806864958E-2</v>
      </c>
      <c r="AX17">
        <v>-8.2134095032215595E-3</v>
      </c>
      <c r="AY17" s="77">
        <v>2.6015024882637447E-2</v>
      </c>
      <c r="AZ17">
        <v>-7.7671198326104288E-3</v>
      </c>
      <c r="BA17">
        <v>7.6013513513513596E-3</v>
      </c>
      <c r="BB17">
        <v>2.0258969123249137E-3</v>
      </c>
      <c r="BC17">
        <v>-1.1875015620286412E-2</v>
      </c>
      <c r="BD17" s="77">
        <v>8.8362262204250711E-2</v>
      </c>
      <c r="BE17">
        <v>-3.0524846522838826E-3</v>
      </c>
      <c r="BF17">
        <v>-7.5890446279707931E-3</v>
      </c>
      <c r="BG17">
        <v>-9.5918144764446864E-3</v>
      </c>
      <c r="BH17">
        <v>-9.8268073757994748E-3</v>
      </c>
      <c r="BI17" s="78">
        <v>-2.6636071970306499E-2</v>
      </c>
      <c r="BJ17" s="78">
        <v>-4.212177150975293E-2</v>
      </c>
      <c r="BK17">
        <v>0</v>
      </c>
      <c r="BL17">
        <v>0</v>
      </c>
      <c r="BM17">
        <v>1.3778412343378267E-2</v>
      </c>
      <c r="BN17">
        <v>-2.2474747474747477E-2</v>
      </c>
      <c r="BO17" s="77">
        <v>8.3695709886375688E-2</v>
      </c>
      <c r="BP17">
        <v>5.1686427048540824E-3</v>
      </c>
      <c r="BQ17">
        <v>0</v>
      </c>
      <c r="BR17">
        <v>2.0639420121109829E-2</v>
      </c>
      <c r="BS17" s="77">
        <v>2.4242424242424246E-2</v>
      </c>
      <c r="BT17">
        <v>-4.5233218743745088E-3</v>
      </c>
      <c r="BU17">
        <v>6.5762724400308913E-3</v>
      </c>
      <c r="BV17">
        <v>-6.2943704027304597E-3</v>
      </c>
      <c r="BW17">
        <v>-2.7523453115626648E-3</v>
      </c>
      <c r="BX17">
        <v>0</v>
      </c>
      <c r="BY17">
        <v>-3.7960906851753837E-3</v>
      </c>
      <c r="BZ17" s="78">
        <v>-5.9130140086888258E-2</v>
      </c>
      <c r="CA17" s="77">
        <v>2.2111555713475006E-2</v>
      </c>
      <c r="CB17">
        <v>-1.9162227662669194E-2</v>
      </c>
      <c r="CC17">
        <v>2.032791128728088E-2</v>
      </c>
      <c r="CD17">
        <v>-2.8817185928996943E-3</v>
      </c>
    </row>
    <row r="18" spans="1:82" x14ac:dyDescent="0.3">
      <c r="A18" s="64" t="s">
        <v>9081</v>
      </c>
      <c r="B18">
        <v>-1.2678617225041905E-3</v>
      </c>
      <c r="C18" s="78">
        <v>-0.15384615384615385</v>
      </c>
      <c r="D18">
        <v>-5.0887846587434477E-3</v>
      </c>
      <c r="E18">
        <v>5.4143833339287796E-3</v>
      </c>
      <c r="F18">
        <v>-6.7099567099567136E-3</v>
      </c>
      <c r="G18">
        <v>0</v>
      </c>
      <c r="H18">
        <v>3.7576386928988887E-3</v>
      </c>
      <c r="I18">
        <v>-1.1088948794033333E-2</v>
      </c>
      <c r="J18">
        <v>-3.2759586559115983E-3</v>
      </c>
      <c r="K18">
        <v>-1.8360402015497244E-2</v>
      </c>
      <c r="L18">
        <v>-1.9296683106011054E-3</v>
      </c>
      <c r="M18">
        <v>-5.6864097870258307E-3</v>
      </c>
      <c r="N18">
        <v>1.0923624198337673E-3</v>
      </c>
      <c r="O18">
        <v>0</v>
      </c>
      <c r="P18" s="78">
        <v>-5.681818181818183E-2</v>
      </c>
      <c r="Q18">
        <v>-1.1200009656780727E-2</v>
      </c>
      <c r="R18" s="77">
        <v>3.9338125213863172E-2</v>
      </c>
      <c r="S18" s="78">
        <v>-3.1620506983942302E-2</v>
      </c>
      <c r="T18">
        <v>-8.5646446241921578E-3</v>
      </c>
      <c r="U18">
        <v>-2.2158093104621402E-2</v>
      </c>
      <c r="V18">
        <v>-4.6408902988524705E-3</v>
      </c>
      <c r="W18" s="78">
        <v>-4.8980035844394434E-2</v>
      </c>
      <c r="X18">
        <v>1.7814283940014605E-2</v>
      </c>
      <c r="Y18">
        <v>1.4778781824236375E-2</v>
      </c>
      <c r="Z18" s="78">
        <v>-0.1111111111111111</v>
      </c>
      <c r="AA18">
        <v>-7.9808147007221844E-3</v>
      </c>
      <c r="AB18">
        <v>-2.9270318786163527E-2</v>
      </c>
      <c r="AC18" s="77">
        <v>2.8280121516036795E-2</v>
      </c>
      <c r="AD18">
        <v>-2.6810650477029183E-3</v>
      </c>
      <c r="AE18">
        <v>1.4165215129511093E-2</v>
      </c>
      <c r="AF18">
        <v>-1.4855066153420088E-2</v>
      </c>
      <c r="AG18">
        <v>-1.2031531429535612E-2</v>
      </c>
      <c r="AH18">
        <v>-8.9563650333441592E-4</v>
      </c>
      <c r="AI18">
        <v>-1.7706954166978616E-3</v>
      </c>
      <c r="AJ18">
        <v>-6.7728261133302861E-3</v>
      </c>
      <c r="AK18">
        <v>-1.6978223796405612E-2</v>
      </c>
      <c r="AL18">
        <v>6.4935064935064983E-3</v>
      </c>
      <c r="AM18">
        <v>2.8896913134647765E-3</v>
      </c>
      <c r="AN18" s="78">
        <v>-4.3302607738312446E-2</v>
      </c>
      <c r="AO18" s="77">
        <v>5.1534510527873729E-2</v>
      </c>
      <c r="AP18">
        <v>-1.6072050407796397E-3</v>
      </c>
      <c r="AQ18">
        <v>-9.3942965448671444E-3</v>
      </c>
      <c r="AR18">
        <v>4.9095411747837013E-3</v>
      </c>
      <c r="AS18">
        <v>-8.3695171014739386E-3</v>
      </c>
      <c r="AT18" s="77">
        <v>3.2793278786210071E-2</v>
      </c>
      <c r="AU18">
        <v>5.349740946215817E-3</v>
      </c>
      <c r="AV18" s="77">
        <v>3.9361737392679758E-2</v>
      </c>
      <c r="AW18">
        <v>-1.4826214806864958E-2</v>
      </c>
      <c r="AX18">
        <v>-5.4841299527499544E-3</v>
      </c>
      <c r="AY18">
        <v>2.6143994273901926E-2</v>
      </c>
      <c r="AZ18">
        <v>-1.220685622234033E-2</v>
      </c>
      <c r="BA18">
        <v>5.7010135135135195E-3</v>
      </c>
      <c r="BB18">
        <v>2.0053602201014738E-3</v>
      </c>
      <c r="BC18">
        <v>-1.2726031925848175E-2</v>
      </c>
      <c r="BD18" s="77">
        <v>8.2958574982381669E-2</v>
      </c>
      <c r="BE18">
        <v>4.7641555172974618E-3</v>
      </c>
      <c r="BF18">
        <v>-4.4288874034939122E-3</v>
      </c>
      <c r="BG18">
        <v>-7.9207461139430852E-3</v>
      </c>
      <c r="BH18">
        <v>-3.9456844733999717E-3</v>
      </c>
      <c r="BI18">
        <v>-2.7370711033159686E-2</v>
      </c>
      <c r="BJ18" s="78">
        <v>-4.4275351039278633E-2</v>
      </c>
      <c r="BK18">
        <v>0</v>
      </c>
      <c r="BL18">
        <v>0</v>
      </c>
      <c r="BM18">
        <v>6.4353254548368414E-3</v>
      </c>
      <c r="BN18">
        <v>-2.8968253968253966E-2</v>
      </c>
      <c r="BO18" s="77">
        <v>9.7018357757247514E-2</v>
      </c>
      <c r="BP18">
        <v>7.9824955187068995E-3</v>
      </c>
      <c r="BQ18">
        <v>0</v>
      </c>
      <c r="BR18">
        <v>1.1806409160439296E-2</v>
      </c>
      <c r="BS18">
        <v>2.4242424242424246E-2</v>
      </c>
      <c r="BT18">
        <v>-6.8476912277828364E-4</v>
      </c>
      <c r="BU18" s="77">
        <v>3.4985363349121792E-2</v>
      </c>
      <c r="BV18">
        <v>-2.5012476663682287E-3</v>
      </c>
      <c r="BW18">
        <v>1.0620221391684254E-3</v>
      </c>
      <c r="BX18" s="78">
        <v>-5.2631578947368418E-2</v>
      </c>
      <c r="BY18">
        <v>6.0760888723584983E-4</v>
      </c>
      <c r="BZ18" s="78">
        <v>-5.4862757575332009E-2</v>
      </c>
      <c r="CA18" s="77">
        <v>2.6873460475379765E-2</v>
      </c>
      <c r="CB18">
        <v>-1.6404513006558805E-2</v>
      </c>
      <c r="CC18">
        <v>2.3320017220563281E-2</v>
      </c>
      <c r="CD18">
        <v>-3.4625763501993719E-3</v>
      </c>
    </row>
    <row r="19" spans="1:82" x14ac:dyDescent="0.3">
      <c r="A19" s="64" t="s">
        <v>9082</v>
      </c>
      <c r="B19">
        <v>-2.0542676149300676E-3</v>
      </c>
      <c r="C19" s="78">
        <v>-0.15384615384615385</v>
      </c>
      <c r="D19">
        <v>-1.843556121831189E-4</v>
      </c>
      <c r="E19">
        <v>9.909613980475216E-3</v>
      </c>
      <c r="F19">
        <v>-1.320346320346321E-2</v>
      </c>
      <c r="G19">
        <v>0</v>
      </c>
      <c r="H19">
        <v>5.0563399916001882E-3</v>
      </c>
      <c r="I19">
        <v>-1.4806470210669796E-2</v>
      </c>
      <c r="J19">
        <v>-5.6653624101933456E-4</v>
      </c>
      <c r="K19">
        <v>-1.7744301248794069E-2</v>
      </c>
      <c r="L19">
        <v>1.6813356036168815E-3</v>
      </c>
      <c r="M19">
        <v>-4.563981828420851E-3</v>
      </c>
      <c r="N19">
        <v>3.9219980619694039E-3</v>
      </c>
      <c r="O19">
        <v>0</v>
      </c>
      <c r="P19" s="78">
        <v>-4.7727272727272736E-2</v>
      </c>
      <c r="Q19">
        <v>-1.5683466370312996E-2</v>
      </c>
      <c r="R19" s="77">
        <v>3.769015197498083E-2</v>
      </c>
      <c r="S19">
        <v>-3.6741069481553992E-2</v>
      </c>
      <c r="T19">
        <v>-1.0248146307693844E-2</v>
      </c>
      <c r="U19">
        <v>-1.8398694608380804E-2</v>
      </c>
      <c r="V19">
        <v>-5.0307234502636657E-3</v>
      </c>
      <c r="W19" s="78">
        <v>-3.7537984508726065E-2</v>
      </c>
      <c r="X19">
        <v>1.0856383693070404E-2</v>
      </c>
      <c r="Y19" s="77">
        <v>2.1771788817243367E-2</v>
      </c>
      <c r="Z19" s="78">
        <v>-0.1111111111111111</v>
      </c>
      <c r="AA19">
        <v>-9.957099285702424E-3</v>
      </c>
      <c r="AB19">
        <v>-2.5231204131290753E-2</v>
      </c>
      <c r="AC19" s="77">
        <v>3.218953445473588E-2</v>
      </c>
      <c r="AD19">
        <v>3.0032202718407656E-3</v>
      </c>
      <c r="AE19">
        <v>1.7013244293329729E-2</v>
      </c>
      <c r="AF19">
        <v>-1.1736344692232869E-2</v>
      </c>
      <c r="AG19">
        <v>-1.1699818878659174E-2</v>
      </c>
      <c r="AH19">
        <v>-2.1789437133657654E-3</v>
      </c>
      <c r="AI19">
        <v>-1.4884024904816941E-3</v>
      </c>
      <c r="AJ19">
        <v>-3.439213912723013E-3</v>
      </c>
      <c r="AK19">
        <v>-1.6978223796405612E-2</v>
      </c>
      <c r="AL19">
        <v>0</v>
      </c>
      <c r="AM19">
        <v>1.441962295171232E-3</v>
      </c>
      <c r="AN19" s="78">
        <v>-4.647737089090264E-2</v>
      </c>
      <c r="AO19" s="77">
        <v>4.9625889433206116E-2</v>
      </c>
      <c r="AP19">
        <v>-1.6072050407796397E-3</v>
      </c>
      <c r="AQ19">
        <v>-7.2733043295352988E-3</v>
      </c>
      <c r="AR19">
        <v>1.2297496287501245E-3</v>
      </c>
      <c r="AS19">
        <v>-7.3535448187231336E-3</v>
      </c>
      <c r="AT19" s="77">
        <v>2.9658482547965551E-2</v>
      </c>
      <c r="AU19">
        <v>5.5012560977309652E-3</v>
      </c>
      <c r="AV19" s="77">
        <v>3.9455077878946879E-2</v>
      </c>
      <c r="AW19">
        <v>-2.7677946408596565E-2</v>
      </c>
      <c r="AX19">
        <v>-2.9762929621543412E-3</v>
      </c>
      <c r="AY19" s="77">
        <v>2.7575257103247021E-2</v>
      </c>
      <c r="AZ19">
        <v>-1.2618914344222793E-2</v>
      </c>
      <c r="BA19">
        <v>1.5989382239382222E-2</v>
      </c>
      <c r="BB19">
        <v>2.5530053460598532E-3</v>
      </c>
      <c r="BC19">
        <v>-1.1379230579046828E-2</v>
      </c>
      <c r="BD19" s="77">
        <v>5.9815051838858518E-2</v>
      </c>
      <c r="BE19">
        <v>5.5058112650044838E-3</v>
      </c>
      <c r="BF19">
        <v>5.9927027953102653E-4</v>
      </c>
      <c r="BG19">
        <v>-7.5199123797760198E-3</v>
      </c>
      <c r="BH19">
        <v>-7.1171870413293849E-3</v>
      </c>
      <c r="BI19">
        <v>-3.0040768248671454E-2</v>
      </c>
      <c r="BJ19" s="78">
        <v>-4.5368561626160091E-2</v>
      </c>
      <c r="BK19">
        <v>0</v>
      </c>
      <c r="BL19" s="78">
        <v>-8.2568807339449615E-2</v>
      </c>
      <c r="BM19">
        <v>-3.8412345032517782E-3</v>
      </c>
      <c r="BN19">
        <v>-2.8968253968253966E-2</v>
      </c>
      <c r="BO19" s="77">
        <v>6.8523777114888954E-2</v>
      </c>
      <c r="BP19">
        <v>3.05646146645925E-3</v>
      </c>
      <c r="BQ19">
        <v>0</v>
      </c>
      <c r="BR19">
        <v>1.1015343251296718E-3</v>
      </c>
      <c r="BS19">
        <v>1.0606060606060614E-2</v>
      </c>
      <c r="BT19">
        <v>-5.6125133621701823E-4</v>
      </c>
      <c r="BU19">
        <v>9.660688024446468E-3</v>
      </c>
      <c r="BV19">
        <v>-6.3825589243486219E-3</v>
      </c>
      <c r="BW19">
        <v>-4.6017081276755712E-4</v>
      </c>
      <c r="BX19" s="78">
        <v>-5.2631578947368418E-2</v>
      </c>
      <c r="BY19">
        <v>-2.1169526540163697E-4</v>
      </c>
      <c r="BZ19" s="78">
        <v>-4.213454376016168E-2</v>
      </c>
      <c r="CA19">
        <v>2.0055278657197948E-2</v>
      </c>
      <c r="CB19">
        <v>-1.5761369748196516E-2</v>
      </c>
      <c r="CC19">
        <v>1.6662533290352083E-2</v>
      </c>
      <c r="CD19">
        <v>-1.5322507808486453E-3</v>
      </c>
    </row>
    <row r="20" spans="1:82" x14ac:dyDescent="0.3">
      <c r="A20" s="64" t="s">
        <v>9083</v>
      </c>
      <c r="B20">
        <v>-7.0892524129250786E-3</v>
      </c>
      <c r="C20" s="78">
        <v>-0.15384615384615385</v>
      </c>
      <c r="D20">
        <v>2.704570573889615E-3</v>
      </c>
      <c r="E20">
        <v>8.4744001081216453E-3</v>
      </c>
      <c r="F20">
        <v>-1.9696969696969699E-2</v>
      </c>
      <c r="G20">
        <v>0</v>
      </c>
      <c r="H20">
        <v>4.1822141174743133E-3</v>
      </c>
      <c r="I20">
        <v>-1.8961379628737108E-2</v>
      </c>
      <c r="J20">
        <v>8.7646520198210876E-4</v>
      </c>
      <c r="K20">
        <v>-2.133417709958919E-2</v>
      </c>
      <c r="L20">
        <v>-9.2880279509895079E-5</v>
      </c>
      <c r="M20">
        <v>-6.8522041499395163E-3</v>
      </c>
      <c r="N20">
        <v>2.545596685568034E-3</v>
      </c>
      <c r="O20">
        <v>0</v>
      </c>
      <c r="P20" s="78">
        <v>-5.681818181818183E-2</v>
      </c>
      <c r="Q20">
        <v>-1.7653163340009968E-2</v>
      </c>
      <c r="R20" s="77">
        <v>4.1705121817288804E-2</v>
      </c>
      <c r="S20" s="78">
        <v>-3.5914623200562254E-2</v>
      </c>
      <c r="T20">
        <v>-1.3783499843047381E-2</v>
      </c>
      <c r="U20">
        <v>-2.0849658246795102E-2</v>
      </c>
      <c r="V20">
        <v>-7.7046673799857184E-3</v>
      </c>
      <c r="W20">
        <v>-3.4379006061096555E-2</v>
      </c>
      <c r="X20">
        <v>8.3861578873198599E-3</v>
      </c>
      <c r="Y20" s="77">
        <v>2.5268292313746863E-2</v>
      </c>
      <c r="Z20" s="78">
        <v>-0.1111111111111111</v>
      </c>
      <c r="AA20">
        <v>-1.1596469767437435E-2</v>
      </c>
      <c r="AB20">
        <v>-2.5470107177397193E-2</v>
      </c>
      <c r="AC20" s="77">
        <v>3.1598882169168334E-2</v>
      </c>
      <c r="AD20">
        <v>-4.3251656279737127E-3</v>
      </c>
      <c r="AE20">
        <v>9.8703871504725888E-3</v>
      </c>
      <c r="AF20">
        <v>-1.4599202797062389E-2</v>
      </c>
      <c r="AG20">
        <v>-1.1855735273759748E-2</v>
      </c>
      <c r="AH20">
        <v>-4.9062164406384881E-3</v>
      </c>
      <c r="AI20">
        <v>-6.0762166799034371E-3</v>
      </c>
      <c r="AJ20">
        <v>-6.8508831061662168E-3</v>
      </c>
      <c r="AK20">
        <v>-2.5242686606322975E-2</v>
      </c>
      <c r="AL20">
        <v>0</v>
      </c>
      <c r="AM20">
        <v>-8.3451945760247743E-5</v>
      </c>
      <c r="AN20" s="78">
        <v>-4.746551318339276E-2</v>
      </c>
      <c r="AO20" s="77">
        <v>4.4349915407232099E-2</v>
      </c>
      <c r="AP20">
        <v>-3.4700962479331434E-3</v>
      </c>
      <c r="AQ20">
        <v>-5.2648476699158515E-3</v>
      </c>
      <c r="AR20">
        <v>2.2352193842198722E-3</v>
      </c>
      <c r="AS20">
        <v>-1.1241573275782481E-2</v>
      </c>
      <c r="AT20" s="77">
        <v>3.0338035553099954E-2</v>
      </c>
      <c r="AU20">
        <v>4.1628609505583872E-3</v>
      </c>
      <c r="AV20" s="77">
        <v>2.8766859505954735E-2</v>
      </c>
      <c r="AW20">
        <v>-2.7677946408596565E-2</v>
      </c>
      <c r="AX20">
        <v>-6.2322130328814817E-3</v>
      </c>
      <c r="AY20" s="77">
        <v>2.77500822780722E-2</v>
      </c>
      <c r="AZ20">
        <v>-1.5485601832166247E-2</v>
      </c>
      <c r="BA20">
        <v>1.3324485199485184E-2</v>
      </c>
      <c r="BB20">
        <v>2.5800616231161301E-3</v>
      </c>
      <c r="BC20">
        <v>-9.4413737498856426E-3</v>
      </c>
      <c r="BD20" s="77">
        <v>6.1019145758184234E-2</v>
      </c>
      <c r="BE20">
        <v>-1.0105640642943216E-3</v>
      </c>
      <c r="BF20">
        <v>-4.4907216957068459E-3</v>
      </c>
      <c r="BG20">
        <v>-8.1535692634328999E-3</v>
      </c>
      <c r="BH20">
        <v>-4.7741692343940502E-3</v>
      </c>
      <c r="BI20">
        <v>-3.396089095529644E-2</v>
      </c>
      <c r="BJ20" s="78">
        <v>-4.890823183249695E-2</v>
      </c>
      <c r="BK20">
        <v>0</v>
      </c>
      <c r="BL20" s="78">
        <v>-7.4897849047876108E-2</v>
      </c>
      <c r="BM20">
        <v>-7.6139617759790508E-3</v>
      </c>
      <c r="BN20">
        <v>-2.8968253968253966E-2</v>
      </c>
      <c r="BO20" s="77">
        <v>3.3293623786216968E-2</v>
      </c>
      <c r="BP20">
        <v>-3.4323800762038522E-4</v>
      </c>
      <c r="BQ20">
        <v>0</v>
      </c>
      <c r="BR20">
        <v>1.013416835776371E-2</v>
      </c>
      <c r="BS20">
        <v>6.0606060606060589E-3</v>
      </c>
      <c r="BT20">
        <v>-6.2455366557607021E-3</v>
      </c>
      <c r="BU20">
        <v>2.2842506206264653E-2</v>
      </c>
      <c r="BV20">
        <v>-1.2188517671483835E-2</v>
      </c>
      <c r="BW20">
        <v>-3.0967021437034825E-3</v>
      </c>
      <c r="BX20" s="78">
        <v>-5.2631578947368418E-2</v>
      </c>
      <c r="BY20">
        <v>-1.3943361539248795E-3</v>
      </c>
      <c r="BZ20" s="78">
        <v>-3.6038287075669702E-2</v>
      </c>
      <c r="CA20">
        <v>2.2447623154805606E-2</v>
      </c>
      <c r="CB20">
        <v>-1.595772897242068E-2</v>
      </c>
      <c r="CC20">
        <v>8.545650173468965E-3</v>
      </c>
      <c r="CD20">
        <v>-5.5690331952640325E-3</v>
      </c>
    </row>
    <row r="21" spans="1:82" x14ac:dyDescent="0.3">
      <c r="A21" s="64" t="s">
        <v>9084</v>
      </c>
      <c r="B21">
        <v>-9.1760421876551836E-3</v>
      </c>
      <c r="C21" s="78">
        <v>-0.16666666666666666</v>
      </c>
      <c r="D21">
        <v>-3.0067611361238577E-4</v>
      </c>
      <c r="E21">
        <v>1.1548656038918102E-3</v>
      </c>
      <c r="F21">
        <v>-1.9696969696969699E-2</v>
      </c>
      <c r="G21">
        <v>0</v>
      </c>
      <c r="H21">
        <v>5.0823041264752141E-3</v>
      </c>
      <c r="I21">
        <v>-2.1139329338601718E-2</v>
      </c>
      <c r="J21">
        <v>8.7646520198210898E-4</v>
      </c>
      <c r="K21">
        <v>-2.446210063019728E-2</v>
      </c>
      <c r="L21">
        <v>-1.4843459566898593E-3</v>
      </c>
      <c r="M21">
        <v>-9.8183802332704063E-3</v>
      </c>
      <c r="N21">
        <v>1.8353694128407606E-3</v>
      </c>
      <c r="O21">
        <v>0</v>
      </c>
      <c r="P21" s="78">
        <v>-4.5454545454545463E-2</v>
      </c>
      <c r="Q21">
        <v>-2.0768950998349647E-2</v>
      </c>
      <c r="R21" s="77">
        <v>4.0731095843262836E-2</v>
      </c>
      <c r="S21">
        <v>-3.2340419626358675E-2</v>
      </c>
      <c r="T21">
        <v>-1.4588968320929646E-2</v>
      </c>
      <c r="U21">
        <v>-1.7413621513616005E-2</v>
      </c>
      <c r="V21">
        <v>-1.0400884206637324E-2</v>
      </c>
      <c r="W21">
        <v>-3.4235356514205499E-2</v>
      </c>
      <c r="X21">
        <v>6.6465798194896035E-3</v>
      </c>
      <c r="Y21">
        <v>2.0217787263241808E-2</v>
      </c>
      <c r="Z21" s="78">
        <v>-0.1</v>
      </c>
      <c r="AA21">
        <v>-1.2588599427945678E-2</v>
      </c>
      <c r="AB21">
        <v>-3.379180370529003E-2</v>
      </c>
      <c r="AC21" s="77">
        <v>2.2111602207750446E-2</v>
      </c>
      <c r="AD21">
        <v>-3.3580476395791274E-3</v>
      </c>
      <c r="AE21">
        <v>1.4597659877745311E-2</v>
      </c>
      <c r="AF21">
        <v>-1.6638129763495577E-2</v>
      </c>
      <c r="AG21">
        <v>-9.2579419328112471E-3</v>
      </c>
      <c r="AH21">
        <v>-3.9489464484228874E-3</v>
      </c>
      <c r="AI21">
        <v>-9.2712543044712534E-3</v>
      </c>
      <c r="AJ21">
        <v>-6.4760057234148185E-3</v>
      </c>
      <c r="AK21">
        <v>-2.9030565394201766E-2</v>
      </c>
      <c r="AL21">
        <v>0</v>
      </c>
      <c r="AM21">
        <v>-5.9276077899160957E-3</v>
      </c>
      <c r="AN21" s="78">
        <v>-4.6208259798479805E-2</v>
      </c>
      <c r="AO21" s="77">
        <v>4.8940938419307731E-2</v>
      </c>
      <c r="AP21">
        <v>-2.734332493847305E-3</v>
      </c>
      <c r="AQ21">
        <v>-2.4018016250516266E-3</v>
      </c>
      <c r="AR21">
        <v>3.047983708070584E-4</v>
      </c>
      <c r="AS21">
        <v>-1.0779354997822897E-2</v>
      </c>
      <c r="AT21" s="77">
        <v>3.148998437946738E-2</v>
      </c>
      <c r="AU21">
        <v>2.8011923161624817E-3</v>
      </c>
      <c r="AV21" s="77">
        <v>3.0055107982456173E-2</v>
      </c>
      <c r="AW21" s="78">
        <v>-5.4281777360253608E-2</v>
      </c>
      <c r="AX21">
        <v>-4.5501082143677672E-3</v>
      </c>
      <c r="AY21" s="77">
        <v>2.4626828738578913E-2</v>
      </c>
      <c r="AZ21">
        <v>-1.5905790381048734E-2</v>
      </c>
      <c r="BA21" s="77">
        <v>2.4408000300857442E-2</v>
      </c>
      <c r="BB21">
        <v>2.0118798049343118E-3</v>
      </c>
      <c r="BC21">
        <v>-1.507161987308952E-2</v>
      </c>
      <c r="BD21" s="77">
        <v>4.6397403863715048E-2</v>
      </c>
      <c r="BE21">
        <v>-1.6475152447237684E-3</v>
      </c>
      <c r="BF21">
        <v>-4.1410713460564965E-3</v>
      </c>
      <c r="BG21">
        <v>-1.0327071436935072E-2</v>
      </c>
      <c r="BH21">
        <v>3.1891052704307336E-3</v>
      </c>
      <c r="BI21">
        <v>-3.1287881130179239E-2</v>
      </c>
      <c r="BJ21" s="78">
        <v>-4.5098708022973145E-2</v>
      </c>
      <c r="BK21">
        <v>0</v>
      </c>
      <c r="BL21" s="78">
        <v>-5.2536066031917406E-2</v>
      </c>
      <c r="BM21">
        <v>-6.1709603329776069E-3</v>
      </c>
      <c r="BN21">
        <v>-3.4650072150072146E-2</v>
      </c>
      <c r="BO21">
        <v>-2.9396057619350984E-3</v>
      </c>
      <c r="BP21">
        <v>1.2174819741522216E-3</v>
      </c>
      <c r="BQ21">
        <v>0</v>
      </c>
      <c r="BR21">
        <v>9.6241746513030593E-3</v>
      </c>
      <c r="BS21">
        <v>6.0606060606060589E-3</v>
      </c>
      <c r="BT21">
        <v>-7.1546275648516119E-3</v>
      </c>
      <c r="BU21">
        <v>1.7634172872931321E-2</v>
      </c>
      <c r="BV21">
        <v>-1.2694405094015449E-2</v>
      </c>
      <c r="BW21">
        <v>-1.9603385073398445E-3</v>
      </c>
      <c r="BX21" s="78">
        <v>-5.2631578947368418E-2</v>
      </c>
      <c r="BY21">
        <v>-2.3625856272626781E-4</v>
      </c>
      <c r="BZ21" s="78">
        <v>-4.0005661164995002E-2</v>
      </c>
      <c r="CA21" s="77">
        <v>2.1988486332032417E-2</v>
      </c>
      <c r="CB21">
        <v>-1.2941883067465399E-2</v>
      </c>
      <c r="CC21">
        <v>1.2677881578427641E-2</v>
      </c>
      <c r="CD21">
        <v>-5.3896671625200078E-3</v>
      </c>
    </row>
    <row r="22" spans="1:82" x14ac:dyDescent="0.3">
      <c r="A22" s="64" t="s">
        <v>9085</v>
      </c>
      <c r="B22">
        <v>-7.6014043543568381E-3</v>
      </c>
      <c r="C22" s="78">
        <v>-0.16666666666666666</v>
      </c>
      <c r="D22">
        <v>2.4162185414030564E-3</v>
      </c>
      <c r="E22">
        <v>6.5990833599300367E-3</v>
      </c>
      <c r="F22">
        <v>-1.32034632034632E-2</v>
      </c>
      <c r="G22">
        <v>0</v>
      </c>
      <c r="H22">
        <v>5.2100506773183515E-3</v>
      </c>
      <c r="I22">
        <v>-1.7385507402961596E-2</v>
      </c>
      <c r="J22">
        <v>3.028669058731422E-3</v>
      </c>
      <c r="K22">
        <v>-1.8076627843875599E-2</v>
      </c>
      <c r="L22">
        <v>-1.4753450565998501E-3</v>
      </c>
      <c r="M22">
        <v>-5.6310264696454561E-3</v>
      </c>
      <c r="N22">
        <v>6.7135757835844407E-3</v>
      </c>
      <c r="O22">
        <v>0</v>
      </c>
      <c r="P22" s="78">
        <v>-4.5454545454545463E-2</v>
      </c>
      <c r="Q22">
        <v>-2.0497491582316913E-2</v>
      </c>
      <c r="R22" s="77">
        <v>3.5428065540232527E-2</v>
      </c>
      <c r="S22">
        <v>-3.7230457125091848E-2</v>
      </c>
      <c r="T22">
        <v>-1.4020786502747828E-2</v>
      </c>
      <c r="U22">
        <v>-1.677799129673339E-2</v>
      </c>
      <c r="V22">
        <v>-9.8471864926962058E-3</v>
      </c>
      <c r="W22">
        <v>-4.0270887884243926E-2</v>
      </c>
      <c r="X22">
        <v>6.8513271262502897E-3</v>
      </c>
      <c r="Y22">
        <v>8.8541508996054404E-3</v>
      </c>
      <c r="Z22" s="78">
        <v>-9.0909090909090912E-2</v>
      </c>
      <c r="AA22">
        <v>-1.2863782815083526E-2</v>
      </c>
      <c r="AB22">
        <v>-3.0984524824471248E-2</v>
      </c>
      <c r="AC22" s="77">
        <v>2.2406722081183574E-2</v>
      </c>
      <c r="AD22">
        <v>-2.4304038547924844E-3</v>
      </c>
      <c r="AE22">
        <v>1.4597659877745311E-2</v>
      </c>
      <c r="AF22">
        <v>-2.033327208418028E-2</v>
      </c>
      <c r="AG22">
        <v>-1.0682286861011714E-3</v>
      </c>
      <c r="AH22">
        <v>3.5080785133140909E-4</v>
      </c>
      <c r="AI22">
        <v>-1.1351261615996103E-2</v>
      </c>
      <c r="AJ22">
        <v>-9.8013571931742666E-3</v>
      </c>
      <c r="AK22" s="78">
        <v>-4.77845386936296E-2</v>
      </c>
      <c r="AL22">
        <v>6.4935064935064983E-3</v>
      </c>
      <c r="AM22">
        <v>-5.25543607801136E-3</v>
      </c>
      <c r="AN22" s="78">
        <v>-4.582947191969193E-2</v>
      </c>
      <c r="AO22" s="77">
        <v>3.9695728183998497E-2</v>
      </c>
      <c r="AP22">
        <v>-1.2786321034549267E-3</v>
      </c>
      <c r="AQ22">
        <v>2.2644808190085911E-3</v>
      </c>
      <c r="AR22">
        <v>-1.4662770144041129E-4</v>
      </c>
      <c r="AS22">
        <v>-1.3914392003827641E-2</v>
      </c>
      <c r="AT22" s="77">
        <v>2.3967702739538691E-2</v>
      </c>
      <c r="AU22">
        <v>5.047128349247771E-3</v>
      </c>
      <c r="AV22" s="77">
        <v>2.7817019586195736E-2</v>
      </c>
      <c r="AW22" s="78">
        <v>-5.5801996271776864E-2</v>
      </c>
      <c r="AX22">
        <v>-6.6130605725957187E-3</v>
      </c>
      <c r="AY22">
        <v>1.8665576875687696E-2</v>
      </c>
      <c r="AZ22">
        <v>-1.6926812335085042E-2</v>
      </c>
      <c r="BA22" s="77">
        <v>2.1357000263250263E-2</v>
      </c>
      <c r="BB22">
        <v>6.4436294898485569E-3</v>
      </c>
      <c r="BC22">
        <v>-1.8494928069543459E-2</v>
      </c>
      <c r="BD22" s="77">
        <v>4.7121616993943218E-2</v>
      </c>
      <c r="BE22">
        <v>-5.0452131937986783E-3</v>
      </c>
      <c r="BF22">
        <v>-9.7739685841197813E-3</v>
      </c>
      <c r="BG22">
        <v>-1.1909628145217122E-2</v>
      </c>
      <c r="BH22">
        <v>6.292334180111255E-3</v>
      </c>
      <c r="BI22">
        <v>-3.3543520227923597E-2</v>
      </c>
      <c r="BJ22" s="78">
        <v>-5.1184756309640075E-2</v>
      </c>
      <c r="BK22">
        <v>0</v>
      </c>
      <c r="BL22">
        <v>-3.5725578935702759E-2</v>
      </c>
      <c r="BM22">
        <v>-2.6326765418964657E-3</v>
      </c>
      <c r="BN22">
        <v>-1.9877344877344875E-2</v>
      </c>
      <c r="BO22">
        <v>-2.6825886384976794E-2</v>
      </c>
      <c r="BP22">
        <v>2.0513737171348732E-3</v>
      </c>
      <c r="BQ22">
        <v>0</v>
      </c>
      <c r="BR22">
        <v>-1.8774815871952762E-3</v>
      </c>
      <c r="BS22">
        <v>1.3636363636363636E-2</v>
      </c>
      <c r="BT22">
        <v>-6.2269837800649685E-3</v>
      </c>
      <c r="BU22" s="77">
        <v>2.0092085330843782E-2</v>
      </c>
      <c r="BV22">
        <v>-9.6502312838971753E-3</v>
      </c>
      <c r="BW22">
        <v>-3.4924085877970149E-3</v>
      </c>
      <c r="BX22" s="78">
        <v>-5.2631578947368418E-2</v>
      </c>
      <c r="BY22">
        <v>-1.6785662550339619E-3</v>
      </c>
      <c r="BZ22" s="78">
        <v>-4.1961932741519756E-2</v>
      </c>
      <c r="CA22" s="77">
        <v>2.4513738857284941E-2</v>
      </c>
      <c r="CB22">
        <v>-1.2791519993586731E-2</v>
      </c>
      <c r="CC22">
        <v>9.4392452147912757E-3</v>
      </c>
      <c r="CD22">
        <v>-3.944670697614814E-3</v>
      </c>
    </row>
    <row r="23" spans="1:82" x14ac:dyDescent="0.3">
      <c r="A23" s="64" t="s">
        <v>9086</v>
      </c>
      <c r="B23">
        <v>-9.3978073469563952E-3</v>
      </c>
      <c r="C23" s="78">
        <v>-0.16666666666666666</v>
      </c>
      <c r="D23">
        <v>1.0739985790158007E-2</v>
      </c>
      <c r="E23">
        <v>-3.6994501499509097E-3</v>
      </c>
      <c r="F23">
        <v>-1.9696969696969699E-2</v>
      </c>
      <c r="G23">
        <v>0</v>
      </c>
      <c r="H23">
        <v>3.4611915808823905E-3</v>
      </c>
      <c r="I23">
        <v>-2.1664217159961724E-2</v>
      </c>
      <c r="J23">
        <v>-5.5663452657216627E-4</v>
      </c>
      <c r="K23">
        <v>-1.6033386304835733E-2</v>
      </c>
      <c r="L23">
        <v>-1.4753450565998501E-3</v>
      </c>
      <c r="M23">
        <v>-1.2205865771757494E-2</v>
      </c>
      <c r="N23">
        <v>5.3885249016305805E-3</v>
      </c>
      <c r="O23">
        <v>0</v>
      </c>
      <c r="P23" s="78">
        <v>-4.5454545454545463E-2</v>
      </c>
      <c r="Q23">
        <v>-1.781390514587006E-2</v>
      </c>
      <c r="R23" s="77">
        <v>2.1772576569175528E-2</v>
      </c>
      <c r="S23">
        <v>-3.3311961827286199E-2</v>
      </c>
      <c r="T23">
        <v>-1.4555545861036599E-2</v>
      </c>
      <c r="U23">
        <v>-2.2000223642171475E-2</v>
      </c>
      <c r="V23">
        <v>-1.3129499417866276E-2</v>
      </c>
      <c r="W23">
        <v>-2.904762428234443E-2</v>
      </c>
      <c r="X23">
        <v>-1.7914385587689174E-3</v>
      </c>
      <c r="Y23" s="77">
        <v>2.8172332717787265E-2</v>
      </c>
      <c r="Z23" s="78">
        <v>-8.3333333333333329E-2</v>
      </c>
      <c r="AA23">
        <v>-1.166838229031119E-2</v>
      </c>
      <c r="AB23">
        <v>-3.0555276203833772E-2</v>
      </c>
      <c r="AC23" s="77">
        <v>2.2819945221679447E-2</v>
      </c>
      <c r="AD23">
        <v>-5.2133352091524136E-3</v>
      </c>
      <c r="AE23">
        <v>1.219198755563845E-2</v>
      </c>
      <c r="AF23">
        <v>-1.9216473573244956E-2</v>
      </c>
      <c r="AG23">
        <v>-5.1038067866776386E-3</v>
      </c>
      <c r="AH23">
        <v>5.4561304613661256E-4</v>
      </c>
      <c r="AI23">
        <v>-1.0048604979808048E-2</v>
      </c>
      <c r="AJ23">
        <v>-1.2742617571505578E-2</v>
      </c>
      <c r="AK23" s="78">
        <v>-6.1657029838848021E-2</v>
      </c>
      <c r="AL23">
        <v>6.4935064935064983E-3</v>
      </c>
      <c r="AM23">
        <v>-9.7577494152479381E-3</v>
      </c>
      <c r="AN23" s="78">
        <v>-3.9335965426185435E-2</v>
      </c>
      <c r="AO23" s="77">
        <v>3.6784973986794894E-2</v>
      </c>
      <c r="AP23">
        <v>-2.0304090307375951E-3</v>
      </c>
      <c r="AQ23">
        <v>-3.2665378699048217E-3</v>
      </c>
      <c r="AR23">
        <v>2.5170161259965205E-3</v>
      </c>
      <c r="AS23">
        <v>-1.8623606839624759E-2</v>
      </c>
      <c r="AT23" s="77">
        <v>2.0295732115303684E-2</v>
      </c>
      <c r="AU23">
        <v>2.0423011382308537E-3</v>
      </c>
      <c r="AV23" s="77">
        <v>2.433989213792127E-2</v>
      </c>
      <c r="AW23" s="78">
        <v>-5.5801996271776864E-2</v>
      </c>
      <c r="AX23">
        <v>-4.8812446398891346E-3</v>
      </c>
      <c r="AY23">
        <v>1.4747081577882055E-2</v>
      </c>
      <c r="AZ23">
        <v>-1.6478067606760374E-2</v>
      </c>
      <c r="BA23" s="77">
        <v>1.8984000234000233E-2</v>
      </c>
      <c r="BB23">
        <v>4.7931965894156547E-3</v>
      </c>
      <c r="BC23">
        <v>-2.0337825976962601E-2</v>
      </c>
      <c r="BD23" s="77">
        <v>4.5925444745139384E-2</v>
      </c>
      <c r="BE23">
        <v>-5.4888785186482623E-3</v>
      </c>
      <c r="BF23">
        <v>-1.1047994021713997E-2</v>
      </c>
      <c r="BG23">
        <v>-1.1430513940612714E-2</v>
      </c>
      <c r="BH23">
        <v>1.8155218579950618E-3</v>
      </c>
      <c r="BI23">
        <v>-3.5872844069398661E-2</v>
      </c>
      <c r="BJ23" s="78">
        <v>-4.660632151353563E-2</v>
      </c>
      <c r="BK23">
        <v>0</v>
      </c>
      <c r="BL23">
        <v>-2.4200901104766585E-2</v>
      </c>
      <c r="BM23">
        <v>-9.2664380010255686E-3</v>
      </c>
      <c r="BN23">
        <v>-1.9877344877344875E-2</v>
      </c>
      <c r="BO23">
        <v>-2.1067454564423813E-2</v>
      </c>
      <c r="BP23">
        <v>-2.9972346154850477E-4</v>
      </c>
      <c r="BQ23">
        <v>0</v>
      </c>
      <c r="BR23">
        <v>-5.8400002555962999E-3</v>
      </c>
      <c r="BS23">
        <v>-1.5151515151515147E-3</v>
      </c>
      <c r="BT23">
        <v>-1.1621060602713222E-2</v>
      </c>
      <c r="BU23">
        <v>1.5823098503717423E-2</v>
      </c>
      <c r="BV23">
        <v>-7.5733268684150569E-3</v>
      </c>
      <c r="BW23">
        <v>-3.0705797772214091E-3</v>
      </c>
      <c r="BX23" s="78">
        <v>-7.8947368421052627E-2</v>
      </c>
      <c r="BY23">
        <v>-2.8293142412249865E-3</v>
      </c>
      <c r="BZ23" s="78">
        <v>-3.9628430408017425E-2</v>
      </c>
      <c r="CA23" s="77">
        <v>2.5449567734290291E-2</v>
      </c>
      <c r="CB23">
        <v>-1.2606434503528524E-2</v>
      </c>
      <c r="CC23">
        <v>8.5746207088624182E-3</v>
      </c>
      <c r="CD23">
        <v>-5.0810154839128763E-3</v>
      </c>
    </row>
    <row r="24" spans="1:82" x14ac:dyDescent="0.3">
      <c r="A24" s="64" t="s">
        <v>9087</v>
      </c>
      <c r="B24">
        <v>-7.3777562867846863E-3</v>
      </c>
      <c r="C24" s="78">
        <v>-0.16666666666666666</v>
      </c>
      <c r="D24">
        <v>1.1247981961291996E-2</v>
      </c>
      <c r="E24">
        <v>-9.8802079476688273E-3</v>
      </c>
      <c r="F24">
        <v>-3.0303030303030294E-3</v>
      </c>
      <c r="G24">
        <v>0</v>
      </c>
      <c r="H24">
        <v>4.6353713264906983E-3</v>
      </c>
      <c r="I24">
        <v>-2.2962918458663027E-2</v>
      </c>
      <c r="J24">
        <v>2.4648408201150477E-3</v>
      </c>
      <c r="K24">
        <v>-1.3517303111807009E-2</v>
      </c>
      <c r="L24">
        <v>-1.4753450565998501E-3</v>
      </c>
      <c r="M24">
        <v>-1.169128601189471E-2</v>
      </c>
      <c r="N24">
        <v>1.9775973392368407E-3</v>
      </c>
      <c r="O24">
        <v>0</v>
      </c>
      <c r="P24" s="78">
        <v>-3.4090909090909102E-2</v>
      </c>
      <c r="Q24">
        <v>-1.7579881454798826E-2</v>
      </c>
      <c r="R24" s="77">
        <v>2.2299540422585667E-2</v>
      </c>
      <c r="S24">
        <v>-7.3379358532602102E-3</v>
      </c>
      <c r="T24">
        <v>-1.1669542975033718E-2</v>
      </c>
      <c r="U24">
        <v>-2.4153800874613062E-2</v>
      </c>
      <c r="V24">
        <v>-1.0425592302194454E-2</v>
      </c>
      <c r="W24">
        <v>-1.3396077530319217E-2</v>
      </c>
      <c r="X24">
        <v>-1.9848073000673246E-3</v>
      </c>
      <c r="Y24" s="77">
        <v>2.0596575142029682E-2</v>
      </c>
      <c r="Z24" s="78">
        <v>-7.6923076923076927E-2</v>
      </c>
      <c r="AA24">
        <v>-9.5534833004121949E-3</v>
      </c>
      <c r="AB24">
        <v>-2.4944578307399511E-2</v>
      </c>
      <c r="AC24" s="77">
        <v>2.4286085946091E-2</v>
      </c>
      <c r="AD24">
        <v>-5.2668111449812845E-3</v>
      </c>
      <c r="AE24">
        <v>1.219198755563845E-2</v>
      </c>
      <c r="AF24">
        <v>-1.8610622725123691E-2</v>
      </c>
      <c r="AG24">
        <v>-6.0965017153422627E-4</v>
      </c>
      <c r="AH24">
        <v>1.6364207593033949E-4</v>
      </c>
      <c r="AI24">
        <v>-1.0797008595926742E-2</v>
      </c>
      <c r="AJ24">
        <v>-1.2968852682836551E-2</v>
      </c>
      <c r="AK24" s="78">
        <v>-6.1359941306465382E-2</v>
      </c>
      <c r="AL24">
        <v>6.4935064935064983E-3</v>
      </c>
      <c r="AM24">
        <v>-1.3508852680914311E-2</v>
      </c>
      <c r="AN24" s="78">
        <v>-5.2765717492301127E-2</v>
      </c>
      <c r="AO24" s="77">
        <v>3.7785505915161874E-2</v>
      </c>
      <c r="AP24">
        <v>-4.7727087089063436E-4</v>
      </c>
      <c r="AQ24">
        <v>2.5099049386235442E-3</v>
      </c>
      <c r="AR24">
        <v>3.3203416833255534E-3</v>
      </c>
      <c r="AS24">
        <v>-1.8458751413495175E-2</v>
      </c>
      <c r="AT24" s="77">
        <v>1.9217643537215105E-2</v>
      </c>
      <c r="AU24">
        <v>3.4750920274416123E-3</v>
      </c>
      <c r="AV24" s="77">
        <v>1.8268456311148869E-2</v>
      </c>
      <c r="AW24" s="78">
        <v>-4.4146984616765202E-2</v>
      </c>
      <c r="AX24">
        <v>-2.2442452756170515E-3</v>
      </c>
      <c r="AY24">
        <v>1.2404424235224721E-2</v>
      </c>
      <c r="AZ24">
        <v>-1.9179312025873134E-2</v>
      </c>
      <c r="BA24">
        <v>1.708560021060021E-2</v>
      </c>
      <c r="BB24">
        <v>5.2243282769314087E-3</v>
      </c>
      <c r="BC24">
        <v>-1.7451969439990448E-2</v>
      </c>
      <c r="BD24" s="77">
        <v>4.5925444745139384E-2</v>
      </c>
      <c r="BE24">
        <v>-6.7821684410407151E-3</v>
      </c>
      <c r="BF24">
        <v>-1.0900414328679763E-2</v>
      </c>
      <c r="BG24">
        <v>-7.4876957050410498E-3</v>
      </c>
      <c r="BH24">
        <v>9.4906007550274842E-4</v>
      </c>
      <c r="BI24" s="78">
        <v>-3.3822770370546706E-2</v>
      </c>
      <c r="BJ24" s="78">
        <v>-4.8229698136912247E-2</v>
      </c>
      <c r="BK24">
        <v>0</v>
      </c>
      <c r="BL24">
        <v>-2.5105689192243763E-2</v>
      </c>
      <c r="BM24">
        <v>-1.2733310111965485E-2</v>
      </c>
      <c r="BN24">
        <v>-2.7453102453102451E-2</v>
      </c>
      <c r="BO24">
        <v>-3.906945667121217E-3</v>
      </c>
      <c r="BP24">
        <v>-2.3455133823999134E-3</v>
      </c>
      <c r="BQ24">
        <v>0</v>
      </c>
      <c r="BR24">
        <v>5.6622905570393404E-3</v>
      </c>
      <c r="BS24">
        <v>-1.5151515151515147E-3</v>
      </c>
      <c r="BT24">
        <v>-1.4988063969716581E-2</v>
      </c>
      <c r="BU24" s="77">
        <v>3.8820934001552919E-2</v>
      </c>
      <c r="BV24">
        <v>-1.1575810790378081E-2</v>
      </c>
      <c r="BW24">
        <v>-2.7188481754898079E-3</v>
      </c>
      <c r="BX24" s="78">
        <v>-7.8947368421052627E-2</v>
      </c>
      <c r="BY24">
        <v>-2.5360591092601775E-3</v>
      </c>
      <c r="BZ24">
        <v>-2.9704938058782514E-2</v>
      </c>
      <c r="CA24" s="77">
        <v>2.7974820259542822E-2</v>
      </c>
      <c r="CB24">
        <v>-1.8846984845266319E-2</v>
      </c>
      <c r="CC24">
        <v>1.297344768833456E-2</v>
      </c>
      <c r="CD24">
        <v>-7.4793649229332659E-4</v>
      </c>
    </row>
    <row r="25" spans="1:82" x14ac:dyDescent="0.3">
      <c r="A25" s="64" t="s">
        <v>9088</v>
      </c>
      <c r="B25">
        <v>-1.0195820072520418E-2</v>
      </c>
      <c r="C25" s="78">
        <v>-0.16666666666666666</v>
      </c>
      <c r="D25">
        <v>1.0842090439272258E-2</v>
      </c>
      <c r="E25">
        <v>-1.8442061337108417E-2</v>
      </c>
      <c r="F25">
        <v>-1.6017316017316017E-2</v>
      </c>
      <c r="G25">
        <v>0</v>
      </c>
      <c r="H25">
        <v>2.9456569005026525E-3</v>
      </c>
      <c r="I25">
        <v>-2.3179271481482144E-2</v>
      </c>
      <c r="J25">
        <v>2.4648408201150477E-3</v>
      </c>
      <c r="K25">
        <v>-1.8939320537354885E-2</v>
      </c>
      <c r="L25">
        <v>-4.6438437246484757E-3</v>
      </c>
      <c r="M25">
        <v>-1.4434636986638459E-2</v>
      </c>
      <c r="N25">
        <v>2.9134262162421889E-3</v>
      </c>
      <c r="O25">
        <v>0</v>
      </c>
      <c r="P25" s="78">
        <v>-3.4090909090909102E-2</v>
      </c>
      <c r="Q25">
        <v>-1.6124510142819036E-2</v>
      </c>
      <c r="R25" s="77">
        <v>2.8019237392282639E-2</v>
      </c>
      <c r="S25">
        <v>-4.8997610012922596E-3</v>
      </c>
      <c r="T25">
        <v>-1.0600024258456176E-2</v>
      </c>
      <c r="U25">
        <v>-3.0734472455284625E-2</v>
      </c>
      <c r="V25">
        <v>-1.4065738705498753E-2</v>
      </c>
      <c r="W25">
        <v>-9.2118216292549453E-3</v>
      </c>
      <c r="X25">
        <v>-1.9754249114362779E-3</v>
      </c>
      <c r="Y25" s="77">
        <v>1.7349821895276441E-2</v>
      </c>
      <c r="Z25" s="78">
        <v>-7.1428571428571425E-2</v>
      </c>
      <c r="AA25">
        <v>-9.8163933194197715E-3</v>
      </c>
      <c r="AB25">
        <v>-2.3855514219181032E-2</v>
      </c>
      <c r="AC25" s="77">
        <v>2.6802832357574257E-2</v>
      </c>
      <c r="AD25">
        <v>-2.593014353537437E-3</v>
      </c>
      <c r="AE25">
        <v>9.5181907641946045E-3</v>
      </c>
      <c r="AF25">
        <v>-2.2343442617413993E-2</v>
      </c>
      <c r="AG25">
        <v>-6.9489687785108225E-3</v>
      </c>
      <c r="AH25">
        <v>3.5306454429337095E-3</v>
      </c>
      <c r="AI25">
        <v>-9.875256641116938E-3</v>
      </c>
      <c r="AJ25">
        <v>-1.6942763881695386E-2</v>
      </c>
      <c r="AK25" s="78">
        <v>-6.4769032215556299E-2</v>
      </c>
      <c r="AL25">
        <v>6.4935064935064983E-3</v>
      </c>
      <c r="AM25">
        <v>-1.5320823393160947E-2</v>
      </c>
      <c r="AN25" s="78">
        <v>-3.5226690862365413E-2</v>
      </c>
      <c r="AO25" s="77">
        <v>3.064513670582715E-2</v>
      </c>
      <c r="AP25">
        <v>-2.8011487157465309E-3</v>
      </c>
      <c r="AQ25">
        <v>2.1595635803770426E-3</v>
      </c>
      <c r="AR25">
        <v>1.9423626636294164E-3</v>
      </c>
      <c r="AS25">
        <v>-2.2311938456337391E-2</v>
      </c>
      <c r="AT25" s="77">
        <v>2.0113700884885358E-2</v>
      </c>
      <c r="AU25">
        <v>1.5927408977422263E-3</v>
      </c>
      <c r="AV25">
        <v>1.4926459164882482E-2</v>
      </c>
      <c r="AW25" s="78">
        <v>-4.4146984616765202E-2</v>
      </c>
      <c r="AX25">
        <v>-4.1028245170983491E-3</v>
      </c>
      <c r="AY25">
        <v>1.2132473963274453E-2</v>
      </c>
      <c r="AZ25">
        <v>-2.374857074694783E-2</v>
      </c>
      <c r="BA25" s="77">
        <v>1.5532363827818373E-2</v>
      </c>
      <c r="BB25">
        <v>3.7172147008523145E-3</v>
      </c>
      <c r="BC25">
        <v>-1.9250352545088618E-2</v>
      </c>
      <c r="BD25" s="77">
        <v>3.6726310546005204E-2</v>
      </c>
      <c r="BE25">
        <v>-9.5580338005792249E-3</v>
      </c>
      <c r="BF25">
        <v>-1.2653077660975674E-2</v>
      </c>
      <c r="BG25">
        <v>-1.0999697036566664E-2</v>
      </c>
      <c r="BH25">
        <v>-6.963397836955168E-3</v>
      </c>
      <c r="BI25">
        <v>-3.3968976326002626E-2</v>
      </c>
      <c r="BJ25" s="78">
        <v>-4.3258107227821335E-2</v>
      </c>
      <c r="BK25">
        <v>0</v>
      </c>
      <c r="BL25" s="78">
        <v>-5.3986694632312815E-2</v>
      </c>
      <c r="BM25">
        <v>-1.5708673179071667E-2</v>
      </c>
      <c r="BN25">
        <v>-3.3134920634920628E-2</v>
      </c>
      <c r="BO25">
        <v>-1.7537782774306003E-2</v>
      </c>
      <c r="BP25">
        <v>-6.990876672623012E-3</v>
      </c>
      <c r="BQ25">
        <v>0</v>
      </c>
      <c r="BR25">
        <v>-5.7527068749072463E-3</v>
      </c>
      <c r="BS25">
        <v>7.5757575757575742E-3</v>
      </c>
      <c r="BT25">
        <v>-1.7317256516300436E-2</v>
      </c>
      <c r="BU25" s="77">
        <v>3.8820934001552919E-2</v>
      </c>
      <c r="BV25">
        <v>-1.2482311696878983E-2</v>
      </c>
      <c r="BW25">
        <v>-3.4413259827858621E-3</v>
      </c>
      <c r="BX25" s="78">
        <v>-7.8947368421052627E-2</v>
      </c>
      <c r="BY25">
        <v>-4.8962624498556711E-3</v>
      </c>
      <c r="BZ25">
        <v>-1.8812843377358137E-2</v>
      </c>
      <c r="CA25" s="77">
        <v>2.517235956234528E-2</v>
      </c>
      <c r="CB25">
        <v>-2.3825077674675368E-2</v>
      </c>
      <c r="CC25">
        <v>1.454084580745682E-2</v>
      </c>
      <c r="CD25">
        <v>-4.6844161738778334E-3</v>
      </c>
    </row>
    <row r="26" spans="1:82" x14ac:dyDescent="0.3">
      <c r="A26" s="64" t="s">
        <v>9089</v>
      </c>
      <c r="B26">
        <v>-1.3508654958161292E-2</v>
      </c>
      <c r="C26" s="78">
        <v>-0.16666666666666666</v>
      </c>
      <c r="D26">
        <v>3.8199989951151619E-3</v>
      </c>
      <c r="E26">
        <v>-2.0190011803638854E-2</v>
      </c>
      <c r="F26">
        <v>-3.1168831168831165E-2</v>
      </c>
      <c r="G26">
        <v>0</v>
      </c>
      <c r="H26">
        <v>5.064036872556286E-4</v>
      </c>
      <c r="I26">
        <v>-2.3093772165476666E-2</v>
      </c>
      <c r="J26">
        <v>-3.760682707940459E-4</v>
      </c>
      <c r="K26">
        <v>-1.8290385462190306E-2</v>
      </c>
      <c r="L26">
        <v>-4.6256600881030034E-3</v>
      </c>
      <c r="M26">
        <v>-9.4411343606164745E-3</v>
      </c>
      <c r="N26">
        <v>2.2141255169414891E-3</v>
      </c>
      <c r="O26">
        <v>0</v>
      </c>
      <c r="P26" s="78">
        <v>-3.4090909090909102E-2</v>
      </c>
      <c r="Q26">
        <v>-1.7159598659166924E-2</v>
      </c>
      <c r="R26" s="77">
        <v>2.5320373755918998E-2</v>
      </c>
      <c r="S26">
        <v>-7.4871735887048433E-3</v>
      </c>
      <c r="T26">
        <v>-1.1871418759017344E-2</v>
      </c>
      <c r="U26">
        <v>-2.7217156437968616E-2</v>
      </c>
      <c r="V26">
        <v>-1.4560353247787443E-2</v>
      </c>
      <c r="W26">
        <v>-8.5000800428341918E-4</v>
      </c>
      <c r="X26">
        <v>-4.8327610426806616E-3</v>
      </c>
      <c r="Y26" s="77">
        <v>1.7349821895276441E-2</v>
      </c>
      <c r="Z26" s="78">
        <v>-6.6666666666666666E-2</v>
      </c>
      <c r="AA26">
        <v>-1.398185050374488E-2</v>
      </c>
      <c r="AB26">
        <v>-1.9881552089116218E-2</v>
      </c>
      <c r="AC26">
        <v>-3.5563905921779508E-3</v>
      </c>
      <c r="AD26">
        <v>-6.6391576042261471E-3</v>
      </c>
      <c r="AE26">
        <v>1.5990199414112565E-4</v>
      </c>
      <c r="AF26">
        <v>-2.2613670817034172E-2</v>
      </c>
      <c r="AG26">
        <v>-9.1256078192032391E-3</v>
      </c>
      <c r="AH26">
        <v>5.5359930365165991E-3</v>
      </c>
      <c r="AI26">
        <v>-6.6756373260969505E-3</v>
      </c>
      <c r="AJ26">
        <v>-1.74634460537537E-2</v>
      </c>
      <c r="AK26" s="78">
        <v>-4.0238007684531743E-2</v>
      </c>
      <c r="AL26">
        <v>6.4935064935064983E-3</v>
      </c>
      <c r="AM26">
        <v>-1.4036796685405422E-2</v>
      </c>
      <c r="AN26">
        <v>-3.0310760397845606E-2</v>
      </c>
      <c r="AO26" s="77">
        <v>2.5021893969182352E-2</v>
      </c>
      <c r="AP26">
        <v>-3.8833997979976134E-3</v>
      </c>
      <c r="AQ26">
        <v>-2.0835848779348696E-3</v>
      </c>
      <c r="AR26">
        <v>2.462489303159043E-3</v>
      </c>
      <c r="AS26">
        <v>-2.3499285506097197E-2</v>
      </c>
      <c r="AT26" s="77">
        <v>3.2934213705398174E-2</v>
      </c>
      <c r="AU26">
        <v>-2.4020088597193965E-3</v>
      </c>
      <c r="AV26" s="77">
        <v>1.4906406727433258E-2</v>
      </c>
      <c r="AW26" s="78">
        <v>-4.571438273588746E-2</v>
      </c>
      <c r="AX26">
        <v>-3.8420647454690173E-3</v>
      </c>
      <c r="AY26">
        <v>1.0448972279772773E-2</v>
      </c>
      <c r="AZ26">
        <v>-2.2966219237104627E-2</v>
      </c>
      <c r="BA26" s="77">
        <v>1.4238000175500176E-2</v>
      </c>
      <c r="BB26">
        <v>1.5450162550085813E-3</v>
      </c>
      <c r="BC26">
        <v>-2.5296864172995603E-2</v>
      </c>
      <c r="BD26" s="77">
        <v>3.2397306217000862E-2</v>
      </c>
      <c r="BE26">
        <v>-1.4995145745718697E-2</v>
      </c>
      <c r="BF26">
        <v>-1.543466697012732E-2</v>
      </c>
      <c r="BG26">
        <v>-1.4898977744811314E-2</v>
      </c>
      <c r="BH26">
        <v>-1.1308317623051421E-2</v>
      </c>
      <c r="BI26">
        <v>-3.3803083824343695E-2</v>
      </c>
      <c r="BJ26">
        <v>-2.2965899435613571E-2</v>
      </c>
      <c r="BK26" s="78">
        <v>-5.8823529411764705E-2</v>
      </c>
      <c r="BL26" s="78">
        <v>-4.9995710744450188E-2</v>
      </c>
      <c r="BM26">
        <v>-1.7924582269980761E-2</v>
      </c>
      <c r="BN26">
        <v>-1.8362193362193364E-2</v>
      </c>
      <c r="BO26">
        <v>-1.8240803040949338E-2</v>
      </c>
      <c r="BP26">
        <v>-8.2419192080692184E-3</v>
      </c>
      <c r="BQ26" s="78">
        <v>-0.15662650602409639</v>
      </c>
      <c r="BR26">
        <v>-1.39300038754119E-3</v>
      </c>
      <c r="BS26">
        <v>-1.5151515151515147E-3</v>
      </c>
      <c r="BT26">
        <v>-2.0051116858856424E-2</v>
      </c>
      <c r="BU26" s="77">
        <v>2.843132361194254E-2</v>
      </c>
      <c r="BV26">
        <v>-1.5344021444656981E-2</v>
      </c>
      <c r="BW26">
        <v>-4.1989017403616206E-3</v>
      </c>
      <c r="BX26" s="78">
        <v>-7.8947368421052627E-2</v>
      </c>
      <c r="BY26">
        <v>-4.3205194498702531E-3</v>
      </c>
      <c r="BZ26">
        <v>-2.1636616500662124E-2</v>
      </c>
      <c r="CA26" s="77">
        <v>1.288734727733299E-2</v>
      </c>
      <c r="CB26">
        <v>-2.4712338989744172E-2</v>
      </c>
      <c r="CC26">
        <v>9.4148576651643338E-3</v>
      </c>
      <c r="CD26">
        <v>-9.762020244372914E-3</v>
      </c>
    </row>
    <row r="27" spans="1:82" x14ac:dyDescent="0.3">
      <c r="A27" s="64" t="s">
        <v>9090</v>
      </c>
      <c r="B27">
        <v>-8.2277662575037675E-3</v>
      </c>
      <c r="C27" s="78">
        <v>-0.18181818181818182</v>
      </c>
      <c r="D27">
        <v>3.1490216043948147E-3</v>
      </c>
      <c r="E27">
        <v>-1.5843393124175608E-2</v>
      </c>
      <c r="F27" s="78">
        <v>-3.1168831168831165E-2</v>
      </c>
      <c r="G27">
        <v>0</v>
      </c>
      <c r="H27">
        <v>2.9316002872095039E-3</v>
      </c>
      <c r="I27">
        <v>-2.3234832273678063E-2</v>
      </c>
      <c r="J27">
        <v>1.8019620322362593E-3</v>
      </c>
      <c r="K27">
        <v>-1.1794082382947017E-2</v>
      </c>
      <c r="L27">
        <v>-5.2136249339943255E-3</v>
      </c>
      <c r="M27">
        <v>-7.0203597127291538E-3</v>
      </c>
      <c r="N27">
        <v>2.9356262384422111E-3</v>
      </c>
      <c r="O27">
        <v>0</v>
      </c>
      <c r="P27">
        <v>-2.6515151515151516E-2</v>
      </c>
      <c r="Q27">
        <v>-1.3176000994030389E-2</v>
      </c>
      <c r="R27" s="77">
        <v>3.5445379233124436E-2</v>
      </c>
      <c r="S27">
        <v>-8.0268161009522008E-4</v>
      </c>
      <c r="T27">
        <v>-1.3022166745208362E-2</v>
      </c>
      <c r="U27">
        <v>-1.8757206801548403E-2</v>
      </c>
      <c r="V27">
        <v>-1.659076335593607E-2</v>
      </c>
      <c r="W27">
        <v>-1.6299486062457135E-2</v>
      </c>
      <c r="X27">
        <v>-3.8237307029416671E-3</v>
      </c>
      <c r="Y27" s="77">
        <v>1.9535136580591122E-2</v>
      </c>
      <c r="Z27" s="78">
        <v>-6.25E-2</v>
      </c>
      <c r="AA27">
        <v>-9.9404678883153446E-3</v>
      </c>
      <c r="AB27">
        <v>-1.3561137087121016E-2</v>
      </c>
      <c r="AC27">
        <v>-3.8060078457225195E-3</v>
      </c>
      <c r="AD27">
        <v>6.4921555270869855E-3</v>
      </c>
      <c r="AE27">
        <v>1.0813311085050216E-2</v>
      </c>
      <c r="AF27">
        <v>-2.0993861243975308E-2</v>
      </c>
      <c r="AG27">
        <v>-9.0096994715166932E-3</v>
      </c>
      <c r="AH27">
        <v>4.020841521365082E-3</v>
      </c>
      <c r="AI27">
        <v>-6.7511819468536313E-3</v>
      </c>
      <c r="AJ27">
        <v>-1.3473119254246478E-2</v>
      </c>
      <c r="AK27">
        <v>-2.998845331733032E-2</v>
      </c>
      <c r="AL27">
        <v>6.4935064935064983E-3</v>
      </c>
      <c r="AM27">
        <v>-1.3582219880735508E-2</v>
      </c>
      <c r="AN27">
        <v>-2.8317139983172559E-2</v>
      </c>
      <c r="AO27" s="77">
        <v>2.5999411075731716E-2</v>
      </c>
      <c r="AP27">
        <v>-3.4647596146515471E-3</v>
      </c>
      <c r="AQ27">
        <v>9.179364000921687E-3</v>
      </c>
      <c r="AR27">
        <v>4.8176353989906849E-3</v>
      </c>
      <c r="AS27">
        <v>-2.0983502204353192E-2</v>
      </c>
      <c r="AT27" s="77">
        <v>4.3341737216369976E-2</v>
      </c>
      <c r="AU27">
        <v>-1.5541459729369546E-3</v>
      </c>
      <c r="AV27" s="77">
        <v>1.366420616681382E-2</v>
      </c>
      <c r="AW27" s="78">
        <v>-5.3551373331498738E-2</v>
      </c>
      <c r="AX27">
        <v>-3.7283893581767477E-4</v>
      </c>
      <c r="AY27" s="77">
        <v>1.5884824306533887E-2</v>
      </c>
      <c r="AZ27">
        <v>-2.2470575534507986E-2</v>
      </c>
      <c r="BA27">
        <v>1.3142769392769392E-2</v>
      </c>
      <c r="BB27">
        <v>3.7320449126254764E-3</v>
      </c>
      <c r="BC27">
        <v>-3.0521524570069791E-2</v>
      </c>
      <c r="BD27" s="77">
        <v>2.5293786383015712E-2</v>
      </c>
      <c r="BE27">
        <v>-9.8194014462066031E-3</v>
      </c>
      <c r="BF27">
        <v>-1.3616485151945508E-2</v>
      </c>
      <c r="BG27">
        <v>-1.5600523706313339E-2</v>
      </c>
      <c r="BH27">
        <v>7.0895350045361216E-3</v>
      </c>
      <c r="BI27" s="78">
        <v>-3.3942078098235323E-2</v>
      </c>
      <c r="BJ27">
        <v>-1.8124249857121875E-2</v>
      </c>
      <c r="BK27" s="78">
        <v>-5.8823529411764705E-2</v>
      </c>
      <c r="BL27" s="78">
        <v>-5.1803416244062823E-2</v>
      </c>
      <c r="BM27">
        <v>-2.392401761724219E-2</v>
      </c>
      <c r="BN27">
        <v>-1.0281385281385282E-2</v>
      </c>
      <c r="BO27">
        <v>-1.2611121657410542E-2</v>
      </c>
      <c r="BP27">
        <v>-9.5718156074978567E-3</v>
      </c>
      <c r="BQ27" s="78">
        <v>-0.11360737065910706</v>
      </c>
      <c r="BR27">
        <v>-9.3115524237402762E-3</v>
      </c>
      <c r="BS27">
        <v>-9.0909090909090905E-3</v>
      </c>
      <c r="BT27">
        <v>-1.9155460790786567E-2</v>
      </c>
      <c r="BU27" s="77">
        <v>2.7132622313241237E-2</v>
      </c>
      <c r="BV27">
        <v>-9.9871156503053091E-3</v>
      </c>
      <c r="BW27">
        <v>-2.5407507715001511E-3</v>
      </c>
      <c r="BX27" s="78">
        <v>-7.8947368421052627E-2</v>
      </c>
      <c r="BY27">
        <v>-3.6413855542595758E-3</v>
      </c>
      <c r="BZ27">
        <v>-1.0181039111018796E-2</v>
      </c>
      <c r="CA27">
        <v>3.2454739990960772E-3</v>
      </c>
      <c r="CB27">
        <v>-2.0430133677820782E-2</v>
      </c>
      <c r="CC27" s="77">
        <v>1.8278194591742365E-2</v>
      </c>
      <c r="CD27">
        <v>-8.8198661410749685E-3</v>
      </c>
    </row>
    <row r="28" spans="1:82" x14ac:dyDescent="0.3">
      <c r="A28" s="64" t="s">
        <v>9091</v>
      </c>
      <c r="B28">
        <v>-1.061488043556272E-2</v>
      </c>
      <c r="C28" s="78">
        <v>-0.1</v>
      </c>
      <c r="D28">
        <v>3.391570524175074E-3</v>
      </c>
      <c r="E28">
        <v>-1.3480144233148942E-2</v>
      </c>
      <c r="F28">
        <v>-2.6118326118326117E-2</v>
      </c>
      <c r="G28">
        <v>0</v>
      </c>
      <c r="H28">
        <v>4.2262961573770724E-3</v>
      </c>
      <c r="I28">
        <v>-1.4689735638030247E-2</v>
      </c>
      <c r="J28">
        <v>3.3171135473877757E-3</v>
      </c>
      <c r="K28">
        <v>-1.1219109333131061E-2</v>
      </c>
      <c r="L28">
        <v>-3.8362144656747632E-3</v>
      </c>
      <c r="M28">
        <v>-2.1793226136275438E-3</v>
      </c>
      <c r="N28">
        <v>4.4391800930075479E-3</v>
      </c>
      <c r="O28">
        <v>0</v>
      </c>
      <c r="P28">
        <v>-1.136363636363636E-2</v>
      </c>
      <c r="Q28">
        <v>-1.0084862576005276E-2</v>
      </c>
      <c r="R28" s="77">
        <v>3.0595338102819183E-2</v>
      </c>
      <c r="S28">
        <v>1.6173902411943341E-2</v>
      </c>
      <c r="T28">
        <v>-1.4618487091528716E-2</v>
      </c>
      <c r="U28">
        <v>-1.3870197989852534E-2</v>
      </c>
      <c r="V28">
        <v>-1.7681375624723134E-2</v>
      </c>
      <c r="W28">
        <v>-3.8684926936268971E-3</v>
      </c>
      <c r="X28">
        <v>-5.3154568699925082E-3</v>
      </c>
      <c r="Y28">
        <v>1.0356814902269446E-2</v>
      </c>
      <c r="Z28" s="78">
        <v>-0.11764705882352941</v>
      </c>
      <c r="AA28">
        <v>-1.1306836990155392E-2</v>
      </c>
      <c r="AB28">
        <v>-9.0007744243487137E-3</v>
      </c>
      <c r="AC28">
        <v>-6.4103777247705111E-3</v>
      </c>
      <c r="AD28">
        <v>7.962318450060098E-3</v>
      </c>
      <c r="AE28">
        <v>6.2678565395956724E-3</v>
      </c>
      <c r="AF28">
        <v>-1.9874185577419282E-2</v>
      </c>
      <c r="AG28">
        <v>-7.2159597816000669E-3</v>
      </c>
      <c r="AH28">
        <v>2.016179516703076E-3</v>
      </c>
      <c r="AI28">
        <v>-6.0964420766712792E-3</v>
      </c>
      <c r="AJ28">
        <v>-1.02674641498572E-2</v>
      </c>
      <c r="AK28">
        <v>-2.4937948266825275E-2</v>
      </c>
      <c r="AL28">
        <v>6.4935064935064983E-3</v>
      </c>
      <c r="AM28">
        <v>-1.0296545097476184E-2</v>
      </c>
      <c r="AN28">
        <v>-2.2838243879276455E-2</v>
      </c>
      <c r="AO28" s="77">
        <v>2.2632407708728344E-2</v>
      </c>
      <c r="AP28">
        <v>-1.8691483293850888E-3</v>
      </c>
      <c r="AQ28">
        <v>9.1904821123251629E-3</v>
      </c>
      <c r="AR28">
        <v>-2.9369288773127273E-3</v>
      </c>
      <c r="AS28">
        <v>-1.5869865840716826E-2</v>
      </c>
      <c r="AT28" s="77">
        <v>4.1427432882710787E-2</v>
      </c>
      <c r="AU28">
        <v>-1.4244307269426423E-3</v>
      </c>
      <c r="AV28">
        <v>1.4309945963936742E-2</v>
      </c>
      <c r="AW28" s="78">
        <v>-4.3811113591239015E-2</v>
      </c>
      <c r="AX28">
        <v>6.828863846135275E-4</v>
      </c>
      <c r="AY28" s="77">
        <v>1.64990749207845E-2</v>
      </c>
      <c r="AZ28">
        <v>-2.2804800133438465E-2</v>
      </c>
      <c r="BA28" s="77">
        <v>2.4108762055190625E-2</v>
      </c>
      <c r="BB28">
        <v>5.3955169827240544E-3</v>
      </c>
      <c r="BC28" s="78">
        <v>-3.0999993469591317E-2</v>
      </c>
      <c r="BD28" s="77">
        <v>2.5293786383015712E-2</v>
      </c>
      <c r="BE28">
        <v>-7.4886404197934001E-3</v>
      </c>
      <c r="BF28">
        <v>-9.3695826291809101E-3</v>
      </c>
      <c r="BG28">
        <v>-1.5511751174641103E-2</v>
      </c>
      <c r="BH28" s="77">
        <v>1.653587813508978E-2</v>
      </c>
      <c r="BI28" s="78">
        <v>-3.3479002913119595E-2</v>
      </c>
      <c r="BJ28">
        <v>-9.1988123602558102E-3</v>
      </c>
      <c r="BK28" s="78">
        <v>-5.8823529411764705E-2</v>
      </c>
      <c r="BL28" s="78">
        <v>-4.780650657231926E-2</v>
      </c>
      <c r="BM28">
        <v>-2.3657890301934548E-2</v>
      </c>
      <c r="BN28">
        <v>-2.1645021645021637E-2</v>
      </c>
      <c r="BO28">
        <v>-1.1710327253309788E-2</v>
      </c>
      <c r="BP28">
        <v>-7.6445556753118142E-3</v>
      </c>
      <c r="BQ28" s="78">
        <v>-4.5126002208112158E-2</v>
      </c>
      <c r="BR28">
        <v>-8.2004413126291684E-3</v>
      </c>
      <c r="BS28">
        <v>0</v>
      </c>
      <c r="BT28">
        <v>-1.7980576353190267E-2</v>
      </c>
      <c r="BU28" s="77">
        <v>2.0670946733918592E-2</v>
      </c>
      <c r="BV28">
        <v>-8.2905458941536208E-3</v>
      </c>
      <c r="BW28">
        <v>-1.7818574908677394E-3</v>
      </c>
      <c r="BX28" s="78">
        <v>-7.8947368421052627E-2</v>
      </c>
      <c r="BY28">
        <v>-3.8688857817598022E-3</v>
      </c>
      <c r="BZ28">
        <v>-2.1433082885406171E-2</v>
      </c>
      <c r="CA28">
        <v>-1.5812723059211708E-4</v>
      </c>
      <c r="CB28">
        <v>-2.4543919864875589E-2</v>
      </c>
      <c r="CC28" s="77">
        <v>1.7540296126571167E-2</v>
      </c>
      <c r="CD28">
        <v>-8.3507637884109674E-3</v>
      </c>
    </row>
    <row r="29" spans="1:82" x14ac:dyDescent="0.3">
      <c r="A29" s="64" t="s">
        <v>9092</v>
      </c>
      <c r="B29">
        <v>-1.4396549181565266E-2</v>
      </c>
      <c r="C29" s="78">
        <v>-0.1</v>
      </c>
      <c r="D29">
        <v>4.741782963311107E-3</v>
      </c>
      <c r="E29">
        <v>-9.3067753289157434E-3</v>
      </c>
      <c r="F29">
        <v>-3.1168831168831165E-2</v>
      </c>
      <c r="G29">
        <v>0</v>
      </c>
      <c r="H29">
        <v>4.6591965902775057E-3</v>
      </c>
      <c r="I29">
        <v>-1.4546181230909947E-2</v>
      </c>
      <c r="J29">
        <v>6.2123866722945823E-3</v>
      </c>
      <c r="K29">
        <v>-5.114207238723717E-3</v>
      </c>
      <c r="L29">
        <v>-2.4463762337312662E-3</v>
      </c>
      <c r="M29">
        <v>-2.9530170043432125E-3</v>
      </c>
      <c r="N29">
        <v>2.9472633468535137E-3</v>
      </c>
      <c r="O29">
        <v>0</v>
      </c>
      <c r="P29">
        <v>0</v>
      </c>
      <c r="Q29">
        <v>-8.1490331016369228E-3</v>
      </c>
      <c r="R29" s="77">
        <v>3.6376884380233239E-2</v>
      </c>
      <c r="S29">
        <v>-1.6832404451995137E-3</v>
      </c>
      <c r="T29">
        <v>-1.5727134541639577E-2</v>
      </c>
      <c r="U29">
        <v>-9.0604946232371991E-4</v>
      </c>
      <c r="V29">
        <v>-1.6146546817167051E-2</v>
      </c>
      <c r="W29">
        <v>-5.8167054018816869E-3</v>
      </c>
      <c r="X29">
        <v>-9.8190589235038137E-3</v>
      </c>
      <c r="Y29">
        <v>1.4144693690148232E-2</v>
      </c>
      <c r="Z29" s="78">
        <v>-0.1111111111111111</v>
      </c>
      <c r="AA29">
        <v>-8.7667300382837272E-3</v>
      </c>
      <c r="AB29">
        <v>-1.2415511089020009E-2</v>
      </c>
      <c r="AC29">
        <v>-1.6876382308422148E-2</v>
      </c>
      <c r="AD29">
        <v>1.2665671268712247E-2</v>
      </c>
      <c r="AE29">
        <v>3.4706537423928696E-3</v>
      </c>
      <c r="AF29">
        <v>-2.0159492892322425E-2</v>
      </c>
      <c r="AG29">
        <v>-1.9471960858700732E-3</v>
      </c>
      <c r="AH29">
        <v>5.4523666644988686E-4</v>
      </c>
      <c r="AI29">
        <v>-3.212558446716272E-3</v>
      </c>
      <c r="AJ29">
        <v>-1.0069640272305894E-2</v>
      </c>
      <c r="AK29">
        <v>-2.4937948266825275E-2</v>
      </c>
      <c r="AL29" s="78">
        <v>-8.4415584415584388E-2</v>
      </c>
      <c r="AM29">
        <v>-1.1945756463864509E-2</v>
      </c>
      <c r="AN29">
        <v>-1.0767731808764383E-2</v>
      </c>
      <c r="AO29" s="77">
        <v>3.7431562042766403E-2</v>
      </c>
      <c r="AP29">
        <v>-2.9428777495712028E-3</v>
      </c>
      <c r="AQ29">
        <v>1.2192197378191378E-2</v>
      </c>
      <c r="AR29">
        <v>-1.4427044573312774E-3</v>
      </c>
      <c r="AS29">
        <v>-1.7553367524218513E-2</v>
      </c>
      <c r="AT29" s="77">
        <v>3.3590442287099502E-2</v>
      </c>
      <c r="AU29">
        <v>-6.5638157179670953E-4</v>
      </c>
      <c r="AV29">
        <v>1.2762596882479075E-2</v>
      </c>
      <c r="AW29" s="78">
        <v>-5.6798126578252006E-2</v>
      </c>
      <c r="AX29">
        <v>3.4618604791319192E-4</v>
      </c>
      <c r="AY29" s="77">
        <v>1.6612711284420861E-2</v>
      </c>
      <c r="AZ29">
        <v>-2.2443771005943206E-2</v>
      </c>
      <c r="BA29" s="77">
        <v>2.2501511251511248E-2</v>
      </c>
      <c r="BB29">
        <v>9.7985610547942845E-4</v>
      </c>
      <c r="BC29">
        <v>-3.2190469660067507E-2</v>
      </c>
      <c r="BD29" s="77">
        <v>1.7244410016807668E-2</v>
      </c>
      <c r="BE29">
        <v>-9.3033945805886167E-3</v>
      </c>
      <c r="BF29">
        <v>-8.5393626208787096E-3</v>
      </c>
      <c r="BG29">
        <v>-1.1696568840143813E-2</v>
      </c>
      <c r="BH29" s="77">
        <v>2.0338647846950404E-2</v>
      </c>
      <c r="BI29" s="78">
        <v>-3.366215309626977E-2</v>
      </c>
      <c r="BJ29" s="77">
        <v>1.8773215611772164E-2</v>
      </c>
      <c r="BK29" s="78">
        <v>-5.8823529411764705E-2</v>
      </c>
      <c r="BL29" s="78">
        <v>-6.6187733247562969E-2</v>
      </c>
      <c r="BM29">
        <v>-2.5567745152965872E-2</v>
      </c>
      <c r="BN29">
        <v>-2.0508658008658011E-2</v>
      </c>
      <c r="BO29">
        <v>-1.0929638769755803E-2</v>
      </c>
      <c r="BP29">
        <v>-4.8036465844027198E-3</v>
      </c>
      <c r="BQ29">
        <v>-3.1440655502237957E-2</v>
      </c>
      <c r="BR29">
        <v>8.6728369242854344E-3</v>
      </c>
      <c r="BS29">
        <v>-1.2499999999999995E-2</v>
      </c>
      <c r="BT29">
        <v>-1.5781162863454202E-2</v>
      </c>
      <c r="BU29" s="77">
        <v>4.6153040397830435E-2</v>
      </c>
      <c r="BV29">
        <v>-9.9752813989364714E-3</v>
      </c>
      <c r="BW29">
        <v>-2.1020419170972473E-3</v>
      </c>
      <c r="BX29" s="78">
        <v>-7.8947368421052627E-2</v>
      </c>
      <c r="BY29">
        <v>-1.2650230206441501E-3</v>
      </c>
      <c r="BZ29" s="78">
        <v>-3.9703644810790424E-2</v>
      </c>
      <c r="CA29">
        <v>1.5414263341798457E-2</v>
      </c>
      <c r="CB29">
        <v>-2.2201999490168337E-2</v>
      </c>
      <c r="CC29">
        <v>1.6162885658251608E-2</v>
      </c>
      <c r="CD29">
        <v>-4.4611398987870797E-3</v>
      </c>
    </row>
    <row r="30" spans="1:82" x14ac:dyDescent="0.3">
      <c r="A30" s="64" t="s">
        <v>9093</v>
      </c>
      <c r="B30">
        <v>-1.6965572629416944E-2</v>
      </c>
      <c r="C30" s="78">
        <v>-0.1111111111111111</v>
      </c>
      <c r="D30">
        <v>3.7989746467969655E-3</v>
      </c>
      <c r="E30">
        <v>-8.4950870172274297E-3</v>
      </c>
      <c r="F30">
        <v>-3.1168831168831165E-2</v>
      </c>
      <c r="G30">
        <v>0</v>
      </c>
      <c r="H30">
        <v>2.9527508620926456E-3</v>
      </c>
      <c r="I30">
        <v>-1.7423469232164892E-2</v>
      </c>
      <c r="J30">
        <v>1.8211840052298422E-3</v>
      </c>
      <c r="K30">
        <v>-9.0425389562268851E-3</v>
      </c>
      <c r="L30">
        <v>-3.3430985590250208E-3</v>
      </c>
      <c r="M30">
        <v>-3.407145995096851E-4</v>
      </c>
      <c r="N30">
        <v>1.3798652277312549E-3</v>
      </c>
      <c r="O30">
        <v>0</v>
      </c>
      <c r="P30">
        <v>0</v>
      </c>
      <c r="Q30">
        <v>-8.0963103480028199E-3</v>
      </c>
      <c r="R30" s="77">
        <v>3.5587071356377648E-2</v>
      </c>
      <c r="S30">
        <v>-3.3993584057287929E-3</v>
      </c>
      <c r="T30">
        <v>-1.72142276953994E-2</v>
      </c>
      <c r="U30">
        <v>-3.3084857357277386E-3</v>
      </c>
      <c r="V30">
        <v>-1.5951840962083835E-2</v>
      </c>
      <c r="W30">
        <v>-8.3047950656488993E-4</v>
      </c>
      <c r="X30">
        <v>-8.4319117027185156E-3</v>
      </c>
      <c r="Y30" s="77">
        <v>1.982651187196641E-2</v>
      </c>
      <c r="Z30" s="78">
        <v>-0.10526315789473684</v>
      </c>
      <c r="AA30">
        <v>-1.1294342612625281E-2</v>
      </c>
      <c r="AB30">
        <v>-1.3309630146625263E-2</v>
      </c>
      <c r="AC30">
        <v>-3.1429023343276623E-2</v>
      </c>
      <c r="AD30">
        <v>9.1303177333587077E-3</v>
      </c>
      <c r="AE30">
        <v>-2.5899523182131884E-3</v>
      </c>
      <c r="AF30">
        <v>-2.0738173772315096E-2</v>
      </c>
      <c r="AG30">
        <v>-3.5050993654376287E-3</v>
      </c>
      <c r="AH30">
        <v>-3.5253196429123963E-3</v>
      </c>
      <c r="AI30">
        <v>-3.5521878131151486E-3</v>
      </c>
      <c r="AJ30">
        <v>-9.5957524182263484E-3</v>
      </c>
      <c r="AK30">
        <v>-2.9955657829989376E-2</v>
      </c>
      <c r="AL30" s="78">
        <v>-8.4415584415584388E-2</v>
      </c>
      <c r="AM30">
        <v>-1.2428014791311117E-2</v>
      </c>
      <c r="AN30">
        <v>-2.2275733788635694E-2</v>
      </c>
      <c r="AO30" s="77">
        <v>4.2716974304922849E-2</v>
      </c>
      <c r="AP30">
        <v>-3.985308101477362E-3</v>
      </c>
      <c r="AQ30" s="77">
        <v>1.5514609854878948E-2</v>
      </c>
      <c r="AR30">
        <v>-4.7033244343691674E-3</v>
      </c>
      <c r="AS30">
        <v>-2.4464077679203479E-2</v>
      </c>
      <c r="AT30" s="77">
        <v>3.4889143585800801E-2</v>
      </c>
      <c r="AU30">
        <v>-3.0253481101443578E-3</v>
      </c>
      <c r="AV30">
        <v>7.4004788948250893E-3</v>
      </c>
      <c r="AW30" s="78">
        <v>-6.4819516952583547E-2</v>
      </c>
      <c r="AX30">
        <v>-6.8630907435205876E-4</v>
      </c>
      <c r="AY30" s="77">
        <v>1.6051544056586969E-2</v>
      </c>
      <c r="AZ30">
        <v>-2.4351324526105136E-2</v>
      </c>
      <c r="BA30" s="77">
        <v>2.1095166798291796E-2</v>
      </c>
      <c r="BB30">
        <v>-2.9007330023824041E-3</v>
      </c>
      <c r="BC30">
        <v>-3.0683486077612232E-2</v>
      </c>
      <c r="BD30">
        <v>1.2049604822002468E-2</v>
      </c>
      <c r="BE30">
        <v>-1.0779632453020077E-2</v>
      </c>
      <c r="BF30">
        <v>-1.0110505177463593E-2</v>
      </c>
      <c r="BG30">
        <v>-1.5408081861623983E-2</v>
      </c>
      <c r="BH30" s="77">
        <v>1.8511470695097929E-2</v>
      </c>
      <c r="BI30" s="78">
        <v>-3.3650636286333996E-2</v>
      </c>
      <c r="BJ30">
        <v>1.1541810653094469E-2</v>
      </c>
      <c r="BK30" s="78">
        <v>-5.8823529411764705E-2</v>
      </c>
      <c r="BL30" s="78">
        <v>-6.0214213352390585E-2</v>
      </c>
      <c r="BM30">
        <v>-2.5452995038215763E-2</v>
      </c>
      <c r="BN30">
        <v>-2.6190476190476188E-2</v>
      </c>
      <c r="BO30">
        <v>-1.0956763619373339E-2</v>
      </c>
      <c r="BP30">
        <v>-3.3924885194436889E-3</v>
      </c>
      <c r="BQ30">
        <v>-3.1468313875474586E-2</v>
      </c>
      <c r="BR30">
        <v>2.1235217298741851E-3</v>
      </c>
      <c r="BS30">
        <v>-2.3684210526315794E-2</v>
      </c>
      <c r="BT30">
        <v>-1.7633829970358592E-2</v>
      </c>
      <c r="BU30" s="77">
        <v>4.3558860384295579E-2</v>
      </c>
      <c r="BV30">
        <v>-1.234192116387986E-2</v>
      </c>
      <c r="BW30">
        <v>-2.841140217171158E-3</v>
      </c>
      <c r="BX30" s="78">
        <v>-7.8947368421052627E-2</v>
      </c>
      <c r="BY30">
        <v>4.3700385830161369E-4</v>
      </c>
      <c r="BZ30" s="78">
        <v>-4.7432757803061311E-2</v>
      </c>
      <c r="CA30">
        <v>5.9445663721014895E-3</v>
      </c>
      <c r="CB30">
        <v>-2.5588376106128043E-2</v>
      </c>
      <c r="CC30">
        <v>4.0416735370394866E-3</v>
      </c>
      <c r="CD30">
        <v>-1.4338476115603878E-2</v>
      </c>
    </row>
    <row r="31" spans="1:82" x14ac:dyDescent="0.3">
      <c r="A31" s="64" t="s">
        <v>9094</v>
      </c>
      <c r="B31">
        <v>-1.7564739270738147E-2</v>
      </c>
      <c r="C31" s="78">
        <v>-0.125</v>
      </c>
      <c r="D31">
        <v>4.5027378780212362E-3</v>
      </c>
      <c r="E31">
        <v>-1.1692074259903689E-2</v>
      </c>
      <c r="F31">
        <v>-3.6219336219336221E-2</v>
      </c>
      <c r="G31">
        <v>0</v>
      </c>
      <c r="H31">
        <v>1.6288320624456892E-3</v>
      </c>
      <c r="I31">
        <v>-1.8569382142783683E-2</v>
      </c>
      <c r="J31">
        <v>1.8211840052298422E-3</v>
      </c>
      <c r="K31">
        <v>-3.7324890631406414E-3</v>
      </c>
      <c r="L31">
        <v>-5.5633782793047433E-3</v>
      </c>
      <c r="M31">
        <v>-4.3916879811704166E-3</v>
      </c>
      <c r="N31">
        <v>1.3798652277312549E-3</v>
      </c>
      <c r="O31">
        <v>0</v>
      </c>
      <c r="P31">
        <v>0</v>
      </c>
      <c r="Q31">
        <v>-9.2247550740085279E-3</v>
      </c>
      <c r="R31" s="77">
        <v>2.9172929942236237E-2</v>
      </c>
      <c r="S31">
        <v>-4.6017700030733183E-3</v>
      </c>
      <c r="T31">
        <v>-1.6036790674588883E-2</v>
      </c>
      <c r="U31">
        <v>-4.944062435243062E-3</v>
      </c>
      <c r="V31">
        <v>-1.6052489538036632E-2</v>
      </c>
      <c r="W31">
        <v>-3.0112154373008234E-3</v>
      </c>
      <c r="X31">
        <v>-1.0642506575496934E-2</v>
      </c>
      <c r="Y31" s="77">
        <v>2.740226944772399E-2</v>
      </c>
      <c r="Z31" s="78">
        <v>-0.10526315789473684</v>
      </c>
      <c r="AA31">
        <v>-1.4968467485126856E-2</v>
      </c>
      <c r="AB31">
        <v>-7.9862632992283005E-3</v>
      </c>
      <c r="AC31">
        <v>-3.8413919325037807E-2</v>
      </c>
      <c r="AD31" s="77">
        <v>8.1833480363890151E-3</v>
      </c>
      <c r="AE31">
        <v>-4.2133289415898136E-3</v>
      </c>
      <c r="AF31">
        <v>-2.2745362325925885E-2</v>
      </c>
      <c r="AG31">
        <v>-7.1938407101746257E-3</v>
      </c>
      <c r="AH31">
        <v>-3.8164078650351012E-3</v>
      </c>
      <c r="AI31">
        <v>-3.4812758857289574E-3</v>
      </c>
      <c r="AJ31">
        <v>-1.1240795330771106E-2</v>
      </c>
      <c r="AK31">
        <v>-3.408788923494805E-2</v>
      </c>
      <c r="AL31" s="78">
        <v>-8.4415584415584388E-2</v>
      </c>
      <c r="AM31">
        <v>-1.2916420465310953E-2</v>
      </c>
      <c r="AN31">
        <v>-2.5058665142995616E-2</v>
      </c>
      <c r="AO31" s="77">
        <v>3.3068315753442983E-2</v>
      </c>
      <c r="AP31">
        <v>-5.0458395424569612E-3</v>
      </c>
      <c r="AQ31" s="77">
        <v>1.8500331137326301E-2</v>
      </c>
      <c r="AR31">
        <v>-1.5996979011605836E-2</v>
      </c>
      <c r="AS31">
        <v>-2.8351381133800892E-2</v>
      </c>
      <c r="AT31" s="77">
        <v>1.6812059379684337E-2</v>
      </c>
      <c r="AU31">
        <v>-4.1399442886230165E-3</v>
      </c>
      <c r="AV31">
        <v>4.1394415012119511E-3</v>
      </c>
      <c r="AW31" s="78">
        <v>-5.8521240066071373E-2</v>
      </c>
      <c r="AX31">
        <v>-1.7193669255917213E-3</v>
      </c>
      <c r="AY31">
        <v>4.7438861972049712E-3</v>
      </c>
      <c r="AZ31">
        <v>-2.6115287687127123E-2</v>
      </c>
      <c r="BA31" s="77">
        <v>1.9854274633686397E-2</v>
      </c>
      <c r="BB31">
        <v>-1.8052837362014353E-3</v>
      </c>
      <c r="BC31">
        <v>-3.0837549868039649E-2</v>
      </c>
      <c r="BD31">
        <v>-1.0618941102357409E-2</v>
      </c>
      <c r="BE31">
        <v>-1.1811274671712663E-2</v>
      </c>
      <c r="BF31">
        <v>-8.1165511024701049E-3</v>
      </c>
      <c r="BG31">
        <v>-1.3253879197837083E-2</v>
      </c>
      <c r="BH31" s="77">
        <v>1.3057375062872656E-2</v>
      </c>
      <c r="BI31">
        <v>-3.079919885396638E-2</v>
      </c>
      <c r="BJ31">
        <v>-6.489814612769843E-5</v>
      </c>
      <c r="BK31" s="78">
        <v>-8.8235294117647065E-2</v>
      </c>
      <c r="BL31" s="78">
        <v>-5.7276691688211444E-2</v>
      </c>
      <c r="BM31">
        <v>-2.1613125757170004E-2</v>
      </c>
      <c r="BN31">
        <v>-2.8132978132978128E-2</v>
      </c>
      <c r="BO31">
        <v>-9.6437989144904143E-3</v>
      </c>
      <c r="BP31">
        <v>-5.0917238635388475E-3</v>
      </c>
      <c r="BQ31" s="78">
        <v>-4.0407992059349397E-2</v>
      </c>
      <c r="BR31">
        <v>4.3318397276658586E-3</v>
      </c>
      <c r="BS31">
        <v>-1.111111111111111E-2</v>
      </c>
      <c r="BT31">
        <v>-1.8986643823172444E-2</v>
      </c>
      <c r="BU31" s="77">
        <v>2.4963819061981533E-2</v>
      </c>
      <c r="BV31">
        <v>-1.4943222667517421E-2</v>
      </c>
      <c r="BW31">
        <v>-5.6663150423459851E-3</v>
      </c>
      <c r="BX31" s="78">
        <v>-7.8947368421052627E-2</v>
      </c>
      <c r="BY31">
        <v>-2.365649366854212E-3</v>
      </c>
      <c r="BZ31" s="78">
        <v>-5.8619298535056583E-2</v>
      </c>
      <c r="CA31">
        <v>-2.7832649363749846E-3</v>
      </c>
      <c r="CB31">
        <v>-2.8280039281662183E-2</v>
      </c>
      <c r="CC31">
        <v>7.1764697752840058E-3</v>
      </c>
      <c r="CD31">
        <v>-1.3767097366475767E-2</v>
      </c>
    </row>
    <row r="32" spans="1:82" x14ac:dyDescent="0.3">
      <c r="A32" s="64" t="s">
        <v>9095</v>
      </c>
      <c r="B32">
        <v>-1.6523482635072195E-2</v>
      </c>
      <c r="C32" s="78">
        <v>-0.14285714285714285</v>
      </c>
      <c r="D32">
        <v>7.9536801211478353E-4</v>
      </c>
      <c r="E32">
        <v>-8.4455996446240935E-3</v>
      </c>
      <c r="F32" s="78">
        <v>-4.1269841269841269E-2</v>
      </c>
      <c r="G32">
        <v>0</v>
      </c>
      <c r="H32">
        <v>4.1114537109064658E-3</v>
      </c>
      <c r="I32">
        <v>-1.3254132875921516E-2</v>
      </c>
      <c r="J32">
        <v>3.949611133656974E-3</v>
      </c>
      <c r="K32">
        <v>-4.5342046435508897E-3</v>
      </c>
      <c r="L32">
        <v>-1.4573832642188153E-3</v>
      </c>
      <c r="M32">
        <v>-3.5128394076637537E-4</v>
      </c>
      <c r="N32">
        <v>2.8465224320933778E-3</v>
      </c>
      <c r="O32">
        <v>0</v>
      </c>
      <c r="P32">
        <v>0</v>
      </c>
      <c r="Q32">
        <v>-7.7496390188358513E-3</v>
      </c>
      <c r="R32" s="77">
        <v>3.2975899880664343E-2</v>
      </c>
      <c r="S32">
        <v>-1.5517896803657371E-3</v>
      </c>
      <c r="T32">
        <v>-1.9916743395694794E-2</v>
      </c>
      <c r="U32">
        <v>-2.3406291921678059E-3</v>
      </c>
      <c r="V32">
        <v>-1.0391838914150716E-2</v>
      </c>
      <c r="W32">
        <v>-3.5992527182332635E-3</v>
      </c>
      <c r="X32">
        <v>-4.6812843711654126E-3</v>
      </c>
      <c r="Y32" s="77">
        <v>2.0908762954217498E-2</v>
      </c>
      <c r="Z32" s="78">
        <v>-0.10526315789473684</v>
      </c>
      <c r="AA32">
        <v>-1.5437346804228737E-2</v>
      </c>
      <c r="AB32">
        <v>-4.4581943861638339E-3</v>
      </c>
      <c r="AC32">
        <v>-2.4089876349180406E-2</v>
      </c>
      <c r="AD32">
        <v>9.8562007730715346E-3</v>
      </c>
      <c r="AE32">
        <v>-6.0693895476504134E-3</v>
      </c>
      <c r="AF32">
        <v>-1.5370312753866506E-2</v>
      </c>
      <c r="AG32">
        <v>-4.7535351040836008E-3</v>
      </c>
      <c r="AH32">
        <v>-5.9385824236887893E-3</v>
      </c>
      <c r="AI32">
        <v>-2.6343746252247544E-3</v>
      </c>
      <c r="AJ32">
        <v>-1.0929507872148221E-2</v>
      </c>
      <c r="AK32">
        <v>-2.8648883795942624E-2</v>
      </c>
      <c r="AL32" s="78">
        <v>-9.1991341991341971E-2</v>
      </c>
      <c r="AM32">
        <v>-9.9530650351623492E-3</v>
      </c>
      <c r="AN32">
        <v>-1.8937182459012939E-2</v>
      </c>
      <c r="AO32" s="77">
        <v>3.6856194541321767E-2</v>
      </c>
      <c r="AP32">
        <v>-7.9641249891227513E-4</v>
      </c>
      <c r="AQ32" s="77">
        <v>1.1546583130946709E-2</v>
      </c>
      <c r="AR32">
        <v>-1.8169090355822409E-2</v>
      </c>
      <c r="AS32">
        <v>-2.5215821676215788E-2</v>
      </c>
      <c r="AT32" s="77">
        <v>1.3024180591805552E-2</v>
      </c>
      <c r="AU32">
        <v>-1.1482337359619912E-4</v>
      </c>
      <c r="AV32">
        <v>5.5413583524364244E-3</v>
      </c>
      <c r="AW32" s="78">
        <v>-6.2994544539375835E-2</v>
      </c>
      <c r="AX32">
        <v>1.6179998724878226E-3</v>
      </c>
      <c r="AY32">
        <v>-3.3362100049773215E-3</v>
      </c>
      <c r="AZ32">
        <v>-2.4063001296163379E-2</v>
      </c>
      <c r="BA32" s="77">
        <v>1.8751259376259374E-2</v>
      </c>
      <c r="BB32">
        <v>-2.8949921902509698E-3</v>
      </c>
      <c r="BC32">
        <v>-2.6931996389566216E-2</v>
      </c>
      <c r="BD32">
        <v>-1.5587228628784477E-2</v>
      </c>
      <c r="BE32">
        <v>-8.1539946986432157E-3</v>
      </c>
      <c r="BF32">
        <v>-4.3481258373463819E-3</v>
      </c>
      <c r="BG32">
        <v>-9.2901958223889983E-3</v>
      </c>
      <c r="BH32" s="77">
        <v>1.9949972535180275E-2</v>
      </c>
      <c r="BI32">
        <v>-3.0412264999290593E-2</v>
      </c>
      <c r="BJ32">
        <v>7.6392621004054331E-3</v>
      </c>
      <c r="BK32" s="78">
        <v>-8.8235294117647065E-2</v>
      </c>
      <c r="BL32" s="78">
        <v>-5.4765777553718462E-2</v>
      </c>
      <c r="BM32">
        <v>-1.7726167644859778E-2</v>
      </c>
      <c r="BN32">
        <v>-4.0807803307803307E-2</v>
      </c>
      <c r="BO32">
        <v>-6.6111534067565501E-3</v>
      </c>
      <c r="BP32">
        <v>-4.6317671535821281E-3</v>
      </c>
      <c r="BQ32">
        <v>-3.021715961493571E-2</v>
      </c>
      <c r="BR32" s="77">
        <v>1.4993271319330016E-2</v>
      </c>
      <c r="BS32">
        <v>7.8431372549019659E-3</v>
      </c>
      <c r="BT32">
        <v>-1.9609042391655732E-2</v>
      </c>
      <c r="BU32" s="77">
        <v>1.5813395017940476E-2</v>
      </c>
      <c r="BV32">
        <v>-1.6150989698069256E-2</v>
      </c>
      <c r="BW32">
        <v>-2.4199678935598098E-3</v>
      </c>
      <c r="BX32" s="78">
        <v>-7.4999999999999997E-2</v>
      </c>
      <c r="BY32">
        <v>-1.2363003208384989E-3</v>
      </c>
      <c r="BZ32" s="78">
        <v>-4.2645272561030609E-2</v>
      </c>
      <c r="CA32">
        <v>7.1323856012850851E-4</v>
      </c>
      <c r="CB32">
        <v>-2.2167471253547701E-2</v>
      </c>
      <c r="CC32">
        <v>4.3284406114653647E-3</v>
      </c>
      <c r="CD32">
        <v>-1.3207948024056464E-2</v>
      </c>
    </row>
    <row r="33" spans="1:82" x14ac:dyDescent="0.3">
      <c r="A33" s="64" t="s">
        <v>9096</v>
      </c>
      <c r="B33">
        <v>-8.8507029651743677E-3</v>
      </c>
      <c r="C33" s="78">
        <v>-0.16666666666666666</v>
      </c>
      <c r="D33">
        <v>1.1971856214294684E-2</v>
      </c>
      <c r="E33">
        <v>-1.7729617122116226E-2</v>
      </c>
      <c r="F33">
        <v>-3.6724386724386722E-2</v>
      </c>
      <c r="G33">
        <v>0</v>
      </c>
      <c r="H33">
        <v>6.5769585907039596E-3</v>
      </c>
      <c r="I33">
        <v>-8.1661196007214096E-3</v>
      </c>
      <c r="J33">
        <v>6.9077640918099262E-3</v>
      </c>
      <c r="K33">
        <v>-4.3706797984973868E-3</v>
      </c>
      <c r="L33">
        <v>2.7123206477531314E-3</v>
      </c>
      <c r="M33">
        <v>7.8104814322975356E-3</v>
      </c>
      <c r="N33">
        <v>2.1250217105926563E-3</v>
      </c>
      <c r="O33">
        <v>0</v>
      </c>
      <c r="P33">
        <v>0</v>
      </c>
      <c r="Q33">
        <v>-8.1649937451706862E-3</v>
      </c>
      <c r="R33" s="77">
        <v>3.3118635448213279E-2</v>
      </c>
      <c r="S33">
        <v>-2.3193148381347867E-3</v>
      </c>
      <c r="T33">
        <v>-1.4522208155653936E-2</v>
      </c>
      <c r="U33">
        <v>2.1299002783616615E-3</v>
      </c>
      <c r="V33">
        <v>-9.4827480050598042E-3</v>
      </c>
      <c r="W33">
        <v>1.2058997496993885E-2</v>
      </c>
      <c r="X33">
        <v>-2.2327246100664186E-3</v>
      </c>
      <c r="Y33" s="78">
        <v>-4.2727600682146143E-2</v>
      </c>
      <c r="Z33" s="78">
        <v>-0.10526315789473684</v>
      </c>
      <c r="AA33">
        <v>-1.5231583518141202E-2</v>
      </c>
      <c r="AB33">
        <v>-6.0802392813834654E-3</v>
      </c>
      <c r="AC33">
        <v>-2.2680531504081374E-2</v>
      </c>
      <c r="AD33" s="77">
        <v>2.4598215515086282E-2</v>
      </c>
      <c r="AE33">
        <v>-1.0828282828282828E-2</v>
      </c>
      <c r="AF33">
        <v>-2.0259326179465301E-2</v>
      </c>
      <c r="AG33">
        <v>7.687051363984565E-3</v>
      </c>
      <c r="AH33">
        <v>-4.0862563460105986E-3</v>
      </c>
      <c r="AI33">
        <v>-1.635750677139342E-3</v>
      </c>
      <c r="AJ33">
        <v>-4.9811908858707369E-3</v>
      </c>
      <c r="AK33">
        <v>-1.4225806872865702E-2</v>
      </c>
      <c r="AL33" s="78">
        <v>-0.16017316017316016</v>
      </c>
      <c r="AM33">
        <v>-7.4278125099098225E-3</v>
      </c>
      <c r="AN33">
        <v>-2.2433685955516435E-2</v>
      </c>
      <c r="AO33" s="77">
        <v>5.1099073102041426E-2</v>
      </c>
      <c r="AP33">
        <v>-1.3765097058552873E-4</v>
      </c>
      <c r="AQ33" s="77">
        <v>2.5722166583638593E-2</v>
      </c>
      <c r="AR33">
        <v>-2.5216429747116399E-2</v>
      </c>
      <c r="AS33">
        <v>-2.1198643202515577E-2</v>
      </c>
      <c r="AT33" s="77">
        <v>1.8670707977463365E-2</v>
      </c>
      <c r="AU33">
        <v>1.3810099154292744E-3</v>
      </c>
      <c r="AV33">
        <v>8.2163537310669076E-3</v>
      </c>
      <c r="AW33" s="78">
        <v>-6.865335940871703E-2</v>
      </c>
      <c r="AX33">
        <v>3.5851503690500779E-3</v>
      </c>
      <c r="AY33">
        <v>-4.8513615201288378E-3</v>
      </c>
      <c r="AZ33">
        <v>-1.8414238176212374E-2</v>
      </c>
      <c r="BA33" s="77">
        <v>1.7764350988035197E-2</v>
      </c>
      <c r="BB33">
        <v>-2.3602328319621991E-3</v>
      </c>
      <c r="BC33">
        <v>-3.0232438657549921E-2</v>
      </c>
      <c r="BD33">
        <v>-8.5451662135877307E-3</v>
      </c>
      <c r="BE33">
        <v>-4.3814587195429404E-3</v>
      </c>
      <c r="BF33">
        <v>-4.1786033527848078E-3</v>
      </c>
      <c r="BG33">
        <v>-7.1082649278255113E-3</v>
      </c>
      <c r="BH33" s="77">
        <v>2.5369552954760691E-2</v>
      </c>
      <c r="BI33">
        <v>-2.613987072689632E-2</v>
      </c>
      <c r="BJ33">
        <v>1.2184716645859977E-2</v>
      </c>
      <c r="BK33" s="78">
        <v>-8.3333333333333329E-2</v>
      </c>
      <c r="BL33" s="78">
        <v>-3.8993513595591778E-2</v>
      </c>
      <c r="BM33">
        <v>-1.4623714542406683E-2</v>
      </c>
      <c r="BN33">
        <v>-2.0605783105783104E-2</v>
      </c>
      <c r="BO33">
        <v>-2.0765950934822845E-3</v>
      </c>
      <c r="BP33">
        <v>-3.0967922275181013E-3</v>
      </c>
      <c r="BQ33">
        <v>-2.2868586091640171E-2</v>
      </c>
      <c r="BR33" s="77">
        <v>1.8146980355391994E-2</v>
      </c>
      <c r="BS33">
        <v>8.3333333333333384E-3</v>
      </c>
      <c r="BT33">
        <v>-2.1881769664383006E-2</v>
      </c>
      <c r="BU33" s="77">
        <v>1.5158194362739822E-2</v>
      </c>
      <c r="BV33">
        <v>-1.5782936698437309E-2</v>
      </c>
      <c r="BW33">
        <v>2.4699019941771587E-6</v>
      </c>
      <c r="BX33" s="78">
        <v>-7.1428571428571425E-2</v>
      </c>
      <c r="BY33">
        <v>-1.2699296153114505E-4</v>
      </c>
      <c r="BZ33" s="78">
        <v>-4.0930067185224302E-2</v>
      </c>
      <c r="CA33">
        <v>1.257094607000994E-2</v>
      </c>
      <c r="CB33">
        <v>-1.8014493575098607E-2</v>
      </c>
      <c r="CC33">
        <v>6.7207851090730223E-3</v>
      </c>
      <c r="CD33">
        <v>-9.6063130730259447E-3</v>
      </c>
    </row>
    <row r="34" spans="1:82" x14ac:dyDescent="0.3">
      <c r="A34" s="64" t="s">
        <v>9097</v>
      </c>
      <c r="B34">
        <v>-7.8313273504230299E-3</v>
      </c>
      <c r="C34" s="78">
        <v>-0.2</v>
      </c>
      <c r="D34">
        <v>8.4924912899556042E-3</v>
      </c>
      <c r="E34">
        <v>-2.1162566111579448E-2</v>
      </c>
      <c r="F34">
        <v>-2.8459923914469366E-2</v>
      </c>
      <c r="G34">
        <v>0</v>
      </c>
      <c r="H34">
        <v>7.4345915238085919E-3</v>
      </c>
      <c r="I34">
        <v>7.0454729551366576E-4</v>
      </c>
      <c r="J34">
        <v>6.9744945231109559E-3</v>
      </c>
      <c r="K34">
        <v>-1.6627826171367328E-3</v>
      </c>
      <c r="L34">
        <v>1.8465197819522738E-3</v>
      </c>
      <c r="M34">
        <v>8.2172520883604921E-3</v>
      </c>
      <c r="N34">
        <v>5.0606277711987202E-3</v>
      </c>
      <c r="O34">
        <v>0</v>
      </c>
      <c r="P34">
        <v>0</v>
      </c>
      <c r="Q34">
        <v>-8.7799670072027641E-3</v>
      </c>
      <c r="R34" s="77">
        <v>3.1053072035416504E-2</v>
      </c>
      <c r="S34">
        <v>-1.0464678246656088E-2</v>
      </c>
      <c r="T34">
        <v>-1.4036144511695563E-2</v>
      </c>
      <c r="U34">
        <v>-4.1116380256408689E-4</v>
      </c>
      <c r="V34">
        <v>-1.1196561464327811E-2</v>
      </c>
      <c r="W34" s="77">
        <v>1.9655946003033307E-2</v>
      </c>
      <c r="X34">
        <v>7.6544622377574872E-4</v>
      </c>
      <c r="Y34" s="78">
        <v>-4.2727600682146143E-2</v>
      </c>
      <c r="Z34" s="78">
        <v>-0.10526315789473684</v>
      </c>
      <c r="AA34">
        <v>-1.4255878188987603E-2</v>
      </c>
      <c r="AB34">
        <v>-5.4268718359908189E-3</v>
      </c>
      <c r="AC34">
        <v>-2.9613521756812568E-2</v>
      </c>
      <c r="AD34" s="77">
        <v>2.2352341088760729E-2</v>
      </c>
      <c r="AE34">
        <v>-5.0647653000594171E-3</v>
      </c>
      <c r="AF34">
        <v>-1.0812939233078352E-2</v>
      </c>
      <c r="AG34">
        <v>1.3366334151701086E-2</v>
      </c>
      <c r="AH34">
        <v>7.2103313869824608E-4</v>
      </c>
      <c r="AI34">
        <v>-1.5866098350853384E-3</v>
      </c>
      <c r="AJ34">
        <v>-5.0169121605300694E-3</v>
      </c>
      <c r="AK34">
        <v>-5.1348977819566021E-3</v>
      </c>
      <c r="AL34" s="78">
        <v>-0.16017316017316016</v>
      </c>
      <c r="AM34">
        <v>-6.8240519440999183E-3</v>
      </c>
      <c r="AN34">
        <v>-2.2023742363754654E-2</v>
      </c>
      <c r="AO34" s="77">
        <v>5.1099073102041426E-2</v>
      </c>
      <c r="AP34">
        <v>-1.3765097058552873E-4</v>
      </c>
      <c r="AQ34" s="77">
        <v>2.4880415741887759E-2</v>
      </c>
      <c r="AR34">
        <v>-3.1571500293239498E-2</v>
      </c>
      <c r="AS34">
        <v>-1.7232143003638123E-2</v>
      </c>
      <c r="AT34" s="77">
        <v>2.1556710863466264E-2</v>
      </c>
      <c r="AU34">
        <v>1.937028820072033E-3</v>
      </c>
      <c r="AV34">
        <v>6.6949848414100356E-3</v>
      </c>
      <c r="AW34" s="78">
        <v>-6.23966749167384E-2</v>
      </c>
      <c r="AX34">
        <v>4.2164635003632094E-3</v>
      </c>
      <c r="AY34">
        <v>-1.7936760969164647E-2</v>
      </c>
      <c r="AZ34">
        <v>-1.7178567190191077E-2</v>
      </c>
      <c r="BA34" s="77">
        <v>1.6876133438633437E-2</v>
      </c>
      <c r="BB34">
        <v>-1.2705243779126646E-3</v>
      </c>
      <c r="BC34">
        <v>-2.7494179260023045E-2</v>
      </c>
      <c r="BD34">
        <v>-7.3755283979871833E-3</v>
      </c>
      <c r="BE34">
        <v>-3.5371032895077066E-3</v>
      </c>
      <c r="BF34">
        <v>-3.3793219727411834E-3</v>
      </c>
      <c r="BG34">
        <v>-8.4380553015539408E-4</v>
      </c>
      <c r="BH34" s="77">
        <v>2.9937763217589231E-2</v>
      </c>
      <c r="BI34">
        <v>-2.099684564852641E-2</v>
      </c>
      <c r="BJ34">
        <v>9.6563075549508832E-3</v>
      </c>
      <c r="BK34" s="78">
        <v>-7.8947368421052627E-2</v>
      </c>
      <c r="BL34" s="78">
        <v>-4.1853029165358824E-2</v>
      </c>
      <c r="BM34">
        <v>-1.2173945108941592E-2</v>
      </c>
      <c r="BN34">
        <v>-2.3279579897226954E-2</v>
      </c>
      <c r="BO34">
        <v>-8.5203843864272173E-3</v>
      </c>
      <c r="BP34">
        <v>-3.0967922275181013E-3</v>
      </c>
      <c r="BQ34">
        <v>-1.9238307462721545E-2</v>
      </c>
      <c r="BR34" s="77">
        <v>1.470345418459309E-2</v>
      </c>
      <c r="BS34">
        <v>-4.1666666666666671E-2</v>
      </c>
      <c r="BT34">
        <v>-2.223443424118551E-2</v>
      </c>
      <c r="BU34">
        <v>5.8166587054146882E-3</v>
      </c>
      <c r="BV34">
        <v>-1.1159174179937954E-2</v>
      </c>
      <c r="BW34">
        <v>3.7961800641500803E-4</v>
      </c>
      <c r="BX34" s="78">
        <v>-6.8181818181818177E-2</v>
      </c>
      <c r="BY34">
        <v>1.5359065238580266E-4</v>
      </c>
      <c r="BZ34" s="78">
        <v>-5.0504068063573E-2</v>
      </c>
      <c r="CA34">
        <v>5.1401160304842394E-3</v>
      </c>
      <c r="CB34">
        <v>-1.354475282919777E-2</v>
      </c>
      <c r="CC34">
        <v>-1.5436777008443342E-3</v>
      </c>
      <c r="CD34">
        <v>-5.4059241242487783E-3</v>
      </c>
    </row>
    <row r="35" spans="1:82" x14ac:dyDescent="0.3">
      <c r="A35" s="64" t="s">
        <v>9098</v>
      </c>
      <c r="B35">
        <v>-7.7082189475718632E-3</v>
      </c>
      <c r="C35">
        <v>0</v>
      </c>
      <c r="D35">
        <v>1.0714713512177825E-2</v>
      </c>
      <c r="E35">
        <v>-2.3928760329489453E-2</v>
      </c>
      <c r="F35">
        <v>-2.8459923914469366E-2</v>
      </c>
      <c r="G35">
        <v>0</v>
      </c>
      <c r="H35">
        <v>5.0154420458355829E-3</v>
      </c>
      <c r="I35">
        <v>-3.6046765385035497E-3</v>
      </c>
      <c r="J35">
        <v>5.5453169701308947E-3</v>
      </c>
      <c r="K35">
        <v>-3.8146752265673915E-4</v>
      </c>
      <c r="L35">
        <v>2.3019001004149098E-3</v>
      </c>
      <c r="M35">
        <v>1.0957015860656082E-2</v>
      </c>
      <c r="N35">
        <v>2.8600505706215178E-3</v>
      </c>
      <c r="O35">
        <v>0</v>
      </c>
      <c r="P35" s="77">
        <v>1.515151515151515E-2</v>
      </c>
      <c r="Q35">
        <v>-7.5702086599555738E-3</v>
      </c>
      <c r="R35" s="77">
        <v>2.8212162944507423E-2</v>
      </c>
      <c r="S35">
        <v>2.5508776260426348E-3</v>
      </c>
      <c r="T35">
        <v>-1.4541195016746068E-2</v>
      </c>
      <c r="U35">
        <v>6.5888106428211831E-4</v>
      </c>
      <c r="V35">
        <v>-1.1249281757185321E-2</v>
      </c>
      <c r="W35" s="77">
        <v>1.6575310000761869E-2</v>
      </c>
      <c r="X35">
        <v>-1.7762258119003733E-3</v>
      </c>
      <c r="Y35" s="78">
        <v>-3.9231097185642647E-2</v>
      </c>
      <c r="Z35" s="78">
        <v>-0.10526315789473684</v>
      </c>
      <c r="AA35">
        <v>-1.5067192842110161E-2</v>
      </c>
      <c r="AB35">
        <v>-5.5722265255921119E-3</v>
      </c>
      <c r="AC35">
        <v>-3.0733345329466331E-2</v>
      </c>
      <c r="AD35" s="77">
        <v>2.2245305267439189E-2</v>
      </c>
      <c r="AE35">
        <v>-5.0647653000594171E-3</v>
      </c>
      <c r="AF35">
        <v>-1.2198795402427343E-2</v>
      </c>
      <c r="AG35">
        <v>9.268776913630138E-3</v>
      </c>
      <c r="AH35">
        <v>4.4287096614106826E-3</v>
      </c>
      <c r="AI35">
        <v>-2.5632392821181363E-3</v>
      </c>
      <c r="AJ35">
        <v>-6.3284663550446756E-3</v>
      </c>
      <c r="AK35">
        <v>-8.3816510287098508E-3</v>
      </c>
      <c r="AL35" s="78">
        <v>-0.16017316017316016</v>
      </c>
      <c r="AM35">
        <v>-3.3218352065890657E-3</v>
      </c>
      <c r="AN35">
        <v>-1.8750592749141627E-2</v>
      </c>
      <c r="AO35" s="77">
        <v>4.622894323191154E-2</v>
      </c>
      <c r="AP35">
        <v>-2.1805805469008095E-3</v>
      </c>
      <c r="AQ35" s="77">
        <v>2.3616701008345432E-2</v>
      </c>
      <c r="AR35">
        <v>-2.823671705415003E-2</v>
      </c>
      <c r="AS35">
        <v>-2.090494079408298E-2</v>
      </c>
      <c r="AT35">
        <v>-2.1827076127943312E-3</v>
      </c>
      <c r="AU35">
        <v>-7.9774878900670774E-5</v>
      </c>
      <c r="AV35">
        <v>5.6303085920402628E-3</v>
      </c>
      <c r="AW35" s="78">
        <v>-5.5266550139554796E-2</v>
      </c>
      <c r="AX35">
        <v>4.5277960034765348E-3</v>
      </c>
      <c r="AY35">
        <v>-6.0319990644027467E-3</v>
      </c>
      <c r="AZ35">
        <v>-1.8732548655005069E-2</v>
      </c>
      <c r="BA35" s="77">
        <v>1.6072508036793748E-2</v>
      </c>
      <c r="BB35">
        <v>-3.4623775501579899E-3</v>
      </c>
      <c r="BC35">
        <v>-2.7029818039847876E-2</v>
      </c>
      <c r="BD35">
        <v>2.344751322292539E-3</v>
      </c>
      <c r="BE35">
        <v>-3.2661018932929912E-3</v>
      </c>
      <c r="BF35">
        <v>-6.5702351512892535E-3</v>
      </c>
      <c r="BG35">
        <v>-2.8108860686645028E-3</v>
      </c>
      <c r="BH35" s="77">
        <v>2.5530561556052312E-2</v>
      </c>
      <c r="BI35">
        <v>-2.3150791173136676E-2</v>
      </c>
      <c r="BJ35">
        <v>9.4669136155569478E-3</v>
      </c>
      <c r="BK35" s="78">
        <v>-7.8947368421052627E-2</v>
      </c>
      <c r="BL35" s="78">
        <v>-4.4545725448536619E-2</v>
      </c>
      <c r="BM35">
        <v>-1.1243947271727263E-2</v>
      </c>
      <c r="BN35">
        <v>-1.9491701109348163E-2</v>
      </c>
      <c r="BO35">
        <v>-5.0225058473085411E-3</v>
      </c>
      <c r="BP35">
        <v>-3.0967922275181013E-3</v>
      </c>
      <c r="BQ35">
        <v>-1.8324577726550401E-2</v>
      </c>
      <c r="BR35" s="77">
        <v>1.8519813264110067E-2</v>
      </c>
      <c r="BS35" s="78">
        <v>-4.4444444444444446E-2</v>
      </c>
      <c r="BT35">
        <v>-1.8825343332094607E-2</v>
      </c>
      <c r="BU35">
        <v>7.564910453666438E-3</v>
      </c>
      <c r="BV35">
        <v>-1.0823689561545667E-2</v>
      </c>
      <c r="BW35">
        <v>-1.3931540050381068E-3</v>
      </c>
      <c r="BX35" s="78">
        <v>-7.1428571428571425E-2</v>
      </c>
      <c r="BY35">
        <v>-1.2322186602527734E-3</v>
      </c>
      <c r="BZ35" s="78">
        <v>-4.6365270764153935E-2</v>
      </c>
      <c r="CA35">
        <v>5.8489588445902177E-3</v>
      </c>
      <c r="CB35">
        <v>-1.6396967125074036E-2</v>
      </c>
      <c r="CC35">
        <v>-1.1973573545239874E-3</v>
      </c>
      <c r="CD35">
        <v>-6.7616575829852624E-3</v>
      </c>
    </row>
    <row r="36" spans="1:82" x14ac:dyDescent="0.3">
      <c r="A36" s="64" t="s">
        <v>9099</v>
      </c>
      <c r="B36">
        <v>-6.2110930287671588E-3</v>
      </c>
      <c r="C36">
        <v>0</v>
      </c>
      <c r="D36">
        <v>1.1939750770001978E-2</v>
      </c>
      <c r="E36">
        <v>-2.0307280701817889E-2</v>
      </c>
      <c r="F36">
        <v>-2.8459923914469366E-2</v>
      </c>
      <c r="G36">
        <v>0</v>
      </c>
      <c r="H36">
        <v>2.7427147731083081E-3</v>
      </c>
      <c r="I36">
        <v>-5.5498178238885774E-3</v>
      </c>
      <c r="J36">
        <v>4.876867772269932E-3</v>
      </c>
      <c r="K36">
        <v>2.8795806362540964E-3</v>
      </c>
      <c r="L36">
        <v>1.4056350532064667E-3</v>
      </c>
      <c r="M36">
        <v>8.0403916114450535E-3</v>
      </c>
      <c r="N36">
        <v>1.9919531507999583E-3</v>
      </c>
      <c r="O36" s="78">
        <v>-4.5454545454545456E-2</v>
      </c>
      <c r="P36" s="77">
        <v>4.5454545454545456E-2</v>
      </c>
      <c r="Q36">
        <v>-5.3160011918443606E-3</v>
      </c>
      <c r="R36" s="77">
        <v>2.7744827249898997E-2</v>
      </c>
      <c r="S36">
        <v>1.2200903359444586E-2</v>
      </c>
      <c r="T36">
        <v>-1.6352789219644608E-2</v>
      </c>
      <c r="U36">
        <v>3.0923622172754624E-3</v>
      </c>
      <c r="V36">
        <v>-9.5389193216214464E-3</v>
      </c>
      <c r="W36" s="77">
        <v>2.3584831325921641E-2</v>
      </c>
      <c r="X36">
        <v>-3.8721385571637706E-3</v>
      </c>
      <c r="Y36" s="78">
        <v>-5.8121297894025183E-2</v>
      </c>
      <c r="Z36" s="78">
        <v>-0.1</v>
      </c>
      <c r="AA36">
        <v>-1.721127517487174E-2</v>
      </c>
      <c r="AB36">
        <v>-5.0284904615037155E-3</v>
      </c>
      <c r="AC36">
        <v>-3.1677502175780657E-2</v>
      </c>
      <c r="AD36">
        <v>1.5702605542921279E-2</v>
      </c>
      <c r="AE36">
        <v>1.3998811645870403E-3</v>
      </c>
      <c r="AF36">
        <v>-1.2797276403396923E-2</v>
      </c>
      <c r="AG36">
        <v>1.0901379746072998E-2</v>
      </c>
      <c r="AH36">
        <v>1.9881971537840794E-3</v>
      </c>
      <c r="AI36">
        <v>4.0448410801003868E-3</v>
      </c>
      <c r="AJ36">
        <v>-7.1018294413867679E-3</v>
      </c>
      <c r="AK36">
        <v>-1.2169529816588637E-2</v>
      </c>
      <c r="AL36" s="78">
        <v>-0.16017316017316016</v>
      </c>
      <c r="AM36">
        <v>-3.8820592962249215E-3</v>
      </c>
      <c r="AN36">
        <v>-1.3776673226041784E-2</v>
      </c>
      <c r="AO36" s="77">
        <v>3.2804867307835626E-2</v>
      </c>
      <c r="AP36">
        <v>-3.8944989929480785E-3</v>
      </c>
      <c r="AQ36" s="77">
        <v>2.2918933863209871E-2</v>
      </c>
      <c r="AR36">
        <v>-2.666601053294847E-2</v>
      </c>
      <c r="AS36">
        <v>-1.5235420920017645E-2</v>
      </c>
      <c r="AT36">
        <v>7.9471625170758082E-3</v>
      </c>
      <c r="AU36">
        <v>3.7343759777221883E-4</v>
      </c>
      <c r="AV36">
        <v>2.981246278133582E-3</v>
      </c>
      <c r="AW36" s="78">
        <v>-5.4357459230463888E-2</v>
      </c>
      <c r="AX36">
        <v>4.6744827173274377E-3</v>
      </c>
      <c r="AY36">
        <v>-8.3735968605459996E-3</v>
      </c>
      <c r="AZ36">
        <v>-2.1117302235845983E-2</v>
      </c>
      <c r="BA36">
        <v>1.716012130784858E-2</v>
      </c>
      <c r="BB36">
        <v>-3.4623775501579899E-3</v>
      </c>
      <c r="BC36">
        <v>-2.3772021753094948E-2</v>
      </c>
      <c r="BD36" s="77">
        <v>2.7876666215909562E-2</v>
      </c>
      <c r="BE36">
        <v>-1.5580273591315039E-3</v>
      </c>
      <c r="BF36">
        <v>-3.5901086347937248E-3</v>
      </c>
      <c r="BG36">
        <v>-4.5245091744777607E-3</v>
      </c>
      <c r="BH36" s="77">
        <v>2.7030475846664272E-2</v>
      </c>
      <c r="BI36">
        <v>-2.6647294669640168E-2</v>
      </c>
      <c r="BJ36" s="77">
        <v>2.2223660414856936E-2</v>
      </c>
      <c r="BK36" s="78">
        <v>-7.8947368421052627E-2</v>
      </c>
      <c r="BL36" s="78">
        <v>-4.1292146724240961E-2</v>
      </c>
      <c r="BM36">
        <v>-1.2635412948907227E-2</v>
      </c>
      <c r="BN36">
        <v>-2.8038709656356711E-2</v>
      </c>
      <c r="BO36">
        <v>-4.7942101269763341E-3</v>
      </c>
      <c r="BP36">
        <v>-4.3207463986361487E-3</v>
      </c>
      <c r="BQ36">
        <v>-2.0369282163283299E-2</v>
      </c>
      <c r="BR36" s="77">
        <v>2.6109319946175734E-2</v>
      </c>
      <c r="BS36" s="78">
        <v>-4.4444444444444446E-2</v>
      </c>
      <c r="BT36">
        <v>-2.0573595080346351E-2</v>
      </c>
      <c r="BU36">
        <v>-1.3855984968425071E-3</v>
      </c>
      <c r="BV36">
        <v>-1.3284067350490099E-2</v>
      </c>
      <c r="BW36">
        <v>-1.759194214828317E-3</v>
      </c>
      <c r="BX36" s="78">
        <v>-7.4999999999999997E-2</v>
      </c>
      <c r="BY36">
        <v>-2.6180279728913558E-3</v>
      </c>
      <c r="BZ36">
        <v>-3.8998826032211123E-2</v>
      </c>
      <c r="CA36">
        <v>1.3035042991356742E-3</v>
      </c>
      <c r="CB36">
        <v>-1.7229061790638416E-2</v>
      </c>
      <c r="CC36">
        <v>-3.0155391727058069E-3</v>
      </c>
      <c r="CD36">
        <v>-9.9207986425005907E-3</v>
      </c>
    </row>
    <row r="37" spans="1:82" x14ac:dyDescent="0.3">
      <c r="A37" s="64" t="s">
        <v>9100</v>
      </c>
      <c r="B37">
        <v>-4.7860984182637283E-3</v>
      </c>
      <c r="C37">
        <v>0</v>
      </c>
      <c r="D37">
        <v>9.920033742396887E-3</v>
      </c>
      <c r="E37">
        <v>-1.9610125096686828E-2</v>
      </c>
      <c r="F37">
        <v>-1.3687196641742099E-2</v>
      </c>
      <c r="G37">
        <v>0</v>
      </c>
      <c r="H37">
        <v>2.7427147731083081E-3</v>
      </c>
      <c r="I37">
        <v>-5.9079156084569503E-3</v>
      </c>
      <c r="J37">
        <v>4.2904316938024841E-3</v>
      </c>
      <c r="K37">
        <v>3.9998589248051823E-3</v>
      </c>
      <c r="L37">
        <v>-2.4725750877700612E-4</v>
      </c>
      <c r="M37">
        <v>5.0212826601327117E-3</v>
      </c>
      <c r="N37">
        <v>2.7134538723006811E-3</v>
      </c>
      <c r="O37" s="78">
        <v>-4.5454545454545456E-2</v>
      </c>
      <c r="P37" s="77">
        <v>3.4090909090909088E-2</v>
      </c>
      <c r="Q37">
        <v>2.358904547577507E-3</v>
      </c>
      <c r="R37" s="77">
        <v>3.6038578024340358E-2</v>
      </c>
      <c r="S37">
        <v>3.8272154126277325E-4</v>
      </c>
      <c r="T37">
        <v>-8.2988982765531075E-3</v>
      </c>
      <c r="U37">
        <v>-2.0030362114562962E-3</v>
      </c>
      <c r="V37">
        <v>-7.2549130053570629E-3</v>
      </c>
      <c r="W37">
        <v>1.7153193369842914E-2</v>
      </c>
      <c r="X37">
        <v>-6.2540693670202476E-3</v>
      </c>
      <c r="Y37" s="78">
        <v>-5.3989066489066491E-2</v>
      </c>
      <c r="Z37" s="78">
        <v>-9.5238095238095233E-2</v>
      </c>
      <c r="AA37">
        <v>-1.6741425009330988E-2</v>
      </c>
      <c r="AB37">
        <v>-4.2841827178083302E-3</v>
      </c>
      <c r="AC37">
        <v>-2.7941593656147803E-2</v>
      </c>
      <c r="AD37" s="77">
        <v>1.8761141210152602E-2</v>
      </c>
      <c r="AE37">
        <v>5.4402852049910836E-3</v>
      </c>
      <c r="AF37">
        <v>-2.1393525466353217E-2</v>
      </c>
      <c r="AG37">
        <v>1.3726038646843804E-2</v>
      </c>
      <c r="AH37">
        <v>3.7647656557046895E-3</v>
      </c>
      <c r="AI37">
        <v>2.9950778352151913E-3</v>
      </c>
      <c r="AJ37">
        <v>-6.3425901240179881E-3</v>
      </c>
      <c r="AK37">
        <v>-8.6730263200851376E-3</v>
      </c>
      <c r="AL37" s="78">
        <v>-0.16666666666666663</v>
      </c>
      <c r="AM37">
        <v>-5.5173792677078804E-3</v>
      </c>
      <c r="AN37">
        <v>-2.4022104833962877E-2</v>
      </c>
      <c r="AO37" s="77">
        <v>3.8888783391751704E-2</v>
      </c>
      <c r="AP37">
        <v>-3.8434723366228148E-3</v>
      </c>
      <c r="AQ37" s="77">
        <v>2.4139190117023177E-2</v>
      </c>
      <c r="AR37">
        <v>-2.6656486193131743E-2</v>
      </c>
      <c r="AS37">
        <v>-8.3726758219784328E-3</v>
      </c>
      <c r="AT37">
        <v>-2.2925977226844348E-3</v>
      </c>
      <c r="AU37">
        <v>-1.6082797444466937E-3</v>
      </c>
      <c r="AV37">
        <v>2.8457350836729647E-3</v>
      </c>
      <c r="AW37" s="78">
        <v>-4.0415518817935266E-2</v>
      </c>
      <c r="AX37">
        <v>6.3022499215746519E-3</v>
      </c>
      <c r="AY37">
        <v>-9.4755252352016466E-3</v>
      </c>
      <c r="AZ37">
        <v>-2.2948049903914226E-2</v>
      </c>
      <c r="BA37" s="77">
        <v>1.8580575853303125E-2</v>
      </c>
      <c r="BB37">
        <v>-4.5194600025892798E-3</v>
      </c>
      <c r="BC37">
        <v>-2.1438611935773153E-2</v>
      </c>
      <c r="BD37">
        <v>1.2422120761364104E-2</v>
      </c>
      <c r="BE37">
        <v>-2.3557848694418294E-3</v>
      </c>
      <c r="BF37">
        <v>-4.0693280448161851E-3</v>
      </c>
      <c r="BG37">
        <v>-1.9369247687115387E-3</v>
      </c>
      <c r="BH37" s="77">
        <v>2.6370216565715341E-2</v>
      </c>
      <c r="BI37">
        <v>-1.9415078515162529E-2</v>
      </c>
      <c r="BJ37" s="77">
        <v>2.0649711975236858E-2</v>
      </c>
      <c r="BK37" s="78">
        <v>-7.8947368421052627E-2</v>
      </c>
      <c r="BL37" s="78">
        <v>-4.1625141508178164E-2</v>
      </c>
      <c r="BM37">
        <v>-6.5435666508753508E-3</v>
      </c>
      <c r="BN37">
        <v>-2.8038709656356711E-2</v>
      </c>
      <c r="BO37">
        <v>-7.982555038377857E-3</v>
      </c>
      <c r="BP37">
        <v>-4.7707914031365987E-3</v>
      </c>
      <c r="BQ37">
        <v>-2.7931101242268941E-2</v>
      </c>
      <c r="BR37" s="77">
        <v>2.0324195979233586E-2</v>
      </c>
      <c r="BS37" s="78">
        <v>-5.5555555555555552E-2</v>
      </c>
      <c r="BT37">
        <v>-1.1049785556536833E-2</v>
      </c>
      <c r="BU37">
        <v>-8.4878712241152378E-3</v>
      </c>
      <c r="BV37">
        <v>-1.2830564108364433E-2</v>
      </c>
      <c r="BW37">
        <v>-2.082467588647793E-3</v>
      </c>
      <c r="BX37" s="78">
        <v>-7.8947368421052627E-2</v>
      </c>
      <c r="BY37">
        <v>-2.0328424074686421E-3</v>
      </c>
      <c r="BZ37">
        <v>-3.5952925853958012E-2</v>
      </c>
      <c r="CA37">
        <v>-2.376410543666628E-2</v>
      </c>
      <c r="CB37">
        <v>-1.7707913500729547E-2</v>
      </c>
      <c r="CC37">
        <v>-6.8034179605845875E-3</v>
      </c>
      <c r="CD37">
        <v>-1.0525689247391196E-2</v>
      </c>
    </row>
    <row r="38" spans="1:82" x14ac:dyDescent="0.3">
      <c r="A38" s="64" t="s">
        <v>9101</v>
      </c>
      <c r="B38">
        <v>-4.0801278405395904E-3</v>
      </c>
      <c r="C38">
        <v>0</v>
      </c>
      <c r="D38">
        <v>1.3432452695992315E-2</v>
      </c>
      <c r="E38">
        <v>-2.9019123178251272E-2</v>
      </c>
      <c r="F38">
        <v>-2.8459923914469366E-2</v>
      </c>
      <c r="G38">
        <v>0</v>
      </c>
      <c r="H38">
        <v>7.3687826910033777E-4</v>
      </c>
      <c r="I38">
        <v>-5.8699418862727011E-3</v>
      </c>
      <c r="J38">
        <v>5.4227097906414381E-3</v>
      </c>
      <c r="K38">
        <v>2.7574712773776136E-3</v>
      </c>
      <c r="L38">
        <v>-1.4647899763094746E-3</v>
      </c>
      <c r="M38">
        <v>8.0956998442923353E-3</v>
      </c>
      <c r="N38">
        <v>1.9682973894392798E-3</v>
      </c>
      <c r="O38" s="78">
        <v>-4.5454545454545456E-2</v>
      </c>
      <c r="P38">
        <v>1.1363636363636364E-2</v>
      </c>
      <c r="Q38">
        <v>1.6441359272626012E-3</v>
      </c>
      <c r="R38" s="77">
        <v>3.4994351980114316E-2</v>
      </c>
      <c r="S38">
        <v>6.0020740468164774E-4</v>
      </c>
      <c r="T38">
        <v>-1.0529043488597338E-2</v>
      </c>
      <c r="U38">
        <v>-5.3261332782261724E-3</v>
      </c>
      <c r="V38">
        <v>-3.67581493807002E-3</v>
      </c>
      <c r="W38" s="77">
        <v>2.3204146419080699E-2</v>
      </c>
      <c r="X38">
        <v>-6.6680567423963314E-3</v>
      </c>
      <c r="Y38" s="78">
        <v>-6.048257298257298E-2</v>
      </c>
      <c r="Z38" s="78">
        <v>-9.0909090909090912E-2</v>
      </c>
      <c r="AA38">
        <v>-1.9225989625043141E-2</v>
      </c>
      <c r="AB38">
        <v>-4.0461810253518589E-3</v>
      </c>
      <c r="AC38">
        <v>-3.820625673872996E-2</v>
      </c>
      <c r="AD38" s="77">
        <v>2.298947101987776E-2</v>
      </c>
      <c r="AE38">
        <v>5.4402852049910836E-3</v>
      </c>
      <c r="AF38">
        <v>-1.9307303739976207E-2</v>
      </c>
      <c r="AG38">
        <v>1.3447378811155729E-2</v>
      </c>
      <c r="AH38">
        <v>2.628402019341058E-3</v>
      </c>
      <c r="AI38">
        <v>6.3852417578072022E-3</v>
      </c>
      <c r="AJ38">
        <v>-9.0984455765952214E-3</v>
      </c>
      <c r="AK38">
        <v>-1.9798264718050809E-2</v>
      </c>
      <c r="AL38" s="78">
        <v>-0.15259740259740259</v>
      </c>
      <c r="AM38">
        <v>-8.6613186616472711E-3</v>
      </c>
      <c r="AN38">
        <v>-2.0784079418518106E-2</v>
      </c>
      <c r="AO38" s="77">
        <v>2.3094476688354092E-2</v>
      </c>
      <c r="AP38">
        <v>-6.2119172887998278E-3</v>
      </c>
      <c r="AQ38" s="77">
        <v>2.7710515649630844E-2</v>
      </c>
      <c r="AR38">
        <v>-2.7118438477554015E-2</v>
      </c>
      <c r="AS38">
        <v>-7.5255907799463388E-3</v>
      </c>
      <c r="AT38">
        <v>-4.2132123193553772E-3</v>
      </c>
      <c r="AU38">
        <v>-3.3502988661449585E-3</v>
      </c>
      <c r="AV38">
        <v>5.2355045520401512E-4</v>
      </c>
      <c r="AW38" s="78">
        <v>-4.8176050968711318E-2</v>
      </c>
      <c r="AX38">
        <v>4.542719129785793E-3</v>
      </c>
      <c r="AY38">
        <v>-5.1048958645722739E-3</v>
      </c>
      <c r="AZ38">
        <v>-2.108779506493598E-2</v>
      </c>
      <c r="BA38" s="77">
        <v>1.8580575853303125E-2</v>
      </c>
      <c r="BB38">
        <v>-5.5765424550205701E-3</v>
      </c>
      <c r="BC38">
        <v>-1.6881571694790685E-2</v>
      </c>
      <c r="BD38">
        <v>9.831766746315385E-3</v>
      </c>
      <c r="BE38">
        <v>-4.3824206540393987E-3</v>
      </c>
      <c r="BF38">
        <v>-7.365348720516007E-3</v>
      </c>
      <c r="BG38">
        <v>5.4202880281091492E-4</v>
      </c>
      <c r="BH38" s="77">
        <v>3.6320194817129003E-2</v>
      </c>
      <c r="BI38">
        <v>-2.2706186314467046E-2</v>
      </c>
      <c r="BJ38" s="77">
        <v>2.8086888619730573E-2</v>
      </c>
      <c r="BK38" s="78">
        <v>-7.8947368421052627E-2</v>
      </c>
      <c r="BL38" s="78">
        <v>-4.8535112502944691E-2</v>
      </c>
      <c r="BM38">
        <v>-3.5777381531319581E-3</v>
      </c>
      <c r="BN38">
        <v>-3.3720527838174891E-2</v>
      </c>
      <c r="BO38">
        <v>-1.2777633873804128E-2</v>
      </c>
      <c r="BP38">
        <v>-2.2293401359571746E-3</v>
      </c>
      <c r="BQ38">
        <v>-2.5035729003319202E-2</v>
      </c>
      <c r="BR38" s="77">
        <v>1.7863693518731114E-2</v>
      </c>
      <c r="BS38" s="78">
        <v>-6.6666666666666666E-2</v>
      </c>
      <c r="BT38">
        <v>-1.1367552895580767E-2</v>
      </c>
      <c r="BU38">
        <v>4.2826915464475347E-3</v>
      </c>
      <c r="BV38">
        <v>-1.1714730875556618E-2</v>
      </c>
      <c r="BW38">
        <v>-3.1314186375988348E-3</v>
      </c>
      <c r="BX38" s="78">
        <v>-8.3333333333333329E-2</v>
      </c>
      <c r="BY38">
        <v>-2.8798215153173156E-3</v>
      </c>
      <c r="BZ38">
        <v>-3.277407365663005E-2</v>
      </c>
      <c r="CA38">
        <v>-1.5294314358179555E-2</v>
      </c>
      <c r="CB38">
        <v>-1.4656884507263285E-2</v>
      </c>
      <c r="CC38">
        <v>-1.6273114930281558E-2</v>
      </c>
      <c r="CD38">
        <v>-1.26247527248134E-2</v>
      </c>
    </row>
    <row r="39" spans="1:82" x14ac:dyDescent="0.3">
      <c r="A39" s="64" t="s">
        <v>9102</v>
      </c>
      <c r="B39">
        <v>-6.6424346948493812E-3</v>
      </c>
      <c r="C39">
        <v>0</v>
      </c>
      <c r="D39">
        <v>1.4192545316550042E-2</v>
      </c>
      <c r="E39">
        <v>-2.8002178286859483E-2</v>
      </c>
      <c r="F39">
        <v>-2.8459923914469366E-2</v>
      </c>
      <c r="G39">
        <v>0</v>
      </c>
      <c r="H39">
        <v>-2.4842809049235299E-3</v>
      </c>
      <c r="I39">
        <v>-8.8312808190790289E-3</v>
      </c>
      <c r="J39">
        <v>6.2064088502025681E-3</v>
      </c>
      <c r="K39">
        <v>-4.2811133700349059E-3</v>
      </c>
      <c r="L39">
        <v>-3.9900425015620021E-3</v>
      </c>
      <c r="M39">
        <v>9.8410523359134788E-3</v>
      </c>
      <c r="N39">
        <v>-1.6657734577463256E-3</v>
      </c>
      <c r="O39" s="78">
        <v>-4.5454545454545456E-2</v>
      </c>
      <c r="P39">
        <v>1.1363636363636364E-2</v>
      </c>
      <c r="Q39">
        <v>7.6594914833103586E-4</v>
      </c>
      <c r="R39" s="77">
        <v>2.8712048311907802E-2</v>
      </c>
      <c r="S39">
        <v>-2.7756365563085961E-3</v>
      </c>
      <c r="T39">
        <v>-1.2118363259735292E-2</v>
      </c>
      <c r="U39">
        <v>-1.217821693753875E-2</v>
      </c>
      <c r="V39">
        <v>-6.356974358359877E-3</v>
      </c>
      <c r="W39" s="77">
        <v>1.5617201179587002E-2</v>
      </c>
      <c r="X39">
        <v>-7.3820999394037497E-3</v>
      </c>
      <c r="Y39" s="78">
        <v>-6.048257298257298E-2</v>
      </c>
      <c r="Z39" s="78">
        <v>-4.5454545454545456E-2</v>
      </c>
      <c r="AA39">
        <v>-3.0102861075962828E-2</v>
      </c>
      <c r="AB39">
        <v>-1.0621686485800495E-2</v>
      </c>
      <c r="AC39">
        <v>-3.8477029166612026E-2</v>
      </c>
      <c r="AD39" s="77">
        <v>2.1956413168638087E-2</v>
      </c>
      <c r="AE39">
        <v>5.4402852049910836E-3</v>
      </c>
      <c r="AF39">
        <v>-2.8800731047755625E-2</v>
      </c>
      <c r="AG39" s="77">
        <v>1.6679301952905255E-2</v>
      </c>
      <c r="AH39">
        <v>2.628402019341058E-3</v>
      </c>
      <c r="AI39">
        <v>6.7743142591668573E-3</v>
      </c>
      <c r="AJ39">
        <v>-8.2483637817833515E-3</v>
      </c>
      <c r="AK39">
        <v>-1.2222507142293226E-2</v>
      </c>
      <c r="AL39" s="78">
        <v>-0.16774891774891773</v>
      </c>
      <c r="AM39">
        <v>-1.1284539221222715E-2</v>
      </c>
      <c r="AN39">
        <v>-2.0115630220657141E-2</v>
      </c>
      <c r="AO39" s="77">
        <v>2.7618887462764852E-2</v>
      </c>
      <c r="AP39">
        <v>-9.1754119102715123E-3</v>
      </c>
      <c r="AQ39" s="77">
        <v>2.5472551837442289E-2</v>
      </c>
      <c r="AR39">
        <v>-3.7668675378762076E-2</v>
      </c>
      <c r="AS39">
        <v>-8.3138198918748726E-3</v>
      </c>
      <c r="AT39">
        <v>-3.3714614776045346E-3</v>
      </c>
      <c r="AU39">
        <v>-6.6051429082033741E-3</v>
      </c>
      <c r="AV39">
        <v>-1.4405348422146175E-3</v>
      </c>
      <c r="AW39">
        <v>-4.2195189724692182E-2</v>
      </c>
      <c r="AX39">
        <v>2.137153545126919E-3</v>
      </c>
      <c r="AY39">
        <v>-3.8071993637809986E-3</v>
      </c>
      <c r="AZ39">
        <v>-2.0163527070590503E-2</v>
      </c>
      <c r="BA39" s="77">
        <v>1.6123573396300665E-2</v>
      </c>
      <c r="BB39">
        <v>-8.7273689013015587E-3</v>
      </c>
      <c r="BC39">
        <v>-2.1089618549896359E-2</v>
      </c>
      <c r="BD39">
        <v>1.0823502283505464E-2</v>
      </c>
      <c r="BE39">
        <v>-3.7103548467124002E-3</v>
      </c>
      <c r="BF39">
        <v>-1.1038270694873391E-2</v>
      </c>
      <c r="BG39">
        <v>-5.5796263887773513E-3</v>
      </c>
      <c r="BH39" s="77">
        <v>3.7333980406214225E-2</v>
      </c>
      <c r="BI39">
        <v>-1.9283252658975257E-2</v>
      </c>
      <c r="BJ39" s="77">
        <v>2.3364338442634944E-2</v>
      </c>
      <c r="BK39" s="78">
        <v>-7.8947368421052627E-2</v>
      </c>
      <c r="BL39" s="78">
        <v>-4.5825430915336841E-2</v>
      </c>
      <c r="BM39">
        <v>-5.701782333250905E-3</v>
      </c>
      <c r="BN39">
        <v>-3.3720527838174891E-2</v>
      </c>
      <c r="BO39">
        <v>-6.2227558250236379E-3</v>
      </c>
      <c r="BP39">
        <v>-1.9030732655726571E-3</v>
      </c>
      <c r="BQ39">
        <v>-2.324746264593926E-2</v>
      </c>
      <c r="BR39">
        <v>9.1525770489939585E-3</v>
      </c>
      <c r="BS39" s="78">
        <v>-0.13333333333333333</v>
      </c>
      <c r="BT39">
        <v>-1.4798084627999296E-2</v>
      </c>
      <c r="BU39">
        <v>-8.0982608345048484E-3</v>
      </c>
      <c r="BV39">
        <v>-1.4110344768496718E-2</v>
      </c>
      <c r="BW39">
        <v>-7.2495227557029555E-3</v>
      </c>
      <c r="BX39" s="78">
        <v>-8.8235294117647065E-2</v>
      </c>
      <c r="BY39">
        <v>-4.2046162275345455E-3</v>
      </c>
      <c r="BZ39" s="78">
        <v>-4.8775338928323336E-2</v>
      </c>
      <c r="CA39">
        <v>-1.9134439750029084E-2</v>
      </c>
      <c r="CB39">
        <v>-1.824537857634885E-2</v>
      </c>
      <c r="CC39">
        <v>-1.1390066943785302E-2</v>
      </c>
      <c r="CD39">
        <v>-2.1805143676945204E-2</v>
      </c>
    </row>
    <row r="40" spans="1:82" x14ac:dyDescent="0.3">
      <c r="A40" s="64" t="s">
        <v>9103</v>
      </c>
      <c r="B40">
        <v>-3.4271071955123324E-3</v>
      </c>
      <c r="C40">
        <v>0</v>
      </c>
      <c r="D40">
        <v>1.171585533986007E-2</v>
      </c>
      <c r="E40">
        <v>-1.7830251448265975E-2</v>
      </c>
      <c r="F40">
        <v>-4.5962875508330017E-3</v>
      </c>
      <c r="G40">
        <v>0</v>
      </c>
      <c r="H40">
        <v>-2.8937813144239394E-3</v>
      </c>
      <c r="I40">
        <v>-7.2638826999567689E-3</v>
      </c>
      <c r="J40">
        <v>4.1437293106876792E-3</v>
      </c>
      <c r="K40">
        <v>-7.4973154741754203E-3</v>
      </c>
      <c r="L40">
        <v>-3.1242416357611354E-3</v>
      </c>
      <c r="M40" s="77">
        <v>1.6316754957989163E-2</v>
      </c>
      <c r="N40">
        <v>-9.3263562783430138E-4</v>
      </c>
      <c r="O40" s="78">
        <v>-4.5454545454545456E-2</v>
      </c>
      <c r="P40">
        <v>1.1363636363636364E-2</v>
      </c>
      <c r="Q40">
        <v>8.7960697303702162E-4</v>
      </c>
      <c r="R40" s="77">
        <v>2.3880516207648417E-2</v>
      </c>
      <c r="S40">
        <v>-2.8577833252023581E-3</v>
      </c>
      <c r="T40">
        <v>-1.2118363259735292E-2</v>
      </c>
      <c r="U40">
        <v>-1.0582196016518417E-2</v>
      </c>
      <c r="V40">
        <v>-9.6309301323156474E-3</v>
      </c>
      <c r="W40">
        <v>1.1583680014159842E-2</v>
      </c>
      <c r="X40">
        <v>-1.0718275474095507E-2</v>
      </c>
      <c r="Y40" s="78">
        <v>-6.048257298257298E-2</v>
      </c>
      <c r="Z40" s="78">
        <v>-4.5454545454545456E-2</v>
      </c>
      <c r="AA40">
        <v>-2.6272602678362691E-2</v>
      </c>
      <c r="AB40">
        <v>-1.5226796352394012E-2</v>
      </c>
      <c r="AC40">
        <v>-3.7349349311368643E-2</v>
      </c>
      <c r="AD40" s="77">
        <v>3.1790329252554178E-2</v>
      </c>
      <c r="AE40">
        <v>5.4402852049910836E-3</v>
      </c>
      <c r="AF40">
        <v>-2.9635967510410546E-2</v>
      </c>
      <c r="AG40" s="77">
        <v>1.5799195147814634E-2</v>
      </c>
      <c r="AH40">
        <v>7.088688498078868E-4</v>
      </c>
      <c r="AI40">
        <v>7.907494804112113E-3</v>
      </c>
      <c r="AJ40">
        <v>-7.1106232118115153E-3</v>
      </c>
      <c r="AK40">
        <v>-7.677052596838688E-3</v>
      </c>
      <c r="AL40" s="78">
        <v>-0.17424242424242423</v>
      </c>
      <c r="AM40">
        <v>-1.1461361947470376E-2</v>
      </c>
      <c r="AN40">
        <v>-1.0846610555795813E-2</v>
      </c>
      <c r="AO40">
        <v>1.5423765511545355E-2</v>
      </c>
      <c r="AP40">
        <v>-1.1365145016035151E-2</v>
      </c>
      <c r="AQ40" s="77">
        <v>2.4815749067963463E-2</v>
      </c>
      <c r="AR40">
        <v>-3.6400453974142107E-2</v>
      </c>
      <c r="AS40">
        <v>-6.9062435990990016E-3</v>
      </c>
      <c r="AT40">
        <v>-2.4763543214513847E-2</v>
      </c>
      <c r="AU40">
        <v>-1.1157633761003826E-2</v>
      </c>
      <c r="AV40">
        <v>-4.0391193469793184E-3</v>
      </c>
      <c r="AW40" s="78">
        <v>-5.1286098815601269E-2</v>
      </c>
      <c r="AX40">
        <v>1.7697278270973826E-3</v>
      </c>
      <c r="AY40">
        <v>-2.8631434197250501E-3</v>
      </c>
      <c r="AZ40">
        <v>-1.8213702764520324E-2</v>
      </c>
      <c r="BA40" s="77">
        <v>1.8017512790240057E-2</v>
      </c>
      <c r="BB40">
        <v>-8.1591870831197403E-3</v>
      </c>
      <c r="BC40">
        <v>-1.8809803770081582E-2</v>
      </c>
      <c r="BD40">
        <v>-9.3785179185147376E-3</v>
      </c>
      <c r="BE40">
        <v>-4.970098907158829E-3</v>
      </c>
      <c r="BF40">
        <v>-1.038376351051546E-2</v>
      </c>
      <c r="BG40">
        <v>-7.900045400629609E-3</v>
      </c>
      <c r="BH40" s="77">
        <v>3.0815697417343003E-2</v>
      </c>
      <c r="BI40">
        <v>-1.6865347763234499E-2</v>
      </c>
      <c r="BJ40" s="77">
        <v>2.5442328373289455E-2</v>
      </c>
      <c r="BK40" s="78">
        <v>-0.10526315789473684</v>
      </c>
      <c r="BL40" s="78">
        <v>-4.2281417821782567E-2</v>
      </c>
      <c r="BM40">
        <v>2.5626804766664471E-3</v>
      </c>
      <c r="BN40">
        <v>-2.7227021344668399E-2</v>
      </c>
      <c r="BO40">
        <v>-1.3531656969541228E-2</v>
      </c>
      <c r="BP40">
        <v>-4.0358029212380943E-3</v>
      </c>
      <c r="BQ40">
        <v>-2.6417395814676056E-2</v>
      </c>
      <c r="BR40" s="77">
        <v>1.6578661602738094E-2</v>
      </c>
      <c r="BS40" s="78">
        <v>-0.13333333333333333</v>
      </c>
      <c r="BT40">
        <v>-1.2875007704922371E-2</v>
      </c>
      <c r="BU40">
        <v>-1.150735174359576E-2</v>
      </c>
      <c r="BV40">
        <v>-1.6434229671984758E-2</v>
      </c>
      <c r="BW40">
        <v>-8.3390129756279602E-3</v>
      </c>
      <c r="BX40">
        <v>-3.125E-2</v>
      </c>
      <c r="BY40">
        <v>-7.5026055179349188E-3</v>
      </c>
      <c r="BZ40" s="78">
        <v>-5.0669278322262735E-2</v>
      </c>
      <c r="CA40">
        <v>-2.4795445411034737E-2</v>
      </c>
      <c r="CB40">
        <v>-2.0160309859953266E-2</v>
      </c>
      <c r="CC40">
        <v>-1.4151673153667372E-2</v>
      </c>
      <c r="CD40">
        <v>-2.2162642126689627E-2</v>
      </c>
    </row>
    <row r="41" spans="1:82" x14ac:dyDescent="0.3">
      <c r="A41" s="64" t="s">
        <v>9104</v>
      </c>
      <c r="B41">
        <v>2.9837546698949832E-3</v>
      </c>
      <c r="C41">
        <v>0</v>
      </c>
      <c r="D41">
        <v>8.6759483911583429E-3</v>
      </c>
      <c r="E41">
        <v>-1.6395492224609468E-2</v>
      </c>
      <c r="F41">
        <v>-4.5962875508330017E-3</v>
      </c>
      <c r="G41">
        <v>0</v>
      </c>
      <c r="H41">
        <v>-2.9528131916376349E-3</v>
      </c>
      <c r="I41">
        <v>-3.0282227054802364E-3</v>
      </c>
      <c r="J41">
        <v>2.925020483283199E-3</v>
      </c>
      <c r="K41">
        <v>-6.5769245635418448E-3</v>
      </c>
      <c r="L41">
        <v>-4.979037608204168E-3</v>
      </c>
      <c r="M41">
        <v>1.4891466585690587E-2</v>
      </c>
      <c r="N41">
        <v>1.1874664922678199E-3</v>
      </c>
      <c r="O41" s="78">
        <v>-4.5454545454545456E-2</v>
      </c>
      <c r="P41">
        <v>2.2727272727272748E-3</v>
      </c>
      <c r="Q41">
        <v>7.3389765309432786E-3</v>
      </c>
      <c r="R41" s="77">
        <v>2.742242884047014E-2</v>
      </c>
      <c r="S41">
        <v>-7.1784675903627118E-4</v>
      </c>
      <c r="T41">
        <v>-9.6480075285099928E-3</v>
      </c>
      <c r="U41">
        <v>-9.4091754886591883E-3</v>
      </c>
      <c r="V41">
        <v>-6.3211331331982619E-3</v>
      </c>
      <c r="W41">
        <v>7.0668966657063655E-3</v>
      </c>
      <c r="X41">
        <v>-9.4606466014038708E-3</v>
      </c>
      <c r="Y41" s="78">
        <v>-5.4800754800754796E-2</v>
      </c>
      <c r="Z41" s="78">
        <v>-4.5454545454545456E-2</v>
      </c>
      <c r="AA41">
        <v>-2.3958553091585833E-2</v>
      </c>
      <c r="AB41">
        <v>-1.1146941660446604E-2</v>
      </c>
      <c r="AC41">
        <v>-3.4086093230432997E-2</v>
      </c>
      <c r="AD41" s="77">
        <v>3.0637227035622175E-2</v>
      </c>
      <c r="AE41">
        <v>1.2465078593420836E-2</v>
      </c>
      <c r="AF41">
        <v>-2.410245231936111E-2</v>
      </c>
      <c r="AG41" s="77">
        <v>2.0461945955076985E-2</v>
      </c>
      <c r="AH41">
        <v>4.4174069333459678E-3</v>
      </c>
      <c r="AI41">
        <v>8.7716225648903131E-3</v>
      </c>
      <c r="AJ41">
        <v>-4.6516592360463412E-3</v>
      </c>
      <c r="AK41">
        <v>6.5628073649464898E-4</v>
      </c>
      <c r="AL41" s="78">
        <v>-0.18073593073593072</v>
      </c>
      <c r="AM41">
        <v>-6.2501058681587347E-3</v>
      </c>
      <c r="AN41">
        <v>-1.2768266135987976E-2</v>
      </c>
      <c r="AO41" s="77">
        <v>2.6616403243170769E-2</v>
      </c>
      <c r="AP41">
        <v>-9.8398246987685244E-3</v>
      </c>
      <c r="AQ41" s="77">
        <v>2.9132959635174024E-2</v>
      </c>
      <c r="AR41">
        <v>-3.3405496240195801E-2</v>
      </c>
      <c r="AS41">
        <v>-3.8591094480537229E-3</v>
      </c>
      <c r="AT41">
        <v>-2.5916911641792485E-2</v>
      </c>
      <c r="AU41">
        <v>-1.0715529433268998E-2</v>
      </c>
      <c r="AV41">
        <v>-4.9539946288199238E-3</v>
      </c>
      <c r="AW41" s="78">
        <v>-4.4684367213869654E-2</v>
      </c>
      <c r="AX41">
        <v>2.2263177139721217E-3</v>
      </c>
      <c r="AY41">
        <v>-4.7945797786620552E-3</v>
      </c>
      <c r="AZ41">
        <v>-1.5737547225268673E-2</v>
      </c>
      <c r="BA41" s="77">
        <v>1.5420110192837466E-2</v>
      </c>
      <c r="BB41">
        <v>-6.24531148503362E-3</v>
      </c>
      <c r="BC41">
        <v>-1.9238620236633894E-2</v>
      </c>
      <c r="BD41" s="77">
        <v>2.1340762800765981E-2</v>
      </c>
      <c r="BE41">
        <v>-6.8314046749870933E-3</v>
      </c>
      <c r="BF41">
        <v>-9.125022251774197E-3</v>
      </c>
      <c r="BG41">
        <v>-3.3633246764754464E-3</v>
      </c>
      <c r="BH41" s="77">
        <v>3.1521017694528718E-2</v>
      </c>
      <c r="BI41">
        <v>-1.243611222604441E-2</v>
      </c>
      <c r="BJ41" s="77">
        <v>2.4056200117195722E-2</v>
      </c>
      <c r="BK41" s="78">
        <v>-0.10526315789473684</v>
      </c>
      <c r="BL41" s="78">
        <v>-3.8037773537876914E-2</v>
      </c>
      <c r="BM41">
        <v>-9.2291438823876573E-4</v>
      </c>
      <c r="BN41">
        <v>-3.4220028337675387E-2</v>
      </c>
      <c r="BO41">
        <v>-1.1465541267061889E-2</v>
      </c>
      <c r="BP41">
        <v>-1.4004551219408507E-3</v>
      </c>
      <c r="BQ41">
        <v>-2.2000821850595084E-2</v>
      </c>
      <c r="BR41">
        <v>1.2476373903612442E-2</v>
      </c>
      <c r="BS41" s="78">
        <v>-0.13333333333333333</v>
      </c>
      <c r="BT41">
        <v>-6.5375951175097842E-3</v>
      </c>
      <c r="BU41">
        <v>-7.4180150436130808E-4</v>
      </c>
      <c r="BV41">
        <v>-1.453610426268548E-2</v>
      </c>
      <c r="BW41">
        <v>-7.3411309293588143E-3</v>
      </c>
      <c r="BX41">
        <v>-3.3333333333333333E-2</v>
      </c>
      <c r="BY41">
        <v>-4.5826336714093951E-3</v>
      </c>
      <c r="BZ41" s="78">
        <v>-5.3280069592847819E-2</v>
      </c>
      <c r="CA41">
        <v>-2.1344266959856289E-2</v>
      </c>
      <c r="CB41">
        <v>-2.4744755304851485E-2</v>
      </c>
      <c r="CC41">
        <v>-8.3359400652070099E-3</v>
      </c>
      <c r="CD41">
        <v>-2.2573291819441468E-2</v>
      </c>
    </row>
    <row r="42" spans="1:82" x14ac:dyDescent="0.3">
      <c r="A42" s="64" t="s">
        <v>9105</v>
      </c>
      <c r="B42">
        <v>7.5351804736927047E-3</v>
      </c>
      <c r="C42">
        <v>0</v>
      </c>
      <c r="D42">
        <v>8.3370515005373007E-3</v>
      </c>
      <c r="E42">
        <v>-2.0171445856839058E-2</v>
      </c>
      <c r="F42">
        <v>-4.5962875508330017E-3</v>
      </c>
      <c r="G42">
        <v>0</v>
      </c>
      <c r="H42">
        <v>-6.2109187224704317E-3</v>
      </c>
      <c r="I42">
        <v>3.0493039802677455E-5</v>
      </c>
      <c r="J42">
        <v>2.925020483283199E-3</v>
      </c>
      <c r="K42">
        <v>-3.0224305721609462E-3</v>
      </c>
      <c r="L42">
        <v>-4.104911734078294E-3</v>
      </c>
      <c r="M42" s="77">
        <v>1.9671083830857972E-2</v>
      </c>
      <c r="N42">
        <v>4.6596577076709835E-4</v>
      </c>
      <c r="O42" s="78">
        <v>-4.5454545454545456E-2</v>
      </c>
      <c r="P42">
        <v>1.1363636363636364E-2</v>
      </c>
      <c r="Q42">
        <v>6.2990508113518204E-3</v>
      </c>
      <c r="R42" s="77">
        <v>1.9601796741795685E-2</v>
      </c>
      <c r="S42">
        <v>-2.138301304490818E-3</v>
      </c>
      <c r="T42">
        <v>-6.5737870629851763E-3</v>
      </c>
      <c r="U42">
        <v>-8.0874065515275997E-3</v>
      </c>
      <c r="V42">
        <v>-6.0191095753607529E-3</v>
      </c>
      <c r="W42">
        <v>4.1123157533533407E-3</v>
      </c>
      <c r="X42">
        <v>-9.9040734885997624E-3</v>
      </c>
      <c r="Y42" s="78">
        <v>-5.4800754800754796E-2</v>
      </c>
      <c r="Z42" s="78">
        <v>-4.5454545454545456E-2</v>
      </c>
      <c r="AA42">
        <v>-2.4237549956789596E-2</v>
      </c>
      <c r="AB42">
        <v>-1.2093267860748068E-2</v>
      </c>
      <c r="AC42">
        <v>-2.8133437678670582E-2</v>
      </c>
      <c r="AD42" s="77">
        <v>4.5513260093473423E-2</v>
      </c>
      <c r="AE42">
        <v>1.2465078593420836E-2</v>
      </c>
      <c r="AF42">
        <v>-2.1339484175323446E-2</v>
      </c>
      <c r="AG42" s="77">
        <v>2.7412587338233707E-2</v>
      </c>
      <c r="AH42">
        <v>3.9141520597799201E-5</v>
      </c>
      <c r="AI42">
        <v>1.1632581417096742E-2</v>
      </c>
      <c r="AJ42">
        <v>-1.2727511486180733E-3</v>
      </c>
      <c r="AK42">
        <v>4.788512141453323E-3</v>
      </c>
      <c r="AL42" s="78">
        <v>-0.18073593073593072</v>
      </c>
      <c r="AM42">
        <v>-7.4297929461418022E-3</v>
      </c>
      <c r="AN42">
        <v>-1.0127231281514387E-2</v>
      </c>
      <c r="AO42" s="77">
        <v>2.3942606451726921E-2</v>
      </c>
      <c r="AP42">
        <v>-9.7364642834038787E-3</v>
      </c>
      <c r="AQ42" s="77">
        <v>2.6920376708878188E-2</v>
      </c>
      <c r="AR42">
        <v>-2.8568272652972206E-2</v>
      </c>
      <c r="AS42">
        <v>-7.2388829261645906E-4</v>
      </c>
      <c r="AT42" s="78">
        <v>-3.6397658964645078E-2</v>
      </c>
      <c r="AU42">
        <v>-1.1531803554627863E-2</v>
      </c>
      <c r="AV42">
        <v>-4.0231073342962718E-3</v>
      </c>
      <c r="AW42" s="78">
        <v>-3.8190860720363158E-2</v>
      </c>
      <c r="AX42">
        <v>2.470936109275448E-3</v>
      </c>
      <c r="AY42">
        <v>-4.9694049534872347E-3</v>
      </c>
      <c r="AZ42">
        <v>-1.7631407269616321E-2</v>
      </c>
      <c r="BA42">
        <v>1.5420110192837466E-2</v>
      </c>
      <c r="BB42">
        <v>-5.856555504172376E-3</v>
      </c>
      <c r="BC42">
        <v>-1.8499081997095664E-2</v>
      </c>
      <c r="BD42" s="77">
        <v>1.9274647098286638E-2</v>
      </c>
      <c r="BE42">
        <v>-6.2612572184108563E-3</v>
      </c>
      <c r="BF42">
        <v>-9.3063224330743773E-3</v>
      </c>
      <c r="BG42">
        <v>-1.4614765246272914E-3</v>
      </c>
      <c r="BH42" s="77">
        <v>4.7051878586214353E-2</v>
      </c>
      <c r="BI42">
        <v>-3.8374098619605858E-3</v>
      </c>
      <c r="BJ42" s="77">
        <v>1.9762618304234054E-2</v>
      </c>
      <c r="BK42" s="78">
        <v>-0.10526315789473684</v>
      </c>
      <c r="BL42">
        <v>-3.143350966267492E-2</v>
      </c>
      <c r="BM42">
        <v>7.2777125710088838E-3</v>
      </c>
      <c r="BN42">
        <v>-3.4220028337675387E-2</v>
      </c>
      <c r="BO42">
        <v>6.5612081029710724E-3</v>
      </c>
      <c r="BP42">
        <v>2.5557738342881094E-3</v>
      </c>
      <c r="BQ42">
        <v>-2.0220510988211999E-2</v>
      </c>
      <c r="BR42">
        <v>1.2039310966549512E-2</v>
      </c>
      <c r="BS42" s="78">
        <v>-0.13333333333333333</v>
      </c>
      <c r="BT42">
        <v>-2.8910846694646286E-3</v>
      </c>
      <c r="BU42">
        <v>-1.210543786799767E-2</v>
      </c>
      <c r="BV42">
        <v>-7.7802087878607569E-3</v>
      </c>
      <c r="BW42">
        <v>-7.0936567796477138E-3</v>
      </c>
      <c r="BX42">
        <v>-3.5714285714285712E-2</v>
      </c>
      <c r="BY42">
        <v>-3.4388428217361922E-3</v>
      </c>
      <c r="BZ42" s="78">
        <v>-4.5340141332063939E-2</v>
      </c>
      <c r="CA42">
        <v>-1.9034417100097182E-2</v>
      </c>
      <c r="CB42">
        <v>-2.1564101189650405E-2</v>
      </c>
      <c r="CC42">
        <v>1.978745249478304E-3</v>
      </c>
      <c r="CD42">
        <v>-1.5808381390386737E-2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tabSelected="1" topLeftCell="A10" zoomScale="74" workbookViewId="0">
      <selection activeCell="A43" sqref="A43:B44"/>
    </sheetView>
  </sheetViews>
  <sheetFormatPr defaultRowHeight="14.4" x14ac:dyDescent="0.3"/>
  <cols>
    <col min="1" max="1" width="14.6640625" style="65" customWidth="1"/>
    <col min="2" max="2" width="16.6640625" style="65" customWidth="1"/>
    <col min="3" max="3" width="19.88671875" style="65" customWidth="1"/>
    <col min="4" max="4" width="13.44140625" style="65" customWidth="1"/>
    <col min="5" max="16384" width="8.88671875" style="65"/>
  </cols>
  <sheetData>
    <row r="1" spans="1:2" ht="15.6" x14ac:dyDescent="0.3">
      <c r="A1" s="69" t="s">
        <v>8956</v>
      </c>
      <c r="B1" s="69"/>
    </row>
    <row r="2" spans="1:2" x14ac:dyDescent="0.3">
      <c r="A2" s="64" t="s">
        <v>9066</v>
      </c>
      <c r="B2" s="70">
        <v>-3.4465458264015265E-2</v>
      </c>
    </row>
    <row r="3" spans="1:2" x14ac:dyDescent="0.3">
      <c r="A3" s="64" t="s">
        <v>9067</v>
      </c>
      <c r="B3" s="70">
        <v>4.6379476854315649E-2</v>
      </c>
    </row>
    <row r="4" spans="1:2" x14ac:dyDescent="0.3">
      <c r="A4" s="64" t="s">
        <v>9068</v>
      </c>
      <c r="B4" s="70">
        <v>-1.5927784319156021E-2</v>
      </c>
    </row>
    <row r="5" spans="1:2" x14ac:dyDescent="0.3">
      <c r="A5" s="64" t="s">
        <v>9069</v>
      </c>
      <c r="B5" s="70">
        <v>8.5855205992206357E-4</v>
      </c>
    </row>
    <row r="6" spans="1:2" x14ac:dyDescent="0.3">
      <c r="A6" s="64" t="s">
        <v>9070</v>
      </c>
      <c r="B6" s="70">
        <v>3.312882479089501E-2</v>
      </c>
    </row>
    <row r="7" spans="1:2" x14ac:dyDescent="0.3">
      <c r="A7" s="64" t="s">
        <v>9071</v>
      </c>
      <c r="B7" s="70">
        <v>2.0016332016083143E-2</v>
      </c>
    </row>
    <row r="8" spans="1:2" x14ac:dyDescent="0.3">
      <c r="A8" s="64" t="s">
        <v>9072</v>
      </c>
      <c r="B8" s="70">
        <v>-2.1173632646030741E-2</v>
      </c>
    </row>
    <row r="9" spans="1:2" x14ac:dyDescent="0.3">
      <c r="A9" s="64" t="s">
        <v>9073</v>
      </c>
      <c r="B9" s="70">
        <v>-4.2519264512980132E-2</v>
      </c>
    </row>
    <row r="10" spans="1:2" x14ac:dyDescent="0.3">
      <c r="A10" s="64" t="s">
        <v>9074</v>
      </c>
      <c r="B10" s="70">
        <v>-1.2662736854251186E-2</v>
      </c>
    </row>
    <row r="11" spans="1:2" x14ac:dyDescent="0.3">
      <c r="A11" s="64" t="s">
        <v>9075</v>
      </c>
      <c r="B11" s="70">
        <v>4.3829613599888274E-2</v>
      </c>
    </row>
    <row r="12" spans="1:2" x14ac:dyDescent="0.3">
      <c r="A12" s="64" t="s">
        <v>9076</v>
      </c>
      <c r="B12" s="70">
        <v>5.9244036745544223E-2</v>
      </c>
    </row>
    <row r="13" spans="1:2" x14ac:dyDescent="0.3">
      <c r="A13" s="64" t="s">
        <v>9077</v>
      </c>
      <c r="B13" s="70">
        <v>-4.3221898804595878E-3</v>
      </c>
    </row>
    <row r="14" spans="1:2" x14ac:dyDescent="0.3">
      <c r="A14" s="64" t="s">
        <v>9078</v>
      </c>
      <c r="B14" s="70">
        <v>3.8580201158702948E-2</v>
      </c>
    </row>
    <row r="15" spans="1:2" x14ac:dyDescent="0.3">
      <c r="A15" s="64" t="s">
        <v>9079</v>
      </c>
      <c r="B15" s="70">
        <v>-3.2891012217182256E-2</v>
      </c>
    </row>
    <row r="16" spans="1:2" x14ac:dyDescent="0.3">
      <c r="A16" s="64" t="s">
        <v>9080</v>
      </c>
      <c r="B16" s="70">
        <v>4.5294982166933485E-2</v>
      </c>
    </row>
    <row r="17" spans="1:2" x14ac:dyDescent="0.3">
      <c r="A17" s="64" t="s">
        <v>9081</v>
      </c>
      <c r="B17" s="70">
        <v>-9.9643963646286235E-2</v>
      </c>
    </row>
    <row r="18" spans="1:2" x14ac:dyDescent="0.3">
      <c r="A18" s="64" t="s">
        <v>9082</v>
      </c>
      <c r="B18" s="70">
        <v>1.6208920902020793E-2</v>
      </c>
    </row>
    <row r="19" spans="1:2" x14ac:dyDescent="0.3">
      <c r="A19" s="64" t="s">
        <v>9083</v>
      </c>
      <c r="B19" s="70">
        <v>-5.2399298867799565E-2</v>
      </c>
    </row>
    <row r="20" spans="1:2" x14ac:dyDescent="0.3">
      <c r="A20" s="64" t="s">
        <v>9084</v>
      </c>
      <c r="B20" s="70">
        <v>-1.0198562490124905E-2</v>
      </c>
    </row>
    <row r="21" spans="1:2" x14ac:dyDescent="0.3">
      <c r="A21" s="64" t="s">
        <v>9085</v>
      </c>
      <c r="B21" s="70">
        <v>3.6713846660112098E-2</v>
      </c>
    </row>
    <row r="22" spans="1:2" x14ac:dyDescent="0.3">
      <c r="A22" s="64" t="s">
        <v>9086</v>
      </c>
      <c r="B22" s="70">
        <v>-3.0652670746633817E-2</v>
      </c>
    </row>
    <row r="23" spans="1:2" x14ac:dyDescent="0.3">
      <c r="A23" s="64" t="s">
        <v>9087</v>
      </c>
      <c r="B23" s="70">
        <v>5.9367680276705874E-3</v>
      </c>
    </row>
    <row r="24" spans="1:2" x14ac:dyDescent="0.3">
      <c r="A24" s="64" t="s">
        <v>9088</v>
      </c>
      <c r="B24" s="70">
        <v>-4.203691045137968E-2</v>
      </c>
    </row>
    <row r="25" spans="1:2" x14ac:dyDescent="0.3">
      <c r="A25" s="64" t="s">
        <v>9089</v>
      </c>
      <c r="B25" s="70">
        <v>3.0935626855192674E-2</v>
      </c>
    </row>
    <row r="26" spans="1:2" x14ac:dyDescent="0.3">
      <c r="A26" s="64" t="s">
        <v>9090</v>
      </c>
      <c r="B26" s="70">
        <v>4.600993410351277E-2</v>
      </c>
    </row>
    <row r="27" spans="1:2" x14ac:dyDescent="0.3">
      <c r="A27" s="64" t="s">
        <v>9091</v>
      </c>
      <c r="B27" s="70">
        <v>6.0274927774198767E-2</v>
      </c>
    </row>
    <row r="28" spans="1:2" x14ac:dyDescent="0.3">
      <c r="A28" s="64" t="s">
        <v>9092</v>
      </c>
      <c r="B28" s="70">
        <v>6.739417437738043E-3</v>
      </c>
    </row>
    <row r="29" spans="1:2" x14ac:dyDescent="0.3">
      <c r="A29" s="64" t="s">
        <v>9093</v>
      </c>
      <c r="B29" s="70">
        <v>3.5155411958826349E-2</v>
      </c>
    </row>
    <row r="30" spans="1:2" x14ac:dyDescent="0.3">
      <c r="A30" s="64" t="s">
        <v>9094</v>
      </c>
      <c r="B30" s="70">
        <v>-2.3175630926366136E-2</v>
      </c>
    </row>
    <row r="31" spans="1:2" x14ac:dyDescent="0.3">
      <c r="A31" s="64" t="s">
        <v>9095</v>
      </c>
      <c r="B31" s="70">
        <v>4.5755656147581397E-2</v>
      </c>
    </row>
    <row r="32" spans="1:2" x14ac:dyDescent="0.3">
      <c r="A32" s="64" t="s">
        <v>9096</v>
      </c>
      <c r="B32" s="70">
        <v>-8.3590785829744385E-4</v>
      </c>
    </row>
    <row r="33" spans="1:2" x14ac:dyDescent="0.3">
      <c r="A33" s="64" t="s">
        <v>9097</v>
      </c>
      <c r="B33" s="70">
        <v>-1.7357572306989547E-2</v>
      </c>
    </row>
    <row r="34" spans="1:2" x14ac:dyDescent="0.3">
      <c r="A34" s="64" t="s">
        <v>9098</v>
      </c>
      <c r="B34" s="70">
        <v>-4.5491022834611107E-3</v>
      </c>
    </row>
    <row r="35" spans="1:2" x14ac:dyDescent="0.3">
      <c r="A35" s="64" t="s">
        <v>9099</v>
      </c>
      <c r="B35" s="70">
        <v>6.5034834650631833E-3</v>
      </c>
    </row>
    <row r="36" spans="1:2" x14ac:dyDescent="0.3">
      <c r="A36" s="64" t="s">
        <v>9100</v>
      </c>
      <c r="B36" s="70">
        <v>1.6441628586053695E-3</v>
      </c>
    </row>
    <row r="37" spans="1:2" x14ac:dyDescent="0.3">
      <c r="A37" s="64" t="s">
        <v>9101</v>
      </c>
      <c r="B37" s="70">
        <v>5.8623263262711139E-2</v>
      </c>
    </row>
    <row r="38" spans="1:2" x14ac:dyDescent="0.3">
      <c r="A38" s="64" t="s">
        <v>9102</v>
      </c>
      <c r="B38" s="70">
        <v>3.1313289450579006E-2</v>
      </c>
    </row>
    <row r="39" spans="1:2" x14ac:dyDescent="0.3">
      <c r="A39" s="64" t="s">
        <v>9103</v>
      </c>
      <c r="B39" s="70">
        <v>6.2349251143390856E-3</v>
      </c>
    </row>
    <row r="40" spans="1:2" ht="13.5" customHeight="1" x14ac:dyDescent="0.3">
      <c r="A40" s="64" t="s">
        <v>9104</v>
      </c>
      <c r="B40" s="70">
        <v>1.4255663024117836E-2</v>
      </c>
    </row>
    <row r="41" spans="1:2" x14ac:dyDescent="0.3">
      <c r="A41" s="64" t="s">
        <v>9105</v>
      </c>
      <c r="B41" s="70">
        <v>1.2E-2</v>
      </c>
    </row>
    <row r="42" spans="1:2" ht="3" customHeight="1" x14ac:dyDescent="0.3">
      <c r="A42" s="71"/>
      <c r="B42" s="71"/>
    </row>
    <row r="43" spans="1:2" x14ac:dyDescent="0.3">
      <c r="A43" s="72" t="s">
        <v>9356</v>
      </c>
      <c r="B43" s="71">
        <v>0.25682561816314031</v>
      </c>
    </row>
    <row r="44" spans="1:2" x14ac:dyDescent="0.3">
      <c r="A44" s="66" t="s">
        <v>9357</v>
      </c>
      <c r="B44" s="67">
        <v>6.4206404540785075E-3</v>
      </c>
    </row>
    <row r="45" spans="1:2" x14ac:dyDescent="0.3">
      <c r="B45" s="68"/>
    </row>
    <row r="46" spans="1:2" x14ac:dyDescent="0.3">
      <c r="B46" s="68"/>
    </row>
    <row r="47" spans="1:2" x14ac:dyDescent="0.3">
      <c r="B47" s="68"/>
    </row>
    <row r="48" spans="1:2" x14ac:dyDescent="0.3">
      <c r="B48" s="68"/>
    </row>
    <row r="49" spans="2:2" x14ac:dyDescent="0.3">
      <c r="B49" s="68"/>
    </row>
    <row r="50" spans="2:2" x14ac:dyDescent="0.3">
      <c r="B50" s="68"/>
    </row>
    <row r="51" spans="2:2" x14ac:dyDescent="0.3">
      <c r="B51" s="68"/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unt">
                <anchor moveWithCells="1" sizeWithCells="1">
                  <from>
                    <xdr:col>5</xdr:col>
                    <xdr:colOff>205740</xdr:colOff>
                    <xdr:row>25</xdr:row>
                    <xdr:rowOff>160020</xdr:rowOff>
                  </from>
                  <to>
                    <xdr:col>8</xdr:col>
                    <xdr:colOff>464820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average">
                <anchor moveWithCells="1" sizeWithCells="1">
                  <from>
                    <xdr:col>9</xdr:col>
                    <xdr:colOff>373380</xdr:colOff>
                    <xdr:row>26</xdr:row>
                    <xdr:rowOff>22860</xdr:rowOff>
                  </from>
                  <to>
                    <xdr:col>12</xdr:col>
                    <xdr:colOff>243840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_good_bad">
                <anchor moveWithCells="1" sizeWithCells="1">
                  <from>
                    <xdr:col>13</xdr:col>
                    <xdr:colOff>114300</xdr:colOff>
                    <xdr:row>26</xdr:row>
                    <xdr:rowOff>30480</xdr:rowOff>
                  </from>
                  <to>
                    <xdr:col>16</xdr:col>
                    <xdr:colOff>83820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ild_portfolio">
                <anchor moveWithCells="1" sizeWithCells="1">
                  <from>
                    <xdr:col>16</xdr:col>
                    <xdr:colOff>579120</xdr:colOff>
                    <xdr:row>26</xdr:row>
                    <xdr:rowOff>30480</xdr:rowOff>
                  </from>
                  <to>
                    <xdr:col>19</xdr:col>
                    <xdr:colOff>137160</xdr:colOff>
                    <xdr:row>31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_xludf.Clear">
                <anchor moveWithCells="1" sizeWithCells="1">
                  <from>
                    <xdr:col>19</xdr:col>
                    <xdr:colOff>464820</xdr:colOff>
                    <xdr:row>25</xdr:row>
                    <xdr:rowOff>175260</xdr:rowOff>
                  </from>
                  <to>
                    <xdr:col>22</xdr:col>
                    <xdr:colOff>259080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o_to_returns">
                <anchor moveWithCells="1" sizeWithCells="1">
                  <from>
                    <xdr:col>2</xdr:col>
                    <xdr:colOff>22860</xdr:colOff>
                    <xdr:row>15</xdr:row>
                    <xdr:rowOff>144780</xdr:rowOff>
                  </from>
                  <to>
                    <xdr:col>3</xdr:col>
                    <xdr:colOff>601980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go_to_prices">
                <anchor moveWithCells="1" sizeWithCells="1">
                  <from>
                    <xdr:col>2</xdr:col>
                    <xdr:colOff>38100</xdr:colOff>
                    <xdr:row>7</xdr:row>
                    <xdr:rowOff>22860</xdr:rowOff>
                  </from>
                  <to>
                    <xdr:col>3</xdr:col>
                    <xdr:colOff>579120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go_to_averet">
                <anchor moveWithCells="1" sizeWithCells="1">
                  <from>
                    <xdr:col>2</xdr:col>
                    <xdr:colOff>22860</xdr:colOff>
                    <xdr:row>23</xdr:row>
                    <xdr:rowOff>137160</xdr:rowOff>
                  </from>
                  <to>
                    <xdr:col>3</xdr:col>
                    <xdr:colOff>601980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50"/>
  <sheetViews>
    <sheetView workbookViewId="0">
      <selection activeCell="F21" sqref="F21"/>
    </sheetView>
  </sheetViews>
  <sheetFormatPr defaultRowHeight="14.4" x14ac:dyDescent="0.3"/>
  <cols>
    <col min="1" max="1" width="10.5546875" style="75" bestFit="1" customWidth="1"/>
    <col min="2" max="2" width="61.88671875" style="75" bestFit="1" customWidth="1"/>
    <col min="3" max="3" width="11.109375" style="75" bestFit="1" customWidth="1"/>
    <col min="4" max="4" width="8" style="75" bestFit="1" customWidth="1"/>
    <col min="5" max="5" width="23.109375" style="75" bestFit="1" customWidth="1"/>
    <col min="6" max="6" width="62.44140625" style="75" bestFit="1" customWidth="1"/>
    <col min="7" max="16384" width="8.88671875" style="74"/>
  </cols>
  <sheetData>
    <row r="1" spans="1:6" x14ac:dyDescent="0.3">
      <c r="A1" s="73" t="s">
        <v>8893</v>
      </c>
      <c r="B1" s="73" t="s">
        <v>0</v>
      </c>
      <c r="C1" s="73" t="s">
        <v>1</v>
      </c>
      <c r="D1" s="73" t="s">
        <v>2</v>
      </c>
      <c r="E1" s="73" t="s">
        <v>3</v>
      </c>
      <c r="F1" s="73" t="s">
        <v>4</v>
      </c>
    </row>
    <row r="2" spans="1:6" x14ac:dyDescent="0.3">
      <c r="A2" s="75" t="s">
        <v>5</v>
      </c>
      <c r="B2" s="75" t="s">
        <v>6</v>
      </c>
      <c r="C2" s="75" t="s">
        <v>7</v>
      </c>
      <c r="D2" s="75">
        <v>2014</v>
      </c>
      <c r="E2" s="75" t="s">
        <v>8</v>
      </c>
      <c r="F2" s="75" t="s">
        <v>9</v>
      </c>
    </row>
    <row r="3" spans="1:6" x14ac:dyDescent="0.3">
      <c r="A3" s="75" t="s">
        <v>10</v>
      </c>
      <c r="B3" s="75" t="s">
        <v>11</v>
      </c>
      <c r="C3" s="75" t="s">
        <v>12</v>
      </c>
      <c r="D3" s="75" t="s">
        <v>13</v>
      </c>
      <c r="E3" s="75" t="s">
        <v>8</v>
      </c>
      <c r="F3" s="75" t="s">
        <v>14</v>
      </c>
    </row>
    <row r="4" spans="1:6" x14ac:dyDescent="0.3">
      <c r="A4" s="75" t="s">
        <v>15</v>
      </c>
      <c r="B4" s="75" t="s">
        <v>16</v>
      </c>
      <c r="C4" s="75" t="s">
        <v>17</v>
      </c>
      <c r="D4" s="75">
        <v>1999</v>
      </c>
      <c r="E4" s="75" t="s">
        <v>18</v>
      </c>
      <c r="F4" s="75" t="s">
        <v>19</v>
      </c>
    </row>
    <row r="5" spans="1:6" x14ac:dyDescent="0.3">
      <c r="A5" s="75" t="s">
        <v>20</v>
      </c>
      <c r="B5" s="75" t="s">
        <v>21</v>
      </c>
      <c r="C5" s="75" t="s">
        <v>22</v>
      </c>
      <c r="D5" s="75" t="s">
        <v>13</v>
      </c>
      <c r="E5" s="75" t="s">
        <v>8</v>
      </c>
      <c r="F5" s="75" t="s">
        <v>23</v>
      </c>
    </row>
    <row r="6" spans="1:6" x14ac:dyDescent="0.3">
      <c r="A6" s="75" t="s">
        <v>24</v>
      </c>
      <c r="B6" s="75" t="s">
        <v>25</v>
      </c>
      <c r="C6" s="75" t="s">
        <v>26</v>
      </c>
      <c r="D6" s="75" t="s">
        <v>13</v>
      </c>
      <c r="E6" s="75" t="s">
        <v>8</v>
      </c>
      <c r="F6" s="75" t="s">
        <v>27</v>
      </c>
    </row>
    <row r="7" spans="1:6" x14ac:dyDescent="0.3">
      <c r="A7" s="75" t="s">
        <v>28</v>
      </c>
      <c r="B7" s="75" t="s">
        <v>29</v>
      </c>
      <c r="C7" s="75" t="s">
        <v>30</v>
      </c>
      <c r="D7" s="75">
        <v>2011</v>
      </c>
      <c r="E7" s="75" t="s">
        <v>31</v>
      </c>
      <c r="F7" s="75" t="s">
        <v>32</v>
      </c>
    </row>
    <row r="8" spans="1:6" x14ac:dyDescent="0.3">
      <c r="A8" s="75" t="s">
        <v>33</v>
      </c>
      <c r="B8" s="75" t="s">
        <v>34</v>
      </c>
      <c r="C8" s="75" t="s">
        <v>35</v>
      </c>
      <c r="D8" s="75">
        <v>2014</v>
      </c>
      <c r="E8" s="75" t="s">
        <v>31</v>
      </c>
      <c r="F8" s="75" t="s">
        <v>36</v>
      </c>
    </row>
    <row r="9" spans="1:6" x14ac:dyDescent="0.3">
      <c r="A9" s="75" t="s">
        <v>37</v>
      </c>
      <c r="B9" s="75" t="s">
        <v>38</v>
      </c>
      <c r="C9" s="75" t="s">
        <v>39</v>
      </c>
      <c r="D9" s="75">
        <v>2004</v>
      </c>
      <c r="E9" s="75" t="s">
        <v>31</v>
      </c>
      <c r="F9" s="75" t="s">
        <v>40</v>
      </c>
    </row>
    <row r="10" spans="1:6" x14ac:dyDescent="0.3">
      <c r="A10" s="75" t="s">
        <v>41</v>
      </c>
      <c r="B10" s="75" t="s">
        <v>42</v>
      </c>
      <c r="C10" s="75" t="s">
        <v>43</v>
      </c>
      <c r="D10" s="75">
        <v>2015</v>
      </c>
      <c r="E10" s="75" t="s">
        <v>44</v>
      </c>
      <c r="F10" s="75" t="s">
        <v>45</v>
      </c>
    </row>
    <row r="11" spans="1:6" x14ac:dyDescent="0.3">
      <c r="A11" s="75" t="s">
        <v>46</v>
      </c>
      <c r="B11" s="75" t="s">
        <v>47</v>
      </c>
      <c r="C11" s="75" t="s">
        <v>48</v>
      </c>
      <c r="D11" s="75" t="s">
        <v>13</v>
      </c>
      <c r="E11" s="75" t="s">
        <v>44</v>
      </c>
      <c r="F11" s="75" t="s">
        <v>49</v>
      </c>
    </row>
    <row r="12" spans="1:6" x14ac:dyDescent="0.3">
      <c r="A12" s="75" t="s">
        <v>50</v>
      </c>
      <c r="B12" s="75" t="s">
        <v>51</v>
      </c>
      <c r="C12" s="75" t="s">
        <v>52</v>
      </c>
      <c r="D12" s="75" t="s">
        <v>13</v>
      </c>
      <c r="E12" s="75" t="s">
        <v>53</v>
      </c>
      <c r="F12" s="75" t="s">
        <v>54</v>
      </c>
    </row>
    <row r="13" spans="1:6" x14ac:dyDescent="0.3">
      <c r="A13" s="75" t="s">
        <v>55</v>
      </c>
      <c r="B13" s="75" t="s">
        <v>56</v>
      </c>
      <c r="C13" s="75" t="s">
        <v>57</v>
      </c>
      <c r="D13" s="75">
        <v>1972</v>
      </c>
      <c r="E13" s="75" t="s">
        <v>58</v>
      </c>
      <c r="F13" s="75" t="s">
        <v>59</v>
      </c>
    </row>
    <row r="14" spans="1:6" x14ac:dyDescent="0.3">
      <c r="A14" s="75" t="s">
        <v>60</v>
      </c>
      <c r="B14" s="75" t="s">
        <v>61</v>
      </c>
      <c r="C14" s="75" t="s">
        <v>62</v>
      </c>
      <c r="D14" s="75" t="s">
        <v>13</v>
      </c>
      <c r="E14" s="75" t="s">
        <v>53</v>
      </c>
      <c r="F14" s="75" t="s">
        <v>63</v>
      </c>
    </row>
    <row r="15" spans="1:6" x14ac:dyDescent="0.3">
      <c r="A15" s="75" t="s">
        <v>64</v>
      </c>
      <c r="B15" s="75" t="s">
        <v>65</v>
      </c>
      <c r="C15" s="75" t="s">
        <v>66</v>
      </c>
      <c r="D15" s="75">
        <v>1992</v>
      </c>
      <c r="E15" s="75" t="s">
        <v>53</v>
      </c>
      <c r="F15" s="75" t="s">
        <v>63</v>
      </c>
    </row>
    <row r="16" spans="1:6" x14ac:dyDescent="0.3">
      <c r="A16" s="75" t="s">
        <v>67</v>
      </c>
      <c r="B16" s="75" t="s">
        <v>68</v>
      </c>
      <c r="C16" s="75" t="s">
        <v>69</v>
      </c>
      <c r="D16" s="75" t="s">
        <v>13</v>
      </c>
      <c r="E16" s="75" t="s">
        <v>70</v>
      </c>
      <c r="F16" s="75" t="s">
        <v>71</v>
      </c>
    </row>
    <row r="17" spans="1:6" x14ac:dyDescent="0.3">
      <c r="A17" s="75" t="s">
        <v>72</v>
      </c>
      <c r="B17" s="75" t="s">
        <v>68</v>
      </c>
      <c r="C17" s="75" t="s">
        <v>13</v>
      </c>
      <c r="D17" s="75" t="s">
        <v>13</v>
      </c>
      <c r="E17" s="75" t="s">
        <v>70</v>
      </c>
      <c r="F17" s="75" t="s">
        <v>71</v>
      </c>
    </row>
    <row r="18" spans="1:6" x14ac:dyDescent="0.3">
      <c r="A18" s="75" t="s">
        <v>73</v>
      </c>
      <c r="B18" s="75" t="s">
        <v>74</v>
      </c>
      <c r="C18" s="75" t="s">
        <v>75</v>
      </c>
      <c r="D18" s="75">
        <v>2014</v>
      </c>
      <c r="E18" s="75" t="s">
        <v>8</v>
      </c>
      <c r="F18" s="75" t="s">
        <v>76</v>
      </c>
    </row>
    <row r="19" spans="1:6" x14ac:dyDescent="0.3">
      <c r="A19" s="75" t="s">
        <v>77</v>
      </c>
      <c r="B19" s="75" t="s">
        <v>78</v>
      </c>
      <c r="C19" s="75" t="s">
        <v>79</v>
      </c>
      <c r="D19" s="75" t="s">
        <v>13</v>
      </c>
      <c r="E19" s="75" t="s">
        <v>70</v>
      </c>
      <c r="F19" s="75" t="s">
        <v>80</v>
      </c>
    </row>
    <row r="20" spans="1:6" x14ac:dyDescent="0.3">
      <c r="A20" s="75" t="s">
        <v>81</v>
      </c>
      <c r="B20" s="75" t="s">
        <v>82</v>
      </c>
      <c r="C20" s="75" t="s">
        <v>83</v>
      </c>
      <c r="D20" s="75" t="s">
        <v>13</v>
      </c>
      <c r="E20" s="75" t="s">
        <v>84</v>
      </c>
      <c r="F20" s="75" t="s">
        <v>85</v>
      </c>
    </row>
    <row r="21" spans="1:6" x14ac:dyDescent="0.3">
      <c r="A21" s="75" t="s">
        <v>86</v>
      </c>
      <c r="B21" s="75" t="s">
        <v>87</v>
      </c>
      <c r="C21" s="75" t="s">
        <v>88</v>
      </c>
      <c r="D21" s="75">
        <v>2016</v>
      </c>
      <c r="E21" s="75" t="s">
        <v>70</v>
      </c>
      <c r="F21" s="75" t="s">
        <v>71</v>
      </c>
    </row>
    <row r="22" spans="1:6" x14ac:dyDescent="0.3">
      <c r="A22" s="75" t="s">
        <v>89</v>
      </c>
      <c r="B22" s="75" t="s">
        <v>90</v>
      </c>
      <c r="C22" s="75" t="s">
        <v>91</v>
      </c>
      <c r="D22" s="75">
        <v>2016</v>
      </c>
      <c r="E22" s="75" t="s">
        <v>31</v>
      </c>
      <c r="F22" s="75" t="s">
        <v>92</v>
      </c>
    </row>
    <row r="23" spans="1:6" x14ac:dyDescent="0.3">
      <c r="A23" s="75" t="s">
        <v>93</v>
      </c>
      <c r="B23" s="75" t="s">
        <v>94</v>
      </c>
      <c r="C23" s="75" t="s">
        <v>95</v>
      </c>
      <c r="D23" s="75" t="s">
        <v>13</v>
      </c>
      <c r="E23" s="75" t="s">
        <v>96</v>
      </c>
      <c r="F23" s="75" t="s">
        <v>97</v>
      </c>
    </row>
    <row r="24" spans="1:6" x14ac:dyDescent="0.3">
      <c r="A24" s="75" t="s">
        <v>98</v>
      </c>
      <c r="B24" s="75" t="s">
        <v>99</v>
      </c>
      <c r="C24" s="75" t="s">
        <v>100</v>
      </c>
      <c r="D24" s="75" t="s">
        <v>13</v>
      </c>
      <c r="E24" s="75" t="s">
        <v>70</v>
      </c>
      <c r="F24" s="75" t="s">
        <v>101</v>
      </c>
    </row>
    <row r="25" spans="1:6" x14ac:dyDescent="0.3">
      <c r="A25" s="75" t="s">
        <v>102</v>
      </c>
      <c r="B25" s="75" t="s">
        <v>103</v>
      </c>
      <c r="C25" s="75" t="s">
        <v>104</v>
      </c>
      <c r="D25" s="75">
        <v>1985</v>
      </c>
      <c r="E25" s="75" t="s">
        <v>70</v>
      </c>
      <c r="F25" s="75" t="s">
        <v>71</v>
      </c>
    </row>
    <row r="26" spans="1:6" x14ac:dyDescent="0.3">
      <c r="A26" s="75" t="s">
        <v>105</v>
      </c>
      <c r="B26" s="75" t="s">
        <v>106</v>
      </c>
      <c r="C26" s="75" t="s">
        <v>107</v>
      </c>
      <c r="D26" s="75" t="s">
        <v>13</v>
      </c>
      <c r="E26" s="75" t="s">
        <v>70</v>
      </c>
      <c r="F26" s="75" t="s">
        <v>71</v>
      </c>
    </row>
    <row r="27" spans="1:6" x14ac:dyDescent="0.3">
      <c r="A27" s="75" t="s">
        <v>108</v>
      </c>
      <c r="B27" s="75" t="s">
        <v>109</v>
      </c>
      <c r="C27" s="75" t="s">
        <v>110</v>
      </c>
      <c r="D27" s="75" t="s">
        <v>13</v>
      </c>
      <c r="E27" s="75" t="s">
        <v>53</v>
      </c>
      <c r="F27" s="75" t="s">
        <v>111</v>
      </c>
    </row>
    <row r="28" spans="1:6" x14ac:dyDescent="0.3">
      <c r="A28" s="75" t="s">
        <v>112</v>
      </c>
      <c r="B28" s="75" t="s">
        <v>113</v>
      </c>
      <c r="C28" s="75" t="s">
        <v>13</v>
      </c>
      <c r="D28" s="75" t="s">
        <v>13</v>
      </c>
      <c r="E28" s="75" t="s">
        <v>70</v>
      </c>
      <c r="F28" s="75" t="s">
        <v>71</v>
      </c>
    </row>
    <row r="29" spans="1:6" x14ac:dyDescent="0.3">
      <c r="A29" s="75" t="s">
        <v>114</v>
      </c>
      <c r="B29" s="75" t="s">
        <v>113</v>
      </c>
      <c r="C29" s="75" t="s">
        <v>13</v>
      </c>
      <c r="D29" s="75" t="s">
        <v>13</v>
      </c>
      <c r="E29" s="75" t="s">
        <v>70</v>
      </c>
      <c r="F29" s="75" t="s">
        <v>71</v>
      </c>
    </row>
    <row r="30" spans="1:6" x14ac:dyDescent="0.3">
      <c r="A30" s="75" t="s">
        <v>115</v>
      </c>
      <c r="B30" s="75" t="s">
        <v>116</v>
      </c>
      <c r="C30" s="75" t="s">
        <v>117</v>
      </c>
      <c r="D30" s="75">
        <v>2013</v>
      </c>
      <c r="E30" s="75" t="s">
        <v>70</v>
      </c>
      <c r="F30" s="75" t="s">
        <v>118</v>
      </c>
    </row>
    <row r="31" spans="1:6" x14ac:dyDescent="0.3">
      <c r="A31" s="75" t="s">
        <v>119</v>
      </c>
      <c r="B31" s="75" t="s">
        <v>120</v>
      </c>
      <c r="C31" s="75" t="s">
        <v>121</v>
      </c>
      <c r="D31" s="75" t="s">
        <v>13</v>
      </c>
      <c r="E31" s="75" t="s">
        <v>8</v>
      </c>
      <c r="F31" s="75" t="s">
        <v>23</v>
      </c>
    </row>
    <row r="32" spans="1:6" x14ac:dyDescent="0.3">
      <c r="A32" s="75" t="s">
        <v>122</v>
      </c>
      <c r="B32" s="75" t="s">
        <v>123</v>
      </c>
      <c r="C32" s="75" t="s">
        <v>124</v>
      </c>
      <c r="D32" s="75">
        <v>2007</v>
      </c>
      <c r="E32" s="75" t="s">
        <v>70</v>
      </c>
      <c r="F32" s="75" t="s">
        <v>80</v>
      </c>
    </row>
    <row r="33" spans="1:6" x14ac:dyDescent="0.3">
      <c r="A33" s="75" t="s">
        <v>125</v>
      </c>
      <c r="B33" s="75" t="s">
        <v>126</v>
      </c>
      <c r="C33" s="75" t="s">
        <v>127</v>
      </c>
      <c r="D33" s="75">
        <v>2011</v>
      </c>
      <c r="E33" s="75" t="s">
        <v>70</v>
      </c>
      <c r="F33" s="75" t="s">
        <v>71</v>
      </c>
    </row>
    <row r="34" spans="1:6" x14ac:dyDescent="0.3">
      <c r="A34" s="75" t="s">
        <v>128</v>
      </c>
      <c r="B34" s="75" t="s">
        <v>129</v>
      </c>
      <c r="C34" s="75" t="s">
        <v>130</v>
      </c>
      <c r="D34" s="75" t="s">
        <v>13</v>
      </c>
      <c r="E34" s="75" t="s">
        <v>70</v>
      </c>
      <c r="F34" s="75" t="s">
        <v>131</v>
      </c>
    </row>
    <row r="35" spans="1:6" x14ac:dyDescent="0.3">
      <c r="A35" s="75" t="s">
        <v>132</v>
      </c>
      <c r="B35" s="75" t="s">
        <v>133</v>
      </c>
      <c r="C35" s="75" t="s">
        <v>134</v>
      </c>
      <c r="D35" s="75">
        <v>2014</v>
      </c>
      <c r="E35" s="75" t="s">
        <v>70</v>
      </c>
      <c r="F35" s="75" t="s">
        <v>71</v>
      </c>
    </row>
    <row r="36" spans="1:6" x14ac:dyDescent="0.3">
      <c r="A36" s="75" t="s">
        <v>135</v>
      </c>
      <c r="B36" s="75" t="s">
        <v>136</v>
      </c>
      <c r="C36" s="76">
        <v>949869.74</v>
      </c>
      <c r="D36" s="75" t="s">
        <v>13</v>
      </c>
      <c r="E36" s="75" t="s">
        <v>70</v>
      </c>
      <c r="F36" s="75" t="s">
        <v>137</v>
      </c>
    </row>
    <row r="37" spans="1:6" x14ac:dyDescent="0.3">
      <c r="A37" s="75" t="s">
        <v>138</v>
      </c>
      <c r="B37" s="75" t="s">
        <v>139</v>
      </c>
      <c r="C37" s="75" t="s">
        <v>140</v>
      </c>
      <c r="D37" s="75">
        <v>2006</v>
      </c>
      <c r="E37" s="75" t="s">
        <v>70</v>
      </c>
      <c r="F37" s="75" t="s">
        <v>71</v>
      </c>
    </row>
    <row r="38" spans="1:6" x14ac:dyDescent="0.3">
      <c r="A38" s="75" t="s">
        <v>141</v>
      </c>
      <c r="B38" s="75" t="s">
        <v>142</v>
      </c>
      <c r="C38" s="75" t="s">
        <v>143</v>
      </c>
      <c r="D38" s="75" t="s">
        <v>13</v>
      </c>
      <c r="E38" s="75" t="s">
        <v>31</v>
      </c>
      <c r="F38" s="75" t="s">
        <v>36</v>
      </c>
    </row>
    <row r="39" spans="1:6" x14ac:dyDescent="0.3">
      <c r="A39" s="75" t="s">
        <v>144</v>
      </c>
      <c r="B39" s="75" t="s">
        <v>145</v>
      </c>
      <c r="C39" s="75" t="s">
        <v>146</v>
      </c>
      <c r="D39" s="75">
        <v>2015</v>
      </c>
      <c r="E39" s="75" t="s">
        <v>70</v>
      </c>
      <c r="F39" s="75" t="s">
        <v>71</v>
      </c>
    </row>
    <row r="40" spans="1:6" x14ac:dyDescent="0.3">
      <c r="A40" s="75" t="s">
        <v>147</v>
      </c>
      <c r="B40" s="75" t="s">
        <v>148</v>
      </c>
      <c r="C40" s="75" t="s">
        <v>149</v>
      </c>
      <c r="D40" s="75" t="s">
        <v>13</v>
      </c>
      <c r="E40" s="75" t="s">
        <v>8</v>
      </c>
      <c r="F40" s="75" t="s">
        <v>27</v>
      </c>
    </row>
    <row r="41" spans="1:6" x14ac:dyDescent="0.3">
      <c r="A41" s="75" t="s">
        <v>150</v>
      </c>
      <c r="B41" s="75" t="s">
        <v>151</v>
      </c>
      <c r="C41" s="75" t="s">
        <v>152</v>
      </c>
      <c r="D41" s="75">
        <v>2006</v>
      </c>
      <c r="E41" s="75" t="s">
        <v>70</v>
      </c>
      <c r="F41" s="75" t="s">
        <v>118</v>
      </c>
    </row>
    <row r="42" spans="1:6" x14ac:dyDescent="0.3">
      <c r="A42" s="75" t="s">
        <v>153</v>
      </c>
      <c r="B42" s="75" t="s">
        <v>154</v>
      </c>
      <c r="C42" s="75" t="s">
        <v>13</v>
      </c>
      <c r="D42" s="75" t="s">
        <v>13</v>
      </c>
      <c r="E42" s="75" t="s">
        <v>13</v>
      </c>
      <c r="F42" s="75" t="s">
        <v>13</v>
      </c>
    </row>
    <row r="43" spans="1:6" x14ac:dyDescent="0.3">
      <c r="A43" s="75" t="s">
        <v>155</v>
      </c>
      <c r="B43" s="75" t="s">
        <v>156</v>
      </c>
      <c r="C43" s="75" t="s">
        <v>157</v>
      </c>
      <c r="D43" s="75" t="s">
        <v>13</v>
      </c>
      <c r="E43" s="75" t="s">
        <v>31</v>
      </c>
      <c r="F43" s="75" t="s">
        <v>36</v>
      </c>
    </row>
    <row r="44" spans="1:6" x14ac:dyDescent="0.3">
      <c r="A44" s="75" t="s">
        <v>158</v>
      </c>
      <c r="B44" s="75" t="s">
        <v>159</v>
      </c>
      <c r="C44" s="75" t="s">
        <v>160</v>
      </c>
      <c r="D44" s="75" t="s">
        <v>13</v>
      </c>
      <c r="E44" s="75" t="s">
        <v>31</v>
      </c>
      <c r="F44" s="75" t="s">
        <v>161</v>
      </c>
    </row>
    <row r="45" spans="1:6" x14ac:dyDescent="0.3">
      <c r="A45" s="75" t="s">
        <v>162</v>
      </c>
      <c r="B45" s="75" t="s">
        <v>163</v>
      </c>
      <c r="C45" s="75" t="s">
        <v>91</v>
      </c>
      <c r="D45" s="75" t="s">
        <v>13</v>
      </c>
      <c r="E45" s="75" t="s">
        <v>31</v>
      </c>
      <c r="F45" s="75" t="s">
        <v>161</v>
      </c>
    </row>
    <row r="46" spans="1:6" x14ac:dyDescent="0.3">
      <c r="A46" s="75" t="s">
        <v>164</v>
      </c>
      <c r="B46" s="75" t="s">
        <v>165</v>
      </c>
      <c r="C46" s="75" t="s">
        <v>166</v>
      </c>
      <c r="D46" s="75">
        <v>2014</v>
      </c>
      <c r="E46" s="75" t="s">
        <v>70</v>
      </c>
      <c r="F46" s="75" t="s">
        <v>71</v>
      </c>
    </row>
    <row r="47" spans="1:6" x14ac:dyDescent="0.3">
      <c r="A47" s="75" t="s">
        <v>167</v>
      </c>
      <c r="B47" s="75" t="s">
        <v>168</v>
      </c>
      <c r="C47" s="75" t="s">
        <v>169</v>
      </c>
      <c r="D47" s="75" t="s">
        <v>13</v>
      </c>
      <c r="E47" s="75" t="s">
        <v>70</v>
      </c>
      <c r="F47" s="75" t="s">
        <v>71</v>
      </c>
    </row>
    <row r="48" spans="1:6" x14ac:dyDescent="0.3">
      <c r="A48" s="75" t="s">
        <v>170</v>
      </c>
      <c r="B48" s="75" t="s">
        <v>171</v>
      </c>
      <c r="C48" s="75" t="s">
        <v>172</v>
      </c>
      <c r="D48" s="75">
        <v>2015</v>
      </c>
      <c r="E48" s="75" t="s">
        <v>70</v>
      </c>
      <c r="F48" s="75" t="s">
        <v>118</v>
      </c>
    </row>
    <row r="49" spans="1:6" x14ac:dyDescent="0.3">
      <c r="A49" s="75" t="s">
        <v>173</v>
      </c>
      <c r="B49" s="75" t="s">
        <v>174</v>
      </c>
      <c r="C49" s="75" t="s">
        <v>175</v>
      </c>
      <c r="D49" s="75">
        <v>2009</v>
      </c>
      <c r="E49" s="75" t="s">
        <v>70</v>
      </c>
      <c r="F49" s="75" t="s">
        <v>176</v>
      </c>
    </row>
    <row r="50" spans="1:6" x14ac:dyDescent="0.3">
      <c r="A50" s="75" t="s">
        <v>177</v>
      </c>
      <c r="B50" s="75" t="s">
        <v>178</v>
      </c>
      <c r="C50" s="75" t="s">
        <v>179</v>
      </c>
      <c r="D50" s="75" t="s">
        <v>13</v>
      </c>
      <c r="E50" s="75" t="s">
        <v>18</v>
      </c>
      <c r="F50" s="75" t="s">
        <v>180</v>
      </c>
    </row>
    <row r="51" spans="1:6" x14ac:dyDescent="0.3">
      <c r="A51" s="75" t="s">
        <v>181</v>
      </c>
      <c r="B51" s="75" t="s">
        <v>182</v>
      </c>
      <c r="C51" s="75" t="s">
        <v>183</v>
      </c>
      <c r="D51" s="75">
        <v>2015</v>
      </c>
      <c r="E51" s="75" t="s">
        <v>31</v>
      </c>
      <c r="F51" s="75" t="s">
        <v>92</v>
      </c>
    </row>
    <row r="52" spans="1:6" x14ac:dyDescent="0.3">
      <c r="A52" s="75" t="s">
        <v>184</v>
      </c>
      <c r="B52" s="75" t="s">
        <v>185</v>
      </c>
      <c r="C52" s="75" t="s">
        <v>186</v>
      </c>
      <c r="D52" s="75" t="s">
        <v>13</v>
      </c>
      <c r="E52" s="75" t="s">
        <v>70</v>
      </c>
      <c r="F52" s="75" t="s">
        <v>118</v>
      </c>
    </row>
    <row r="53" spans="1:6" x14ac:dyDescent="0.3">
      <c r="A53" s="75" t="s">
        <v>187</v>
      </c>
      <c r="B53" s="75" t="s">
        <v>188</v>
      </c>
      <c r="C53" s="75" t="s">
        <v>189</v>
      </c>
      <c r="D53" s="75">
        <v>1986</v>
      </c>
      <c r="E53" s="75" t="s">
        <v>31</v>
      </c>
      <c r="F53" s="75" t="s">
        <v>36</v>
      </c>
    </row>
    <row r="54" spans="1:6" x14ac:dyDescent="0.3">
      <c r="A54" s="75" t="s">
        <v>190</v>
      </c>
      <c r="B54" s="75" t="s">
        <v>191</v>
      </c>
      <c r="C54" s="75" t="s">
        <v>192</v>
      </c>
      <c r="D54" s="75">
        <v>2017</v>
      </c>
      <c r="E54" s="75" t="s">
        <v>53</v>
      </c>
      <c r="F54" s="75" t="s">
        <v>193</v>
      </c>
    </row>
    <row r="55" spans="1:6" x14ac:dyDescent="0.3">
      <c r="A55" s="75" t="s">
        <v>194</v>
      </c>
      <c r="B55" s="75" t="s">
        <v>195</v>
      </c>
      <c r="C55" s="75" t="s">
        <v>196</v>
      </c>
      <c r="D55" s="75">
        <v>1994</v>
      </c>
      <c r="E55" s="75" t="s">
        <v>44</v>
      </c>
      <c r="F55" s="75" t="s">
        <v>49</v>
      </c>
    </row>
    <row r="56" spans="1:6" x14ac:dyDescent="0.3">
      <c r="A56" s="75" t="s">
        <v>197</v>
      </c>
      <c r="B56" s="75" t="s">
        <v>198</v>
      </c>
      <c r="C56" s="75" t="s">
        <v>199</v>
      </c>
      <c r="D56" s="75">
        <v>2015</v>
      </c>
      <c r="E56" s="75" t="s">
        <v>70</v>
      </c>
      <c r="F56" s="75" t="s">
        <v>71</v>
      </c>
    </row>
    <row r="57" spans="1:6" x14ac:dyDescent="0.3">
      <c r="A57" s="75" t="s">
        <v>200</v>
      </c>
      <c r="B57" s="75" t="s">
        <v>201</v>
      </c>
      <c r="C57" s="75" t="s">
        <v>202</v>
      </c>
      <c r="D57" s="75">
        <v>2015</v>
      </c>
      <c r="E57" s="75" t="s">
        <v>70</v>
      </c>
      <c r="F57" s="75" t="s">
        <v>71</v>
      </c>
    </row>
    <row r="58" spans="1:6" x14ac:dyDescent="0.3">
      <c r="A58" s="75" t="s">
        <v>203</v>
      </c>
      <c r="B58" s="75" t="s">
        <v>204</v>
      </c>
      <c r="C58" s="75" t="s">
        <v>205</v>
      </c>
      <c r="D58" s="75" t="s">
        <v>13</v>
      </c>
      <c r="E58" s="75" t="s">
        <v>58</v>
      </c>
      <c r="F58" s="75" t="s">
        <v>59</v>
      </c>
    </row>
    <row r="59" spans="1:6" x14ac:dyDescent="0.3">
      <c r="A59" s="75" t="s">
        <v>206</v>
      </c>
      <c r="B59" s="75" t="s">
        <v>207</v>
      </c>
      <c r="C59" s="75" t="s">
        <v>208</v>
      </c>
      <c r="D59" s="75">
        <v>1995</v>
      </c>
      <c r="E59" s="75" t="s">
        <v>53</v>
      </c>
      <c r="F59" s="75" t="s">
        <v>63</v>
      </c>
    </row>
    <row r="60" spans="1:6" x14ac:dyDescent="0.3">
      <c r="A60" s="75" t="s">
        <v>209</v>
      </c>
      <c r="B60" s="75" t="s">
        <v>210</v>
      </c>
      <c r="C60" s="75" t="s">
        <v>211</v>
      </c>
      <c r="D60" s="75" t="s">
        <v>13</v>
      </c>
      <c r="E60" s="75" t="s">
        <v>31</v>
      </c>
      <c r="F60" s="75" t="s">
        <v>92</v>
      </c>
    </row>
    <row r="61" spans="1:6" x14ac:dyDescent="0.3">
      <c r="A61" s="75" t="s">
        <v>212</v>
      </c>
      <c r="B61" s="75" t="s">
        <v>213</v>
      </c>
      <c r="C61" s="75" t="s">
        <v>214</v>
      </c>
      <c r="D61" s="75" t="s">
        <v>13</v>
      </c>
      <c r="E61" s="75" t="s">
        <v>70</v>
      </c>
      <c r="F61" s="75" t="s">
        <v>71</v>
      </c>
    </row>
    <row r="62" spans="1:6" x14ac:dyDescent="0.3">
      <c r="A62" s="75" t="s">
        <v>215</v>
      </c>
      <c r="B62" s="75" t="s">
        <v>213</v>
      </c>
      <c r="C62" s="75" t="s">
        <v>13</v>
      </c>
      <c r="D62" s="75" t="s">
        <v>13</v>
      </c>
      <c r="E62" s="75" t="s">
        <v>70</v>
      </c>
      <c r="F62" s="75" t="s">
        <v>71</v>
      </c>
    </row>
    <row r="63" spans="1:6" x14ac:dyDescent="0.3">
      <c r="A63" s="75" t="s">
        <v>216</v>
      </c>
      <c r="B63" s="75" t="s">
        <v>217</v>
      </c>
      <c r="C63" s="75" t="s">
        <v>218</v>
      </c>
      <c r="D63" s="75">
        <v>2014</v>
      </c>
      <c r="E63" s="75" t="s">
        <v>70</v>
      </c>
      <c r="F63" s="75" t="s">
        <v>118</v>
      </c>
    </row>
    <row r="64" spans="1:6" x14ac:dyDescent="0.3">
      <c r="A64" s="75" t="s">
        <v>219</v>
      </c>
      <c r="B64" s="75" t="s">
        <v>220</v>
      </c>
      <c r="C64" s="75" t="s">
        <v>221</v>
      </c>
      <c r="D64" s="75" t="s">
        <v>13</v>
      </c>
      <c r="E64" s="75" t="s">
        <v>58</v>
      </c>
      <c r="F64" s="75" t="s">
        <v>222</v>
      </c>
    </row>
    <row r="65" spans="1:6" x14ac:dyDescent="0.3">
      <c r="A65" s="75" t="s">
        <v>223</v>
      </c>
      <c r="B65" s="75" t="s">
        <v>224</v>
      </c>
      <c r="C65" s="75" t="s">
        <v>225</v>
      </c>
      <c r="D65" s="75">
        <v>2016</v>
      </c>
      <c r="E65" s="75" t="s">
        <v>70</v>
      </c>
      <c r="F65" s="75" t="s">
        <v>71</v>
      </c>
    </row>
    <row r="66" spans="1:6" x14ac:dyDescent="0.3">
      <c r="A66" s="75" t="s">
        <v>226</v>
      </c>
      <c r="B66" s="75" t="s">
        <v>227</v>
      </c>
      <c r="C66" s="75" t="s">
        <v>228</v>
      </c>
      <c r="D66" s="75">
        <v>1997</v>
      </c>
      <c r="E66" s="75" t="s">
        <v>53</v>
      </c>
      <c r="F66" s="75" t="s">
        <v>229</v>
      </c>
    </row>
    <row r="67" spans="1:6" x14ac:dyDescent="0.3">
      <c r="A67" s="75" t="s">
        <v>230</v>
      </c>
      <c r="B67" s="75" t="s">
        <v>231</v>
      </c>
      <c r="C67" s="75" t="s">
        <v>232</v>
      </c>
      <c r="D67" s="75" t="s">
        <v>13</v>
      </c>
      <c r="E67" s="75" t="s">
        <v>58</v>
      </c>
      <c r="F67" s="75" t="s">
        <v>59</v>
      </c>
    </row>
    <row r="68" spans="1:6" x14ac:dyDescent="0.3">
      <c r="A68" s="75" t="s">
        <v>233</v>
      </c>
      <c r="B68" s="75" t="s">
        <v>234</v>
      </c>
      <c r="C68" s="75" t="s">
        <v>91</v>
      </c>
      <c r="D68" s="75">
        <v>2013</v>
      </c>
      <c r="E68" s="75" t="s">
        <v>70</v>
      </c>
      <c r="F68" s="75" t="s">
        <v>118</v>
      </c>
    </row>
    <row r="69" spans="1:6" x14ac:dyDescent="0.3">
      <c r="A69" s="75" t="s">
        <v>235</v>
      </c>
      <c r="B69" s="75" t="s">
        <v>236</v>
      </c>
      <c r="C69" s="75" t="s">
        <v>237</v>
      </c>
      <c r="D69" s="75">
        <v>2007</v>
      </c>
      <c r="E69" s="75" t="s">
        <v>53</v>
      </c>
      <c r="F69" s="75" t="s">
        <v>238</v>
      </c>
    </row>
    <row r="70" spans="1:6" x14ac:dyDescent="0.3">
      <c r="A70" s="75" t="s">
        <v>239</v>
      </c>
      <c r="B70" s="75" t="s">
        <v>240</v>
      </c>
      <c r="C70" s="75" t="s">
        <v>241</v>
      </c>
      <c r="D70" s="75" t="s">
        <v>13</v>
      </c>
      <c r="E70" s="75" t="s">
        <v>70</v>
      </c>
      <c r="F70" s="75" t="s">
        <v>71</v>
      </c>
    </row>
    <row r="71" spans="1:6" x14ac:dyDescent="0.3">
      <c r="A71" s="75" t="s">
        <v>242</v>
      </c>
      <c r="B71" s="75" t="s">
        <v>243</v>
      </c>
      <c r="C71" s="75" t="s">
        <v>244</v>
      </c>
      <c r="D71" s="75" t="s">
        <v>13</v>
      </c>
      <c r="E71" s="75" t="s">
        <v>53</v>
      </c>
      <c r="F71" s="75" t="s">
        <v>111</v>
      </c>
    </row>
    <row r="72" spans="1:6" x14ac:dyDescent="0.3">
      <c r="A72" s="75" t="s">
        <v>245</v>
      </c>
      <c r="B72" s="75" t="s">
        <v>246</v>
      </c>
      <c r="C72" s="75" t="s">
        <v>247</v>
      </c>
      <c r="D72" s="75" t="s">
        <v>13</v>
      </c>
      <c r="E72" s="75" t="s">
        <v>70</v>
      </c>
      <c r="F72" s="75" t="s">
        <v>118</v>
      </c>
    </row>
    <row r="73" spans="1:6" x14ac:dyDescent="0.3">
      <c r="A73" s="75" t="s">
        <v>248</v>
      </c>
      <c r="B73" s="75" t="s">
        <v>249</v>
      </c>
      <c r="C73" s="75" t="s">
        <v>250</v>
      </c>
      <c r="D73" s="75">
        <v>2014</v>
      </c>
      <c r="E73" s="75" t="s">
        <v>70</v>
      </c>
      <c r="F73" s="75" t="s">
        <v>71</v>
      </c>
    </row>
    <row r="74" spans="1:6" x14ac:dyDescent="0.3">
      <c r="A74" s="75" t="s">
        <v>251</v>
      </c>
      <c r="B74" s="75" t="s">
        <v>252</v>
      </c>
      <c r="C74" s="75" t="s">
        <v>253</v>
      </c>
      <c r="D74" s="75">
        <v>2000</v>
      </c>
      <c r="E74" s="75" t="s">
        <v>70</v>
      </c>
      <c r="F74" s="75" t="s">
        <v>118</v>
      </c>
    </row>
    <row r="75" spans="1:6" x14ac:dyDescent="0.3">
      <c r="A75" s="75" t="s">
        <v>254</v>
      </c>
      <c r="B75" s="75" t="s">
        <v>255</v>
      </c>
      <c r="C75" s="75" t="s">
        <v>256</v>
      </c>
      <c r="D75" s="75">
        <v>2014</v>
      </c>
      <c r="E75" s="75" t="s">
        <v>70</v>
      </c>
      <c r="F75" s="75" t="s">
        <v>71</v>
      </c>
    </row>
    <row r="76" spans="1:6" x14ac:dyDescent="0.3">
      <c r="A76" s="75" t="s">
        <v>257</v>
      </c>
      <c r="B76" s="75" t="s">
        <v>258</v>
      </c>
      <c r="C76" s="75" t="s">
        <v>259</v>
      </c>
      <c r="D76" s="75" t="s">
        <v>13</v>
      </c>
      <c r="E76" s="75" t="s">
        <v>31</v>
      </c>
      <c r="F76" s="75" t="s">
        <v>161</v>
      </c>
    </row>
    <row r="77" spans="1:6" x14ac:dyDescent="0.3">
      <c r="A77" s="75" t="s">
        <v>260</v>
      </c>
      <c r="B77" s="75" t="s">
        <v>261</v>
      </c>
      <c r="C77" s="75" t="s">
        <v>262</v>
      </c>
      <c r="D77" s="75">
        <v>2013</v>
      </c>
      <c r="E77" s="75" t="s">
        <v>70</v>
      </c>
      <c r="F77" s="75" t="s">
        <v>71</v>
      </c>
    </row>
    <row r="78" spans="1:6" x14ac:dyDescent="0.3">
      <c r="A78" s="75" t="s">
        <v>263</v>
      </c>
      <c r="B78" s="75" t="s">
        <v>264</v>
      </c>
      <c r="C78" s="75" t="s">
        <v>265</v>
      </c>
      <c r="D78" s="75">
        <v>2008</v>
      </c>
      <c r="E78" s="75" t="s">
        <v>18</v>
      </c>
      <c r="F78" s="75" t="s">
        <v>266</v>
      </c>
    </row>
    <row r="79" spans="1:6" x14ac:dyDescent="0.3">
      <c r="A79" s="75" t="s">
        <v>267</v>
      </c>
      <c r="B79" s="75" t="s">
        <v>264</v>
      </c>
      <c r="C79" s="75" t="s">
        <v>268</v>
      </c>
      <c r="D79" s="75" t="s">
        <v>13</v>
      </c>
      <c r="E79" s="75" t="s">
        <v>18</v>
      </c>
      <c r="F79" s="75" t="s">
        <v>266</v>
      </c>
    </row>
    <row r="80" spans="1:6" x14ac:dyDescent="0.3">
      <c r="A80" s="75" t="s">
        <v>269</v>
      </c>
      <c r="B80" s="75" t="s">
        <v>264</v>
      </c>
      <c r="C80" s="75" t="s">
        <v>13</v>
      </c>
      <c r="D80" s="75" t="s">
        <v>13</v>
      </c>
      <c r="E80" s="75" t="s">
        <v>18</v>
      </c>
      <c r="F80" s="75" t="s">
        <v>266</v>
      </c>
    </row>
    <row r="81" spans="1:6" x14ac:dyDescent="0.3">
      <c r="A81" s="75" t="s">
        <v>270</v>
      </c>
      <c r="B81" s="75" t="s">
        <v>271</v>
      </c>
      <c r="C81" s="75" t="s">
        <v>272</v>
      </c>
      <c r="D81" s="75">
        <v>2014</v>
      </c>
      <c r="E81" s="75" t="s">
        <v>8</v>
      </c>
      <c r="F81" s="75" t="s">
        <v>76</v>
      </c>
    </row>
    <row r="82" spans="1:6" x14ac:dyDescent="0.3">
      <c r="A82" s="75" t="s">
        <v>273</v>
      </c>
      <c r="B82" s="75" t="s">
        <v>271</v>
      </c>
      <c r="C82" s="75" t="s">
        <v>13</v>
      </c>
      <c r="D82" s="75">
        <v>2014</v>
      </c>
      <c r="E82" s="75" t="s">
        <v>8</v>
      </c>
      <c r="F82" s="75" t="s">
        <v>76</v>
      </c>
    </row>
    <row r="83" spans="1:6" x14ac:dyDescent="0.3">
      <c r="A83" s="75" t="s">
        <v>274</v>
      </c>
      <c r="B83" s="75" t="s">
        <v>275</v>
      </c>
      <c r="C83" s="75" t="s">
        <v>276</v>
      </c>
      <c r="D83" s="75">
        <v>2017</v>
      </c>
      <c r="E83" s="75" t="s">
        <v>70</v>
      </c>
      <c r="F83" s="75" t="s">
        <v>71</v>
      </c>
    </row>
    <row r="84" spans="1:6" x14ac:dyDescent="0.3">
      <c r="A84" s="75" t="s">
        <v>277</v>
      </c>
      <c r="B84" s="75" t="s">
        <v>278</v>
      </c>
      <c r="C84" s="75" t="s">
        <v>279</v>
      </c>
      <c r="D84" s="75">
        <v>2015</v>
      </c>
      <c r="E84" s="75" t="s">
        <v>70</v>
      </c>
      <c r="F84" s="75" t="s">
        <v>71</v>
      </c>
    </row>
    <row r="85" spans="1:6" x14ac:dyDescent="0.3">
      <c r="A85" s="75" t="s">
        <v>280</v>
      </c>
      <c r="B85" s="75" t="s">
        <v>281</v>
      </c>
      <c r="C85" s="75" t="s">
        <v>282</v>
      </c>
      <c r="D85" s="75" t="s">
        <v>13</v>
      </c>
      <c r="E85" s="75" t="s">
        <v>283</v>
      </c>
      <c r="F85" s="75" t="s">
        <v>284</v>
      </c>
    </row>
    <row r="86" spans="1:6" x14ac:dyDescent="0.3">
      <c r="A86" s="75" t="s">
        <v>285</v>
      </c>
      <c r="B86" s="75" t="s">
        <v>286</v>
      </c>
      <c r="C86" s="75" t="s">
        <v>287</v>
      </c>
      <c r="D86" s="75" t="s">
        <v>13</v>
      </c>
      <c r="E86" s="75" t="s">
        <v>283</v>
      </c>
      <c r="F86" s="75" t="s">
        <v>284</v>
      </c>
    </row>
    <row r="87" spans="1:6" x14ac:dyDescent="0.3">
      <c r="A87" s="75" t="s">
        <v>288</v>
      </c>
      <c r="B87" s="75" t="s">
        <v>289</v>
      </c>
      <c r="C87" s="75" t="s">
        <v>290</v>
      </c>
      <c r="D87" s="75">
        <v>2016</v>
      </c>
      <c r="E87" s="75" t="s">
        <v>31</v>
      </c>
      <c r="F87" s="75" t="s">
        <v>291</v>
      </c>
    </row>
    <row r="88" spans="1:6" x14ac:dyDescent="0.3">
      <c r="A88" s="75" t="s">
        <v>292</v>
      </c>
      <c r="B88" s="75" t="s">
        <v>293</v>
      </c>
      <c r="C88" s="75" t="s">
        <v>294</v>
      </c>
      <c r="D88" s="75">
        <v>2007</v>
      </c>
      <c r="E88" s="75" t="s">
        <v>31</v>
      </c>
      <c r="F88" s="75" t="s">
        <v>295</v>
      </c>
    </row>
    <row r="89" spans="1:6" x14ac:dyDescent="0.3">
      <c r="A89" s="75" t="s">
        <v>296</v>
      </c>
      <c r="B89" s="75" t="s">
        <v>297</v>
      </c>
      <c r="C89" s="75" t="s">
        <v>298</v>
      </c>
      <c r="D89" s="75">
        <v>1999</v>
      </c>
      <c r="E89" s="75" t="s">
        <v>96</v>
      </c>
      <c r="F89" s="75" t="s">
        <v>76</v>
      </c>
    </row>
    <row r="90" spans="1:6" x14ac:dyDescent="0.3">
      <c r="A90" s="75" t="s">
        <v>299</v>
      </c>
      <c r="B90" s="75" t="s">
        <v>300</v>
      </c>
      <c r="C90" s="75" t="s">
        <v>301</v>
      </c>
      <c r="D90" s="75" t="s">
        <v>13</v>
      </c>
      <c r="E90" s="75" t="s">
        <v>70</v>
      </c>
      <c r="F90" s="75" t="s">
        <v>71</v>
      </c>
    </row>
    <row r="91" spans="1:6" x14ac:dyDescent="0.3">
      <c r="A91" s="75" t="s">
        <v>302</v>
      </c>
      <c r="B91" s="75" t="s">
        <v>303</v>
      </c>
      <c r="C91" s="75" t="s">
        <v>304</v>
      </c>
      <c r="D91" s="75">
        <v>2017</v>
      </c>
      <c r="E91" s="75" t="s">
        <v>70</v>
      </c>
      <c r="F91" s="75" t="s">
        <v>71</v>
      </c>
    </row>
    <row r="92" spans="1:6" x14ac:dyDescent="0.3">
      <c r="A92" s="75" t="s">
        <v>305</v>
      </c>
      <c r="B92" s="75" t="s">
        <v>306</v>
      </c>
      <c r="C92" s="75" t="s">
        <v>307</v>
      </c>
      <c r="D92" s="75">
        <v>2014</v>
      </c>
      <c r="E92" s="75" t="s">
        <v>70</v>
      </c>
      <c r="F92" s="75" t="s">
        <v>71</v>
      </c>
    </row>
    <row r="93" spans="1:6" x14ac:dyDescent="0.3">
      <c r="A93" s="75" t="s">
        <v>308</v>
      </c>
      <c r="B93" s="75" t="s">
        <v>309</v>
      </c>
      <c r="C93" s="75" t="s">
        <v>310</v>
      </c>
      <c r="D93" s="75">
        <v>2014</v>
      </c>
      <c r="E93" s="75" t="s">
        <v>70</v>
      </c>
      <c r="F93" s="75" t="s">
        <v>137</v>
      </c>
    </row>
    <row r="94" spans="1:6" x14ac:dyDescent="0.3">
      <c r="A94" s="75" t="s">
        <v>311</v>
      </c>
      <c r="B94" s="75" t="s">
        <v>312</v>
      </c>
      <c r="C94" s="75" t="s">
        <v>313</v>
      </c>
      <c r="D94" s="75" t="s">
        <v>13</v>
      </c>
      <c r="E94" s="75" t="s">
        <v>70</v>
      </c>
      <c r="F94" s="75" t="s">
        <v>71</v>
      </c>
    </row>
    <row r="95" spans="1:6" x14ac:dyDescent="0.3">
      <c r="A95" s="75" t="s">
        <v>314</v>
      </c>
      <c r="B95" s="75" t="s">
        <v>315</v>
      </c>
      <c r="C95" s="75" t="s">
        <v>316</v>
      </c>
      <c r="D95" s="75" t="s">
        <v>13</v>
      </c>
      <c r="E95" s="75" t="s">
        <v>44</v>
      </c>
      <c r="F95" s="75" t="s">
        <v>49</v>
      </c>
    </row>
    <row r="96" spans="1:6" x14ac:dyDescent="0.3">
      <c r="A96" s="75" t="s">
        <v>317</v>
      </c>
      <c r="B96" s="75" t="s">
        <v>318</v>
      </c>
      <c r="C96" s="75" t="s">
        <v>319</v>
      </c>
      <c r="D96" s="75">
        <v>2015</v>
      </c>
      <c r="E96" s="75" t="s">
        <v>31</v>
      </c>
      <c r="F96" s="75" t="s">
        <v>36</v>
      </c>
    </row>
    <row r="97" spans="1:6" x14ac:dyDescent="0.3">
      <c r="A97" s="75" t="s">
        <v>320</v>
      </c>
      <c r="B97" s="75" t="s">
        <v>321</v>
      </c>
      <c r="C97" s="75" t="s">
        <v>322</v>
      </c>
      <c r="D97" s="75">
        <v>1999</v>
      </c>
      <c r="E97" s="75" t="s">
        <v>44</v>
      </c>
      <c r="F97" s="75" t="s">
        <v>49</v>
      </c>
    </row>
    <row r="98" spans="1:6" x14ac:dyDescent="0.3">
      <c r="A98" s="75" t="s">
        <v>323</v>
      </c>
      <c r="B98" s="75" t="s">
        <v>324</v>
      </c>
      <c r="C98" s="75" t="s">
        <v>325</v>
      </c>
      <c r="D98" s="75">
        <v>1999</v>
      </c>
      <c r="E98" s="75" t="s">
        <v>70</v>
      </c>
      <c r="F98" s="75" t="s">
        <v>326</v>
      </c>
    </row>
    <row r="99" spans="1:6" x14ac:dyDescent="0.3">
      <c r="A99" s="75" t="s">
        <v>327</v>
      </c>
      <c r="B99" s="75" t="s">
        <v>328</v>
      </c>
      <c r="C99" s="75" t="s">
        <v>329</v>
      </c>
      <c r="D99" s="75" t="s">
        <v>13</v>
      </c>
      <c r="E99" s="75" t="s">
        <v>70</v>
      </c>
      <c r="F99" s="75" t="s">
        <v>71</v>
      </c>
    </row>
    <row r="100" spans="1:6" x14ac:dyDescent="0.3">
      <c r="A100" s="75" t="s">
        <v>330</v>
      </c>
      <c r="B100" s="75" t="s">
        <v>331</v>
      </c>
      <c r="C100" s="75" t="s">
        <v>332</v>
      </c>
      <c r="D100" s="75" t="s">
        <v>13</v>
      </c>
      <c r="E100" s="75" t="s">
        <v>13</v>
      </c>
      <c r="F100" s="75" t="s">
        <v>13</v>
      </c>
    </row>
    <row r="101" spans="1:6" x14ac:dyDescent="0.3">
      <c r="A101" s="75" t="s">
        <v>333</v>
      </c>
      <c r="B101" s="75" t="s">
        <v>334</v>
      </c>
      <c r="C101" s="75" t="s">
        <v>335</v>
      </c>
      <c r="D101" s="75">
        <v>2013</v>
      </c>
      <c r="E101" s="75" t="s">
        <v>70</v>
      </c>
      <c r="F101" s="75" t="s">
        <v>71</v>
      </c>
    </row>
    <row r="102" spans="1:6" x14ac:dyDescent="0.3">
      <c r="A102" s="75" t="s">
        <v>336</v>
      </c>
      <c r="B102" s="75" t="s">
        <v>337</v>
      </c>
      <c r="C102" s="75" t="s">
        <v>338</v>
      </c>
      <c r="D102" s="75">
        <v>2014</v>
      </c>
      <c r="E102" s="75" t="s">
        <v>70</v>
      </c>
      <c r="F102" s="75" t="s">
        <v>71</v>
      </c>
    </row>
    <row r="103" spans="1:6" x14ac:dyDescent="0.3">
      <c r="A103" s="75" t="s">
        <v>339</v>
      </c>
      <c r="B103" s="75" t="s">
        <v>340</v>
      </c>
      <c r="C103" s="75" t="s">
        <v>341</v>
      </c>
      <c r="D103" s="75">
        <v>2014</v>
      </c>
      <c r="E103" s="75" t="s">
        <v>70</v>
      </c>
      <c r="F103" s="75" t="s">
        <v>71</v>
      </c>
    </row>
    <row r="104" spans="1:6" x14ac:dyDescent="0.3">
      <c r="A104" s="75" t="s">
        <v>342</v>
      </c>
      <c r="B104" s="75" t="s">
        <v>343</v>
      </c>
      <c r="C104" s="75" t="s">
        <v>344</v>
      </c>
      <c r="D104" s="75">
        <v>1996</v>
      </c>
      <c r="E104" s="75" t="s">
        <v>70</v>
      </c>
      <c r="F104" s="75" t="s">
        <v>71</v>
      </c>
    </row>
    <row r="105" spans="1:6" x14ac:dyDescent="0.3">
      <c r="A105" s="75" t="s">
        <v>345</v>
      </c>
      <c r="B105" s="75" t="s">
        <v>346</v>
      </c>
      <c r="C105" s="75" t="s">
        <v>347</v>
      </c>
      <c r="D105" s="75" t="s">
        <v>13</v>
      </c>
      <c r="E105" s="75" t="s">
        <v>348</v>
      </c>
      <c r="F105" s="75" t="s">
        <v>349</v>
      </c>
    </row>
    <row r="106" spans="1:6" x14ac:dyDescent="0.3">
      <c r="A106" s="75" t="s">
        <v>350</v>
      </c>
      <c r="B106" s="75" t="s">
        <v>351</v>
      </c>
      <c r="C106" s="75" t="s">
        <v>352</v>
      </c>
      <c r="D106" s="75">
        <v>2001</v>
      </c>
      <c r="E106" s="75" t="s">
        <v>70</v>
      </c>
      <c r="F106" s="75" t="s">
        <v>353</v>
      </c>
    </row>
    <row r="107" spans="1:6" x14ac:dyDescent="0.3">
      <c r="A107" s="75" t="s">
        <v>354</v>
      </c>
      <c r="B107" s="75" t="s">
        <v>355</v>
      </c>
      <c r="C107" s="75" t="s">
        <v>356</v>
      </c>
      <c r="D107" s="75">
        <v>2010</v>
      </c>
      <c r="E107" s="75" t="s">
        <v>70</v>
      </c>
      <c r="F107" s="75" t="s">
        <v>71</v>
      </c>
    </row>
    <row r="108" spans="1:6" x14ac:dyDescent="0.3">
      <c r="A108" s="75" t="s">
        <v>357</v>
      </c>
      <c r="B108" s="75" t="s">
        <v>358</v>
      </c>
      <c r="C108" s="75" t="s">
        <v>359</v>
      </c>
      <c r="D108" s="75" t="s">
        <v>13</v>
      </c>
      <c r="E108" s="75" t="s">
        <v>96</v>
      </c>
      <c r="F108" s="75" t="s">
        <v>76</v>
      </c>
    </row>
    <row r="109" spans="1:6" x14ac:dyDescent="0.3">
      <c r="A109" s="75" t="s">
        <v>360</v>
      </c>
      <c r="B109" s="75" t="s">
        <v>361</v>
      </c>
      <c r="C109" s="75" t="s">
        <v>362</v>
      </c>
      <c r="D109" s="75">
        <v>1991</v>
      </c>
      <c r="E109" s="75" t="s">
        <v>70</v>
      </c>
      <c r="F109" s="75" t="s">
        <v>71</v>
      </c>
    </row>
    <row r="110" spans="1:6" x14ac:dyDescent="0.3">
      <c r="A110" s="75" t="s">
        <v>363</v>
      </c>
      <c r="B110" s="75" t="s">
        <v>364</v>
      </c>
      <c r="C110" s="75" t="s">
        <v>365</v>
      </c>
      <c r="D110" s="75">
        <v>2015</v>
      </c>
      <c r="E110" s="75" t="s">
        <v>8</v>
      </c>
      <c r="F110" s="75" t="s">
        <v>27</v>
      </c>
    </row>
    <row r="111" spans="1:6" x14ac:dyDescent="0.3">
      <c r="A111" s="75" t="s">
        <v>366</v>
      </c>
      <c r="B111" s="75" t="s">
        <v>367</v>
      </c>
      <c r="C111" s="75" t="s">
        <v>368</v>
      </c>
      <c r="D111" s="75">
        <v>2006</v>
      </c>
      <c r="E111" s="75" t="s">
        <v>283</v>
      </c>
      <c r="F111" s="75" t="s">
        <v>284</v>
      </c>
    </row>
    <row r="112" spans="1:6" x14ac:dyDescent="0.3">
      <c r="A112" s="75" t="s">
        <v>369</v>
      </c>
      <c r="B112" s="75" t="s">
        <v>370</v>
      </c>
      <c r="C112" s="75" t="s">
        <v>371</v>
      </c>
      <c r="D112" s="75">
        <v>2001</v>
      </c>
      <c r="E112" s="75" t="s">
        <v>70</v>
      </c>
      <c r="F112" s="75" t="s">
        <v>101</v>
      </c>
    </row>
    <row r="113" spans="1:6" x14ac:dyDescent="0.3">
      <c r="A113" s="75" t="s">
        <v>372</v>
      </c>
      <c r="B113" s="75" t="s">
        <v>373</v>
      </c>
      <c r="C113" s="75" t="s">
        <v>374</v>
      </c>
      <c r="D113" s="75">
        <v>2006</v>
      </c>
      <c r="E113" s="75" t="s">
        <v>84</v>
      </c>
      <c r="F113" s="75" t="s">
        <v>375</v>
      </c>
    </row>
    <row r="114" spans="1:6" x14ac:dyDescent="0.3">
      <c r="A114" s="75" t="s">
        <v>376</v>
      </c>
      <c r="B114" s="75" t="s">
        <v>377</v>
      </c>
      <c r="C114" s="75" t="s">
        <v>378</v>
      </c>
      <c r="D114" s="75">
        <v>2016</v>
      </c>
      <c r="E114" s="75" t="s">
        <v>18</v>
      </c>
      <c r="F114" s="75" t="s">
        <v>379</v>
      </c>
    </row>
    <row r="115" spans="1:6" x14ac:dyDescent="0.3">
      <c r="A115" s="75" t="s">
        <v>380</v>
      </c>
      <c r="B115" s="75" t="s">
        <v>381</v>
      </c>
      <c r="C115" s="75" t="s">
        <v>382</v>
      </c>
      <c r="D115" s="75">
        <v>1999</v>
      </c>
      <c r="E115" s="75" t="s">
        <v>84</v>
      </c>
      <c r="F115" s="75" t="s">
        <v>375</v>
      </c>
    </row>
    <row r="116" spans="1:6" x14ac:dyDescent="0.3">
      <c r="A116" s="75" t="s">
        <v>383</v>
      </c>
      <c r="B116" s="75" t="s">
        <v>384</v>
      </c>
      <c r="C116" s="75" t="s">
        <v>385</v>
      </c>
      <c r="D116" s="75">
        <v>1992</v>
      </c>
      <c r="E116" s="75" t="s">
        <v>70</v>
      </c>
      <c r="F116" s="75" t="s">
        <v>353</v>
      </c>
    </row>
    <row r="117" spans="1:6" x14ac:dyDescent="0.3">
      <c r="A117" s="75" t="s">
        <v>386</v>
      </c>
      <c r="B117" s="75" t="s">
        <v>387</v>
      </c>
      <c r="C117" s="75" t="s">
        <v>388</v>
      </c>
      <c r="D117" s="75" t="s">
        <v>13</v>
      </c>
      <c r="E117" s="75" t="s">
        <v>53</v>
      </c>
      <c r="F117" s="75" t="s">
        <v>229</v>
      </c>
    </row>
    <row r="118" spans="1:6" x14ac:dyDescent="0.3">
      <c r="A118" s="75" t="s">
        <v>389</v>
      </c>
      <c r="B118" s="75" t="s">
        <v>390</v>
      </c>
      <c r="C118" s="75" t="s">
        <v>391</v>
      </c>
      <c r="D118" s="75" t="s">
        <v>13</v>
      </c>
      <c r="E118" s="75" t="s">
        <v>70</v>
      </c>
      <c r="F118" s="75" t="s">
        <v>80</v>
      </c>
    </row>
    <row r="119" spans="1:6" x14ac:dyDescent="0.3">
      <c r="A119" s="75" t="s">
        <v>392</v>
      </c>
      <c r="B119" s="75" t="s">
        <v>393</v>
      </c>
      <c r="C119" s="75" t="s">
        <v>394</v>
      </c>
      <c r="D119" s="75">
        <v>2006</v>
      </c>
      <c r="E119" s="75" t="s">
        <v>31</v>
      </c>
      <c r="F119" s="75" t="s">
        <v>395</v>
      </c>
    </row>
    <row r="120" spans="1:6" x14ac:dyDescent="0.3">
      <c r="A120" s="75" t="s">
        <v>396</v>
      </c>
      <c r="B120" s="75" t="s">
        <v>397</v>
      </c>
      <c r="C120" s="75" t="s">
        <v>398</v>
      </c>
      <c r="D120" s="75" t="s">
        <v>13</v>
      </c>
      <c r="E120" s="75" t="s">
        <v>31</v>
      </c>
      <c r="F120" s="75" t="s">
        <v>161</v>
      </c>
    </row>
    <row r="121" spans="1:6" x14ac:dyDescent="0.3">
      <c r="A121" s="75" t="s">
        <v>399</v>
      </c>
      <c r="B121" s="75" t="s">
        <v>400</v>
      </c>
      <c r="C121" s="75" t="s">
        <v>401</v>
      </c>
      <c r="D121" s="75" t="s">
        <v>13</v>
      </c>
      <c r="E121" s="75" t="s">
        <v>70</v>
      </c>
      <c r="F121" s="75" t="s">
        <v>176</v>
      </c>
    </row>
    <row r="122" spans="1:6" x14ac:dyDescent="0.3">
      <c r="A122" s="75" t="s">
        <v>402</v>
      </c>
      <c r="B122" s="75" t="s">
        <v>403</v>
      </c>
      <c r="C122" s="75" t="s">
        <v>404</v>
      </c>
      <c r="D122" s="75">
        <v>2004</v>
      </c>
      <c r="E122" s="75" t="s">
        <v>70</v>
      </c>
      <c r="F122" s="75" t="s">
        <v>71</v>
      </c>
    </row>
    <row r="123" spans="1:6" x14ac:dyDescent="0.3">
      <c r="A123" s="75" t="s">
        <v>405</v>
      </c>
      <c r="B123" s="75" t="s">
        <v>406</v>
      </c>
      <c r="C123" s="75" t="s">
        <v>407</v>
      </c>
      <c r="D123" s="75">
        <v>2010</v>
      </c>
      <c r="E123" s="75" t="s">
        <v>31</v>
      </c>
      <c r="F123" s="75" t="s">
        <v>92</v>
      </c>
    </row>
    <row r="124" spans="1:6" x14ac:dyDescent="0.3">
      <c r="A124" s="75" t="s">
        <v>408</v>
      </c>
      <c r="B124" s="75" t="s">
        <v>409</v>
      </c>
      <c r="C124" s="75" t="s">
        <v>410</v>
      </c>
      <c r="D124" s="75">
        <v>2004</v>
      </c>
      <c r="E124" s="75" t="s">
        <v>31</v>
      </c>
      <c r="F124" s="75" t="s">
        <v>32</v>
      </c>
    </row>
    <row r="125" spans="1:6" x14ac:dyDescent="0.3">
      <c r="A125" s="75" t="s">
        <v>411</v>
      </c>
      <c r="B125" s="75" t="s">
        <v>409</v>
      </c>
      <c r="C125" s="75" t="s">
        <v>412</v>
      </c>
      <c r="D125" s="75" t="s">
        <v>13</v>
      </c>
      <c r="E125" s="75" t="s">
        <v>31</v>
      </c>
      <c r="F125" s="75" t="s">
        <v>32</v>
      </c>
    </row>
    <row r="126" spans="1:6" x14ac:dyDescent="0.3">
      <c r="A126" s="75" t="s">
        <v>413</v>
      </c>
      <c r="B126" s="75" t="s">
        <v>414</v>
      </c>
      <c r="C126" s="75" t="s">
        <v>415</v>
      </c>
      <c r="D126" s="75" t="s">
        <v>13</v>
      </c>
      <c r="E126" s="75" t="s">
        <v>13</v>
      </c>
      <c r="F126" s="75" t="s">
        <v>13</v>
      </c>
    </row>
    <row r="127" spans="1:6" x14ac:dyDescent="0.3">
      <c r="A127" s="75" t="s">
        <v>416</v>
      </c>
      <c r="B127" s="75" t="s">
        <v>417</v>
      </c>
      <c r="C127" s="75" t="s">
        <v>418</v>
      </c>
      <c r="D127" s="75">
        <v>2006</v>
      </c>
      <c r="E127" s="75" t="s">
        <v>70</v>
      </c>
      <c r="F127" s="75" t="s">
        <v>80</v>
      </c>
    </row>
    <row r="128" spans="1:6" x14ac:dyDescent="0.3">
      <c r="A128" s="75" t="s">
        <v>419</v>
      </c>
      <c r="B128" s="75" t="s">
        <v>420</v>
      </c>
      <c r="C128" s="75" t="s">
        <v>421</v>
      </c>
      <c r="D128" s="75">
        <v>2015</v>
      </c>
      <c r="E128" s="75" t="s">
        <v>70</v>
      </c>
      <c r="F128" s="75" t="s">
        <v>71</v>
      </c>
    </row>
    <row r="129" spans="1:6" x14ac:dyDescent="0.3">
      <c r="A129" s="75" t="s">
        <v>422</v>
      </c>
      <c r="B129" s="75" t="s">
        <v>423</v>
      </c>
      <c r="C129" s="75" t="s">
        <v>424</v>
      </c>
      <c r="D129" s="75" t="s">
        <v>13</v>
      </c>
      <c r="E129" s="75" t="s">
        <v>13</v>
      </c>
      <c r="F129" s="75" t="s">
        <v>13</v>
      </c>
    </row>
    <row r="130" spans="1:6" x14ac:dyDescent="0.3">
      <c r="A130" s="75" t="s">
        <v>425</v>
      </c>
      <c r="B130" s="75" t="s">
        <v>426</v>
      </c>
      <c r="C130" s="75" t="s">
        <v>427</v>
      </c>
      <c r="D130" s="75" t="s">
        <v>13</v>
      </c>
      <c r="E130" s="75" t="s">
        <v>31</v>
      </c>
      <c r="F130" s="75" t="s">
        <v>161</v>
      </c>
    </row>
    <row r="131" spans="1:6" x14ac:dyDescent="0.3">
      <c r="A131" s="75" t="s">
        <v>428</v>
      </c>
      <c r="B131" s="75" t="s">
        <v>429</v>
      </c>
      <c r="C131" s="75" t="s">
        <v>430</v>
      </c>
      <c r="D131" s="75" t="s">
        <v>13</v>
      </c>
      <c r="E131" s="75" t="s">
        <v>70</v>
      </c>
      <c r="F131" s="75" t="s">
        <v>71</v>
      </c>
    </row>
    <row r="132" spans="1:6" x14ac:dyDescent="0.3">
      <c r="A132" s="75" t="s">
        <v>431</v>
      </c>
      <c r="B132" s="75" t="s">
        <v>432</v>
      </c>
      <c r="C132" s="75" t="s">
        <v>433</v>
      </c>
      <c r="D132" s="75" t="s">
        <v>13</v>
      </c>
      <c r="E132" s="75" t="s">
        <v>18</v>
      </c>
      <c r="F132" s="75" t="s">
        <v>434</v>
      </c>
    </row>
    <row r="133" spans="1:6" x14ac:dyDescent="0.3">
      <c r="A133" s="75" t="s">
        <v>435</v>
      </c>
      <c r="B133" s="75" t="s">
        <v>436</v>
      </c>
      <c r="C133" s="75" t="s">
        <v>437</v>
      </c>
      <c r="D133" s="75">
        <v>2006</v>
      </c>
      <c r="E133" s="75" t="s">
        <v>53</v>
      </c>
      <c r="F133" s="75" t="s">
        <v>63</v>
      </c>
    </row>
    <row r="134" spans="1:6" x14ac:dyDescent="0.3">
      <c r="A134" s="75" t="s">
        <v>438</v>
      </c>
      <c r="B134" s="75" t="s">
        <v>439</v>
      </c>
      <c r="C134" s="75" t="s">
        <v>440</v>
      </c>
      <c r="D134" s="75" t="s">
        <v>13</v>
      </c>
      <c r="E134" s="75" t="s">
        <v>70</v>
      </c>
      <c r="F134" s="75" t="s">
        <v>71</v>
      </c>
    </row>
    <row r="135" spans="1:6" x14ac:dyDescent="0.3">
      <c r="A135" s="75" t="s">
        <v>441</v>
      </c>
      <c r="B135" s="75" t="s">
        <v>442</v>
      </c>
      <c r="C135" s="75" t="s">
        <v>443</v>
      </c>
      <c r="D135" s="75" t="s">
        <v>13</v>
      </c>
      <c r="E135" s="75" t="s">
        <v>70</v>
      </c>
      <c r="F135" s="75" t="s">
        <v>71</v>
      </c>
    </row>
    <row r="136" spans="1:6" x14ac:dyDescent="0.3">
      <c r="A136" s="75" t="s">
        <v>444</v>
      </c>
      <c r="B136" s="75" t="s">
        <v>445</v>
      </c>
      <c r="C136" s="75" t="s">
        <v>446</v>
      </c>
      <c r="D136" s="75" t="s">
        <v>13</v>
      </c>
      <c r="E136" s="75" t="s">
        <v>58</v>
      </c>
      <c r="F136" s="75" t="s">
        <v>19</v>
      </c>
    </row>
    <row r="137" spans="1:6" x14ac:dyDescent="0.3">
      <c r="A137" s="75" t="s">
        <v>447</v>
      </c>
      <c r="B137" s="75" t="s">
        <v>448</v>
      </c>
      <c r="C137" s="75" t="s">
        <v>449</v>
      </c>
      <c r="D137" s="75">
        <v>1997</v>
      </c>
      <c r="E137" s="75" t="s">
        <v>18</v>
      </c>
      <c r="F137" s="75" t="s">
        <v>450</v>
      </c>
    </row>
    <row r="138" spans="1:6" x14ac:dyDescent="0.3">
      <c r="A138" s="75" t="s">
        <v>451</v>
      </c>
      <c r="B138" s="75" t="s">
        <v>452</v>
      </c>
      <c r="C138" s="75" t="s">
        <v>453</v>
      </c>
      <c r="D138" s="75" t="s">
        <v>13</v>
      </c>
      <c r="E138" s="75" t="s">
        <v>8</v>
      </c>
      <c r="F138" s="75" t="s">
        <v>9</v>
      </c>
    </row>
    <row r="139" spans="1:6" x14ac:dyDescent="0.3">
      <c r="A139" s="75" t="s">
        <v>454</v>
      </c>
      <c r="B139" s="75" t="s">
        <v>452</v>
      </c>
      <c r="C139" s="75" t="s">
        <v>13</v>
      </c>
      <c r="D139" s="75" t="s">
        <v>13</v>
      </c>
      <c r="E139" s="75" t="s">
        <v>8</v>
      </c>
      <c r="F139" s="75" t="s">
        <v>9</v>
      </c>
    </row>
    <row r="140" spans="1:6" x14ac:dyDescent="0.3">
      <c r="A140" s="75" t="s">
        <v>455</v>
      </c>
      <c r="B140" s="75" t="s">
        <v>456</v>
      </c>
      <c r="C140" s="75" t="s">
        <v>457</v>
      </c>
      <c r="D140" s="75">
        <v>2012</v>
      </c>
      <c r="E140" s="75" t="s">
        <v>31</v>
      </c>
      <c r="F140" s="75" t="s">
        <v>92</v>
      </c>
    </row>
    <row r="141" spans="1:6" x14ac:dyDescent="0.3">
      <c r="A141" s="75" t="s">
        <v>458</v>
      </c>
      <c r="B141" s="75" t="s">
        <v>459</v>
      </c>
      <c r="C141" s="75" t="s">
        <v>460</v>
      </c>
      <c r="D141" s="75" t="s">
        <v>13</v>
      </c>
      <c r="E141" s="75" t="s">
        <v>18</v>
      </c>
      <c r="F141" s="75" t="s">
        <v>461</v>
      </c>
    </row>
    <row r="142" spans="1:6" x14ac:dyDescent="0.3">
      <c r="A142" s="75" t="s">
        <v>462</v>
      </c>
      <c r="B142" s="75" t="s">
        <v>463</v>
      </c>
      <c r="C142" s="75" t="s">
        <v>464</v>
      </c>
      <c r="D142" s="75" t="s">
        <v>13</v>
      </c>
      <c r="E142" s="75" t="s">
        <v>31</v>
      </c>
      <c r="F142" s="75" t="s">
        <v>161</v>
      </c>
    </row>
    <row r="143" spans="1:6" x14ac:dyDescent="0.3">
      <c r="A143" s="75" t="s">
        <v>465</v>
      </c>
      <c r="B143" s="75" t="s">
        <v>466</v>
      </c>
      <c r="C143" s="75" t="s">
        <v>467</v>
      </c>
      <c r="D143" s="75">
        <v>2014</v>
      </c>
      <c r="E143" s="75" t="s">
        <v>70</v>
      </c>
      <c r="F143" s="75" t="s">
        <v>80</v>
      </c>
    </row>
    <row r="144" spans="1:6" x14ac:dyDescent="0.3">
      <c r="A144" s="75" t="s">
        <v>468</v>
      </c>
      <c r="B144" s="75" t="s">
        <v>469</v>
      </c>
      <c r="C144" s="75" t="s">
        <v>470</v>
      </c>
      <c r="D144" s="75" t="s">
        <v>13</v>
      </c>
      <c r="E144" s="75" t="s">
        <v>70</v>
      </c>
      <c r="F144" s="75" t="s">
        <v>176</v>
      </c>
    </row>
    <row r="145" spans="1:6" x14ac:dyDescent="0.3">
      <c r="A145" s="75" t="s">
        <v>471</v>
      </c>
      <c r="B145" s="75" t="s">
        <v>472</v>
      </c>
      <c r="C145" s="75" t="s">
        <v>473</v>
      </c>
      <c r="D145" s="75" t="s">
        <v>13</v>
      </c>
      <c r="E145" s="75" t="s">
        <v>18</v>
      </c>
      <c r="F145" s="75" t="s">
        <v>474</v>
      </c>
    </row>
    <row r="146" spans="1:6" x14ac:dyDescent="0.3">
      <c r="A146" s="75" t="s">
        <v>475</v>
      </c>
      <c r="B146" s="75" t="s">
        <v>476</v>
      </c>
      <c r="C146" s="75" t="s">
        <v>477</v>
      </c>
      <c r="D146" s="75" t="s">
        <v>13</v>
      </c>
      <c r="E146" s="75" t="s">
        <v>8</v>
      </c>
      <c r="F146" s="75" t="s">
        <v>478</v>
      </c>
    </row>
    <row r="147" spans="1:6" x14ac:dyDescent="0.3">
      <c r="A147" s="75" t="s">
        <v>479</v>
      </c>
      <c r="B147" s="75" t="s">
        <v>480</v>
      </c>
      <c r="C147" s="75" t="s">
        <v>481</v>
      </c>
      <c r="D147" s="75" t="s">
        <v>13</v>
      </c>
      <c r="E147" s="75" t="s">
        <v>44</v>
      </c>
      <c r="F147" s="75" t="s">
        <v>49</v>
      </c>
    </row>
    <row r="148" spans="1:6" x14ac:dyDescent="0.3">
      <c r="A148" s="75" t="s">
        <v>482</v>
      </c>
      <c r="B148" s="75" t="s">
        <v>483</v>
      </c>
      <c r="C148" s="75" t="s">
        <v>484</v>
      </c>
      <c r="D148" s="75" t="s">
        <v>13</v>
      </c>
      <c r="E148" s="75" t="s">
        <v>283</v>
      </c>
      <c r="F148" s="75" t="s">
        <v>284</v>
      </c>
    </row>
    <row r="149" spans="1:6" x14ac:dyDescent="0.3">
      <c r="A149" s="75" t="s">
        <v>485</v>
      </c>
      <c r="B149" s="75" t="s">
        <v>486</v>
      </c>
      <c r="C149" s="75" t="s">
        <v>487</v>
      </c>
      <c r="D149" s="75">
        <v>2014</v>
      </c>
      <c r="E149" s="75" t="s">
        <v>13</v>
      </c>
      <c r="F149" s="75" t="s">
        <v>13</v>
      </c>
    </row>
    <row r="150" spans="1:6" x14ac:dyDescent="0.3">
      <c r="A150" s="75" t="s">
        <v>488</v>
      </c>
      <c r="B150" s="75" t="s">
        <v>489</v>
      </c>
      <c r="C150" s="75" t="s">
        <v>490</v>
      </c>
      <c r="D150" s="75" t="s">
        <v>13</v>
      </c>
      <c r="E150" s="75" t="s">
        <v>84</v>
      </c>
      <c r="F150" s="75" t="s">
        <v>63</v>
      </c>
    </row>
    <row r="151" spans="1:6" x14ac:dyDescent="0.3">
      <c r="A151" s="75" t="s">
        <v>491</v>
      </c>
      <c r="B151" s="75" t="s">
        <v>492</v>
      </c>
      <c r="C151" s="75" t="s">
        <v>493</v>
      </c>
      <c r="D151" s="75" t="s">
        <v>13</v>
      </c>
      <c r="E151" s="75" t="s">
        <v>8</v>
      </c>
      <c r="F151" s="75" t="s">
        <v>27</v>
      </c>
    </row>
    <row r="152" spans="1:6" x14ac:dyDescent="0.3">
      <c r="A152" s="75" t="s">
        <v>494</v>
      </c>
      <c r="B152" s="75" t="s">
        <v>495</v>
      </c>
      <c r="C152" s="75" t="s">
        <v>496</v>
      </c>
      <c r="D152" s="75" t="s">
        <v>13</v>
      </c>
      <c r="E152" s="75" t="s">
        <v>8</v>
      </c>
      <c r="F152" s="75" t="s">
        <v>497</v>
      </c>
    </row>
    <row r="153" spans="1:6" x14ac:dyDescent="0.3">
      <c r="A153" s="75" t="s">
        <v>498</v>
      </c>
      <c r="B153" s="75" t="s">
        <v>499</v>
      </c>
      <c r="C153" s="75" t="s">
        <v>500</v>
      </c>
      <c r="D153" s="75" t="s">
        <v>13</v>
      </c>
      <c r="E153" s="75" t="s">
        <v>53</v>
      </c>
      <c r="F153" s="75" t="s">
        <v>501</v>
      </c>
    </row>
    <row r="154" spans="1:6" x14ac:dyDescent="0.3">
      <c r="A154" s="75" t="s">
        <v>502</v>
      </c>
      <c r="B154" s="75" t="s">
        <v>503</v>
      </c>
      <c r="C154" s="75" t="s">
        <v>504</v>
      </c>
      <c r="D154" s="75">
        <v>2007</v>
      </c>
      <c r="E154" s="75" t="s">
        <v>18</v>
      </c>
      <c r="F154" s="75" t="s">
        <v>434</v>
      </c>
    </row>
    <row r="155" spans="1:6" x14ac:dyDescent="0.3">
      <c r="A155" s="75" t="s">
        <v>505</v>
      </c>
      <c r="B155" s="75" t="s">
        <v>506</v>
      </c>
      <c r="C155" s="75" t="s">
        <v>507</v>
      </c>
      <c r="D155" s="75">
        <v>2006</v>
      </c>
      <c r="E155" s="75" t="s">
        <v>53</v>
      </c>
      <c r="F155" s="75" t="s">
        <v>508</v>
      </c>
    </row>
    <row r="156" spans="1:6" x14ac:dyDescent="0.3">
      <c r="A156" s="75" t="s">
        <v>509</v>
      </c>
      <c r="B156" s="75" t="s">
        <v>510</v>
      </c>
      <c r="C156" s="75" t="s">
        <v>511</v>
      </c>
      <c r="D156" s="75" t="s">
        <v>13</v>
      </c>
      <c r="E156" s="75" t="s">
        <v>8</v>
      </c>
      <c r="F156" s="75" t="s">
        <v>27</v>
      </c>
    </row>
    <row r="157" spans="1:6" x14ac:dyDescent="0.3">
      <c r="A157" s="75" t="s">
        <v>512</v>
      </c>
      <c r="B157" s="75" t="s">
        <v>513</v>
      </c>
      <c r="C157" s="75" t="s">
        <v>514</v>
      </c>
      <c r="D157" s="75" t="s">
        <v>13</v>
      </c>
      <c r="E157" s="75" t="s">
        <v>31</v>
      </c>
      <c r="F157" s="75" t="s">
        <v>36</v>
      </c>
    </row>
    <row r="158" spans="1:6" x14ac:dyDescent="0.3">
      <c r="A158" s="75" t="s">
        <v>515</v>
      </c>
      <c r="B158" s="75" t="s">
        <v>516</v>
      </c>
      <c r="C158" s="75" t="s">
        <v>517</v>
      </c>
      <c r="D158" s="75">
        <v>1991</v>
      </c>
      <c r="E158" s="75" t="s">
        <v>518</v>
      </c>
      <c r="F158" s="75" t="s">
        <v>519</v>
      </c>
    </row>
    <row r="159" spans="1:6" x14ac:dyDescent="0.3">
      <c r="A159" s="75" t="s">
        <v>520</v>
      </c>
      <c r="B159" s="75" t="s">
        <v>521</v>
      </c>
      <c r="C159" s="75" t="s">
        <v>522</v>
      </c>
      <c r="D159" s="75">
        <v>1986</v>
      </c>
      <c r="E159" s="75" t="s">
        <v>58</v>
      </c>
      <c r="F159" s="75" t="s">
        <v>523</v>
      </c>
    </row>
    <row r="160" spans="1:6" x14ac:dyDescent="0.3">
      <c r="A160" s="75" t="s">
        <v>524</v>
      </c>
      <c r="B160" s="75" t="s">
        <v>525</v>
      </c>
      <c r="C160" s="75" t="s">
        <v>526</v>
      </c>
      <c r="D160" s="75" t="s">
        <v>13</v>
      </c>
      <c r="E160" s="75" t="s">
        <v>518</v>
      </c>
      <c r="F160" s="75" t="s">
        <v>527</v>
      </c>
    </row>
    <row r="161" spans="1:6" x14ac:dyDescent="0.3">
      <c r="A161" s="75" t="s">
        <v>528</v>
      </c>
      <c r="B161" s="75" t="s">
        <v>529</v>
      </c>
      <c r="C161" s="75" t="s">
        <v>530</v>
      </c>
      <c r="D161" s="75">
        <v>1994</v>
      </c>
      <c r="E161" s="75" t="s">
        <v>8</v>
      </c>
      <c r="F161" s="75" t="s">
        <v>27</v>
      </c>
    </row>
    <row r="162" spans="1:6" x14ac:dyDescent="0.3">
      <c r="A162" s="75" t="s">
        <v>531</v>
      </c>
      <c r="B162" s="75" t="s">
        <v>532</v>
      </c>
      <c r="C162" s="75" t="s">
        <v>533</v>
      </c>
      <c r="D162" s="75">
        <v>2005</v>
      </c>
      <c r="E162" s="75" t="s">
        <v>8</v>
      </c>
      <c r="F162" s="75" t="s">
        <v>9</v>
      </c>
    </row>
    <row r="163" spans="1:6" x14ac:dyDescent="0.3">
      <c r="A163" s="75" t="s">
        <v>534</v>
      </c>
      <c r="B163" s="75" t="s">
        <v>535</v>
      </c>
      <c r="C163" s="75" t="s">
        <v>536</v>
      </c>
      <c r="D163" s="75" t="s">
        <v>13</v>
      </c>
      <c r="E163" s="75" t="s">
        <v>8</v>
      </c>
      <c r="F163" s="75" t="s">
        <v>27</v>
      </c>
    </row>
    <row r="164" spans="1:6" x14ac:dyDescent="0.3">
      <c r="A164" s="75" t="s">
        <v>537</v>
      </c>
      <c r="B164" s="75" t="s">
        <v>535</v>
      </c>
      <c r="C164" s="75" t="s">
        <v>13</v>
      </c>
      <c r="D164" s="75" t="s">
        <v>13</v>
      </c>
      <c r="E164" s="75" t="s">
        <v>8</v>
      </c>
      <c r="F164" s="75" t="s">
        <v>27</v>
      </c>
    </row>
    <row r="165" spans="1:6" x14ac:dyDescent="0.3">
      <c r="A165" s="75" t="s">
        <v>538</v>
      </c>
      <c r="B165" s="75" t="s">
        <v>539</v>
      </c>
      <c r="C165" s="75" t="s">
        <v>540</v>
      </c>
      <c r="D165" s="75" t="s">
        <v>13</v>
      </c>
      <c r="E165" s="75" t="s">
        <v>8</v>
      </c>
      <c r="F165" s="75" t="s">
        <v>27</v>
      </c>
    </row>
    <row r="166" spans="1:6" x14ac:dyDescent="0.3">
      <c r="A166" s="75" t="s">
        <v>541</v>
      </c>
      <c r="B166" s="75" t="s">
        <v>542</v>
      </c>
      <c r="C166" s="75" t="s">
        <v>543</v>
      </c>
      <c r="D166" s="75">
        <v>1983</v>
      </c>
      <c r="E166" s="75" t="s">
        <v>70</v>
      </c>
      <c r="F166" s="75" t="s">
        <v>118</v>
      </c>
    </row>
    <row r="167" spans="1:6" x14ac:dyDescent="0.3">
      <c r="A167" s="75" t="s">
        <v>544</v>
      </c>
      <c r="B167" s="75" t="s">
        <v>545</v>
      </c>
      <c r="C167" s="75" t="s">
        <v>546</v>
      </c>
      <c r="D167" s="75">
        <v>2007</v>
      </c>
      <c r="E167" s="75" t="s">
        <v>70</v>
      </c>
      <c r="F167" s="75" t="s">
        <v>71</v>
      </c>
    </row>
    <row r="168" spans="1:6" x14ac:dyDescent="0.3">
      <c r="A168" s="75" t="s">
        <v>547</v>
      </c>
      <c r="B168" s="75" t="s">
        <v>548</v>
      </c>
      <c r="C168" s="75" t="s">
        <v>549</v>
      </c>
      <c r="D168" s="75">
        <v>1998</v>
      </c>
      <c r="E168" s="75" t="s">
        <v>31</v>
      </c>
      <c r="F168" s="75" t="s">
        <v>92</v>
      </c>
    </row>
    <row r="169" spans="1:6" x14ac:dyDescent="0.3">
      <c r="A169" s="75" t="s">
        <v>550</v>
      </c>
      <c r="B169" s="75" t="s">
        <v>551</v>
      </c>
      <c r="C169" s="75" t="s">
        <v>552</v>
      </c>
      <c r="D169" s="75">
        <v>2014</v>
      </c>
      <c r="E169" s="75" t="s">
        <v>70</v>
      </c>
      <c r="F169" s="75" t="s">
        <v>71</v>
      </c>
    </row>
    <row r="170" spans="1:6" x14ac:dyDescent="0.3">
      <c r="A170" s="75" t="s">
        <v>553</v>
      </c>
      <c r="B170" s="75" t="s">
        <v>554</v>
      </c>
      <c r="C170" s="75" t="s">
        <v>13</v>
      </c>
      <c r="D170" s="75" t="s">
        <v>13</v>
      </c>
      <c r="E170" s="75" t="s">
        <v>13</v>
      </c>
      <c r="F170" s="75" t="s">
        <v>13</v>
      </c>
    </row>
    <row r="171" spans="1:6" x14ac:dyDescent="0.3">
      <c r="A171" s="75" t="s">
        <v>555</v>
      </c>
      <c r="B171" s="75" t="s">
        <v>556</v>
      </c>
      <c r="C171" s="75" t="s">
        <v>557</v>
      </c>
      <c r="D171" s="75" t="s">
        <v>13</v>
      </c>
      <c r="E171" s="75" t="s">
        <v>31</v>
      </c>
      <c r="F171" s="75" t="s">
        <v>63</v>
      </c>
    </row>
    <row r="172" spans="1:6" x14ac:dyDescent="0.3">
      <c r="A172" s="75" t="s">
        <v>558</v>
      </c>
      <c r="B172" s="75" t="s">
        <v>559</v>
      </c>
      <c r="C172" s="75" t="s">
        <v>560</v>
      </c>
      <c r="D172" s="75" t="s">
        <v>13</v>
      </c>
      <c r="E172" s="75" t="s">
        <v>8</v>
      </c>
      <c r="F172" s="75" t="s">
        <v>9</v>
      </c>
    </row>
    <row r="173" spans="1:6" x14ac:dyDescent="0.3">
      <c r="A173" s="75" t="s">
        <v>561</v>
      </c>
      <c r="B173" s="75" t="s">
        <v>562</v>
      </c>
      <c r="C173" s="75" t="s">
        <v>563</v>
      </c>
      <c r="D173" s="75">
        <v>2010</v>
      </c>
      <c r="E173" s="75" t="s">
        <v>58</v>
      </c>
      <c r="F173" s="75" t="s">
        <v>59</v>
      </c>
    </row>
    <row r="174" spans="1:6" x14ac:dyDescent="0.3">
      <c r="A174" s="75" t="s">
        <v>564</v>
      </c>
      <c r="B174" s="75" t="s">
        <v>565</v>
      </c>
      <c r="C174" s="75" t="s">
        <v>566</v>
      </c>
      <c r="D174" s="75" t="s">
        <v>13</v>
      </c>
      <c r="E174" s="75" t="s">
        <v>31</v>
      </c>
      <c r="F174" s="75" t="s">
        <v>92</v>
      </c>
    </row>
    <row r="175" spans="1:6" x14ac:dyDescent="0.3">
      <c r="A175" s="75" t="s">
        <v>567</v>
      </c>
      <c r="B175" s="75" t="s">
        <v>568</v>
      </c>
      <c r="C175" s="75" t="s">
        <v>569</v>
      </c>
      <c r="D175" s="75">
        <v>1972</v>
      </c>
      <c r="E175" s="75" t="s">
        <v>53</v>
      </c>
      <c r="F175" s="75" t="s">
        <v>229</v>
      </c>
    </row>
    <row r="176" spans="1:6" x14ac:dyDescent="0.3">
      <c r="A176" s="75" t="s">
        <v>570</v>
      </c>
      <c r="B176" s="75" t="s">
        <v>571</v>
      </c>
      <c r="C176" s="75" t="s">
        <v>572</v>
      </c>
      <c r="D176" s="75">
        <v>2017</v>
      </c>
      <c r="E176" s="75" t="s">
        <v>70</v>
      </c>
      <c r="F176" s="75" t="s">
        <v>71</v>
      </c>
    </row>
    <row r="177" spans="1:6" x14ac:dyDescent="0.3">
      <c r="A177" s="75" t="s">
        <v>573</v>
      </c>
      <c r="B177" s="75" t="s">
        <v>574</v>
      </c>
      <c r="C177" s="75" t="s">
        <v>575</v>
      </c>
      <c r="D177" s="75" t="s">
        <v>13</v>
      </c>
      <c r="E177" s="75" t="s">
        <v>70</v>
      </c>
      <c r="F177" s="75" t="s">
        <v>326</v>
      </c>
    </row>
    <row r="178" spans="1:6" x14ac:dyDescent="0.3">
      <c r="A178" s="75" t="s">
        <v>576</v>
      </c>
      <c r="B178" s="75" t="s">
        <v>577</v>
      </c>
      <c r="C178" s="75" t="s">
        <v>578</v>
      </c>
      <c r="D178" s="75">
        <v>2011</v>
      </c>
      <c r="E178" s="75" t="s">
        <v>8</v>
      </c>
      <c r="F178" s="75" t="s">
        <v>579</v>
      </c>
    </row>
    <row r="179" spans="1:6" x14ac:dyDescent="0.3">
      <c r="A179" s="75" t="s">
        <v>580</v>
      </c>
      <c r="B179" s="75" t="s">
        <v>581</v>
      </c>
      <c r="C179" s="75" t="s">
        <v>582</v>
      </c>
      <c r="D179" s="75">
        <v>2015</v>
      </c>
      <c r="E179" s="75" t="s">
        <v>8</v>
      </c>
      <c r="F179" s="75" t="s">
        <v>76</v>
      </c>
    </row>
    <row r="180" spans="1:6" x14ac:dyDescent="0.3">
      <c r="A180" s="75" t="s">
        <v>583</v>
      </c>
      <c r="B180" s="75" t="s">
        <v>581</v>
      </c>
      <c r="C180" s="75" t="s">
        <v>13</v>
      </c>
      <c r="D180" s="75">
        <v>2015</v>
      </c>
      <c r="E180" s="75" t="s">
        <v>8</v>
      </c>
      <c r="F180" s="75" t="s">
        <v>76</v>
      </c>
    </row>
    <row r="181" spans="1:6" x14ac:dyDescent="0.3">
      <c r="A181" s="75" t="s">
        <v>584</v>
      </c>
      <c r="B181" s="75" t="s">
        <v>581</v>
      </c>
      <c r="C181" s="75" t="s">
        <v>13</v>
      </c>
      <c r="D181" s="75">
        <v>2015</v>
      </c>
      <c r="E181" s="75" t="s">
        <v>8</v>
      </c>
      <c r="F181" s="75" t="s">
        <v>76</v>
      </c>
    </row>
    <row r="182" spans="1:6" x14ac:dyDescent="0.3">
      <c r="A182" s="75" t="s">
        <v>585</v>
      </c>
      <c r="B182" s="75" t="s">
        <v>581</v>
      </c>
      <c r="C182" s="75" t="s">
        <v>13</v>
      </c>
      <c r="D182" s="75">
        <v>2015</v>
      </c>
      <c r="E182" s="75" t="s">
        <v>8</v>
      </c>
      <c r="F182" s="75" t="s">
        <v>76</v>
      </c>
    </row>
    <row r="183" spans="1:6" x14ac:dyDescent="0.3">
      <c r="A183" s="75" t="s">
        <v>586</v>
      </c>
      <c r="B183" s="75" t="s">
        <v>587</v>
      </c>
      <c r="C183" s="75" t="s">
        <v>588</v>
      </c>
      <c r="D183" s="75">
        <v>2011</v>
      </c>
      <c r="E183" s="75" t="s">
        <v>18</v>
      </c>
      <c r="F183" s="75" t="s">
        <v>295</v>
      </c>
    </row>
    <row r="184" spans="1:6" x14ac:dyDescent="0.3">
      <c r="A184" s="75" t="s">
        <v>589</v>
      </c>
      <c r="B184" s="75" t="s">
        <v>590</v>
      </c>
      <c r="C184" s="75" t="s">
        <v>591</v>
      </c>
      <c r="D184" s="75">
        <v>2004</v>
      </c>
      <c r="E184" s="75" t="s">
        <v>70</v>
      </c>
      <c r="F184" s="75" t="s">
        <v>80</v>
      </c>
    </row>
    <row r="185" spans="1:6" x14ac:dyDescent="0.3">
      <c r="A185" s="75" t="s">
        <v>592</v>
      </c>
      <c r="B185" s="75" t="s">
        <v>593</v>
      </c>
      <c r="C185" s="75" t="s">
        <v>594</v>
      </c>
      <c r="D185" s="75" t="s">
        <v>13</v>
      </c>
      <c r="E185" s="75" t="s">
        <v>70</v>
      </c>
      <c r="F185" s="75" t="s">
        <v>71</v>
      </c>
    </row>
    <row r="186" spans="1:6" x14ac:dyDescent="0.3">
      <c r="A186" s="75" t="s">
        <v>595</v>
      </c>
      <c r="B186" s="75" t="s">
        <v>596</v>
      </c>
      <c r="C186" s="75" t="s">
        <v>597</v>
      </c>
      <c r="D186" s="75" t="s">
        <v>13</v>
      </c>
      <c r="E186" s="75" t="s">
        <v>70</v>
      </c>
      <c r="F186" s="75" t="s">
        <v>80</v>
      </c>
    </row>
    <row r="187" spans="1:6" x14ac:dyDescent="0.3">
      <c r="A187" s="75" t="s">
        <v>598</v>
      </c>
      <c r="B187" s="75" t="s">
        <v>599</v>
      </c>
      <c r="C187" s="75" t="s">
        <v>600</v>
      </c>
      <c r="D187" s="75">
        <v>1996</v>
      </c>
      <c r="E187" s="75" t="s">
        <v>31</v>
      </c>
      <c r="F187" s="75" t="s">
        <v>36</v>
      </c>
    </row>
    <row r="188" spans="1:6" x14ac:dyDescent="0.3">
      <c r="A188" s="75" t="s">
        <v>601</v>
      </c>
      <c r="B188" s="75" t="s">
        <v>602</v>
      </c>
      <c r="C188" s="75" t="s">
        <v>603</v>
      </c>
      <c r="D188" s="75" t="s">
        <v>13</v>
      </c>
      <c r="E188" s="75" t="s">
        <v>70</v>
      </c>
      <c r="F188" s="75" t="s">
        <v>80</v>
      </c>
    </row>
    <row r="189" spans="1:6" x14ac:dyDescent="0.3">
      <c r="A189" s="75" t="s">
        <v>604</v>
      </c>
      <c r="B189" s="75" t="s">
        <v>605</v>
      </c>
      <c r="C189" s="75" t="s">
        <v>606</v>
      </c>
      <c r="D189" s="75">
        <v>2010</v>
      </c>
      <c r="E189" s="75" t="s">
        <v>70</v>
      </c>
      <c r="F189" s="75" t="s">
        <v>71</v>
      </c>
    </row>
    <row r="190" spans="1:6" x14ac:dyDescent="0.3">
      <c r="A190" s="75" t="s">
        <v>607</v>
      </c>
      <c r="B190" s="75" t="s">
        <v>608</v>
      </c>
      <c r="C190" s="75" t="s">
        <v>609</v>
      </c>
      <c r="D190" s="75" t="s">
        <v>13</v>
      </c>
      <c r="E190" s="75" t="s">
        <v>348</v>
      </c>
      <c r="F190" s="75" t="s">
        <v>349</v>
      </c>
    </row>
    <row r="191" spans="1:6" x14ac:dyDescent="0.3">
      <c r="A191" s="75" t="s">
        <v>610</v>
      </c>
      <c r="B191" s="75" t="s">
        <v>611</v>
      </c>
      <c r="C191" s="75" t="s">
        <v>612</v>
      </c>
      <c r="D191" s="75" t="s">
        <v>13</v>
      </c>
      <c r="E191" s="75" t="s">
        <v>53</v>
      </c>
      <c r="F191" s="75" t="s">
        <v>193</v>
      </c>
    </row>
    <row r="192" spans="1:6" x14ac:dyDescent="0.3">
      <c r="A192" s="75" t="s">
        <v>613</v>
      </c>
      <c r="B192" s="75" t="s">
        <v>614</v>
      </c>
      <c r="C192" s="75" t="s">
        <v>615</v>
      </c>
      <c r="D192" s="75" t="s">
        <v>13</v>
      </c>
      <c r="E192" s="75" t="s">
        <v>70</v>
      </c>
      <c r="F192" s="75" t="s">
        <v>118</v>
      </c>
    </row>
    <row r="193" spans="1:6" x14ac:dyDescent="0.3">
      <c r="A193" s="75" t="s">
        <v>616</v>
      </c>
      <c r="B193" s="75" t="s">
        <v>617</v>
      </c>
      <c r="C193" s="75" t="s">
        <v>287</v>
      </c>
      <c r="D193" s="75">
        <v>2004</v>
      </c>
      <c r="E193" s="75" t="s">
        <v>13</v>
      </c>
      <c r="F193" s="75" t="s">
        <v>13</v>
      </c>
    </row>
    <row r="194" spans="1:6" x14ac:dyDescent="0.3">
      <c r="A194" s="75" t="s">
        <v>618</v>
      </c>
      <c r="B194" s="75" t="s">
        <v>619</v>
      </c>
      <c r="C194" s="75" t="s">
        <v>620</v>
      </c>
      <c r="D194" s="75">
        <v>2015</v>
      </c>
      <c r="E194" s="75" t="s">
        <v>31</v>
      </c>
      <c r="F194" s="75" t="s">
        <v>36</v>
      </c>
    </row>
    <row r="195" spans="1:6" x14ac:dyDescent="0.3">
      <c r="A195" s="75" t="s">
        <v>621</v>
      </c>
      <c r="B195" s="75" t="s">
        <v>622</v>
      </c>
      <c r="C195" s="75" t="s">
        <v>117</v>
      </c>
      <c r="D195" s="75">
        <v>2017</v>
      </c>
      <c r="E195" s="75" t="s">
        <v>31</v>
      </c>
      <c r="F195" s="75" t="s">
        <v>36</v>
      </c>
    </row>
    <row r="196" spans="1:6" x14ac:dyDescent="0.3">
      <c r="A196" s="75" t="s">
        <v>623</v>
      </c>
      <c r="B196" s="75" t="s">
        <v>624</v>
      </c>
      <c r="C196" s="75" t="s">
        <v>625</v>
      </c>
      <c r="D196" s="75">
        <v>1980</v>
      </c>
      <c r="E196" s="75" t="s">
        <v>31</v>
      </c>
      <c r="F196" s="75" t="s">
        <v>626</v>
      </c>
    </row>
    <row r="197" spans="1:6" x14ac:dyDescent="0.3">
      <c r="A197" s="75" t="s">
        <v>627</v>
      </c>
      <c r="B197" s="75" t="s">
        <v>628</v>
      </c>
      <c r="C197" s="75" t="s">
        <v>629</v>
      </c>
      <c r="D197" s="75" t="s">
        <v>13</v>
      </c>
      <c r="E197" s="75" t="s">
        <v>18</v>
      </c>
      <c r="F197" s="75" t="s">
        <v>630</v>
      </c>
    </row>
    <row r="198" spans="1:6" x14ac:dyDescent="0.3">
      <c r="A198" s="75" t="s">
        <v>631</v>
      </c>
      <c r="B198" s="75" t="s">
        <v>632</v>
      </c>
      <c r="C198" s="75" t="s">
        <v>633</v>
      </c>
      <c r="D198" s="75" t="s">
        <v>13</v>
      </c>
      <c r="E198" s="75" t="s">
        <v>18</v>
      </c>
      <c r="F198" s="75" t="s">
        <v>434</v>
      </c>
    </row>
    <row r="199" spans="1:6" x14ac:dyDescent="0.3">
      <c r="A199" s="75" t="s">
        <v>634</v>
      </c>
      <c r="B199" s="75" t="s">
        <v>632</v>
      </c>
      <c r="C199" s="75" t="s">
        <v>13</v>
      </c>
      <c r="D199" s="75" t="s">
        <v>13</v>
      </c>
      <c r="E199" s="75" t="s">
        <v>18</v>
      </c>
      <c r="F199" s="75" t="s">
        <v>434</v>
      </c>
    </row>
    <row r="200" spans="1:6" x14ac:dyDescent="0.3">
      <c r="A200" s="75" t="s">
        <v>635</v>
      </c>
      <c r="B200" s="75" t="s">
        <v>636</v>
      </c>
      <c r="C200" s="75" t="s">
        <v>637</v>
      </c>
      <c r="D200" s="75">
        <v>2014</v>
      </c>
      <c r="E200" s="75" t="s">
        <v>70</v>
      </c>
      <c r="F200" s="75" t="s">
        <v>118</v>
      </c>
    </row>
    <row r="201" spans="1:6" x14ac:dyDescent="0.3">
      <c r="A201" s="75" t="s">
        <v>638</v>
      </c>
      <c r="B201" s="75" t="s">
        <v>639</v>
      </c>
      <c r="C201" s="75" t="s">
        <v>640</v>
      </c>
      <c r="D201" s="75">
        <v>1972</v>
      </c>
      <c r="E201" s="75" t="s">
        <v>31</v>
      </c>
      <c r="F201" s="75" t="s">
        <v>92</v>
      </c>
    </row>
    <row r="202" spans="1:6" x14ac:dyDescent="0.3">
      <c r="A202" s="75" t="s">
        <v>641</v>
      </c>
      <c r="B202" s="75" t="s">
        <v>642</v>
      </c>
      <c r="C202" s="75" t="s">
        <v>643</v>
      </c>
      <c r="D202" s="75">
        <v>2013</v>
      </c>
      <c r="E202" s="75" t="s">
        <v>31</v>
      </c>
      <c r="F202" s="75" t="s">
        <v>92</v>
      </c>
    </row>
    <row r="203" spans="1:6" x14ac:dyDescent="0.3">
      <c r="A203" s="75" t="s">
        <v>644</v>
      </c>
      <c r="B203" s="75" t="s">
        <v>645</v>
      </c>
      <c r="C203" s="75" t="s">
        <v>646</v>
      </c>
      <c r="D203" s="75">
        <v>2007</v>
      </c>
      <c r="E203" s="75" t="s">
        <v>84</v>
      </c>
      <c r="F203" s="75" t="s">
        <v>85</v>
      </c>
    </row>
    <row r="204" spans="1:6" x14ac:dyDescent="0.3">
      <c r="A204" s="75" t="s">
        <v>647</v>
      </c>
      <c r="B204" s="75" t="s">
        <v>648</v>
      </c>
      <c r="C204" s="75" t="s">
        <v>649</v>
      </c>
      <c r="D204" s="75">
        <v>2016</v>
      </c>
      <c r="E204" s="75" t="s">
        <v>31</v>
      </c>
      <c r="F204" s="75" t="s">
        <v>36</v>
      </c>
    </row>
    <row r="205" spans="1:6" x14ac:dyDescent="0.3">
      <c r="A205" s="75" t="s">
        <v>650</v>
      </c>
      <c r="B205" s="75" t="s">
        <v>651</v>
      </c>
      <c r="C205" s="75" t="s">
        <v>652</v>
      </c>
      <c r="D205" s="75" t="s">
        <v>13</v>
      </c>
      <c r="E205" s="75" t="s">
        <v>70</v>
      </c>
      <c r="F205" s="75" t="s">
        <v>71</v>
      </c>
    </row>
    <row r="206" spans="1:6" x14ac:dyDescent="0.3">
      <c r="A206" s="75" t="s">
        <v>653</v>
      </c>
      <c r="B206" s="75" t="s">
        <v>654</v>
      </c>
      <c r="C206" s="75" t="s">
        <v>655</v>
      </c>
      <c r="D206" s="75" t="s">
        <v>13</v>
      </c>
      <c r="E206" s="75" t="s">
        <v>70</v>
      </c>
      <c r="F206" s="75" t="s">
        <v>71</v>
      </c>
    </row>
    <row r="207" spans="1:6" x14ac:dyDescent="0.3">
      <c r="A207" s="75" t="s">
        <v>656</v>
      </c>
      <c r="B207" s="75" t="s">
        <v>657</v>
      </c>
      <c r="C207" s="75" t="s">
        <v>658</v>
      </c>
      <c r="D207" s="75" t="s">
        <v>13</v>
      </c>
      <c r="E207" s="75" t="s">
        <v>70</v>
      </c>
      <c r="F207" s="75" t="s">
        <v>118</v>
      </c>
    </row>
    <row r="208" spans="1:6" x14ac:dyDescent="0.3">
      <c r="A208" s="75" t="s">
        <v>659</v>
      </c>
      <c r="B208" s="75" t="s">
        <v>660</v>
      </c>
      <c r="C208" s="75" t="s">
        <v>661</v>
      </c>
      <c r="D208" s="75">
        <v>2015</v>
      </c>
      <c r="E208" s="75" t="s">
        <v>58</v>
      </c>
      <c r="F208" s="75" t="s">
        <v>519</v>
      </c>
    </row>
    <row r="209" spans="1:6" x14ac:dyDescent="0.3">
      <c r="A209" s="75" t="s">
        <v>662</v>
      </c>
      <c r="B209" s="75" t="s">
        <v>663</v>
      </c>
      <c r="C209" s="75" t="s">
        <v>664</v>
      </c>
      <c r="D209" s="75" t="s">
        <v>13</v>
      </c>
      <c r="E209" s="75" t="s">
        <v>13</v>
      </c>
      <c r="F209" s="75" t="s">
        <v>13</v>
      </c>
    </row>
    <row r="210" spans="1:6" x14ac:dyDescent="0.3">
      <c r="A210" s="75" t="s">
        <v>665</v>
      </c>
      <c r="B210" s="75" t="s">
        <v>666</v>
      </c>
      <c r="C210" s="75" t="s">
        <v>667</v>
      </c>
      <c r="D210" s="75">
        <v>2014</v>
      </c>
      <c r="E210" s="75" t="s">
        <v>70</v>
      </c>
      <c r="F210" s="75" t="s">
        <v>71</v>
      </c>
    </row>
    <row r="211" spans="1:6" x14ac:dyDescent="0.3">
      <c r="A211" s="75" t="s">
        <v>668</v>
      </c>
      <c r="B211" s="75" t="s">
        <v>669</v>
      </c>
      <c r="C211" s="75" t="s">
        <v>670</v>
      </c>
      <c r="D211" s="75">
        <v>1996</v>
      </c>
      <c r="E211" s="75" t="s">
        <v>70</v>
      </c>
      <c r="F211" s="75" t="s">
        <v>671</v>
      </c>
    </row>
    <row r="212" spans="1:6" x14ac:dyDescent="0.3">
      <c r="A212" s="75" t="s">
        <v>672</v>
      </c>
      <c r="B212" s="75" t="s">
        <v>673</v>
      </c>
      <c r="C212" s="75" t="s">
        <v>674</v>
      </c>
      <c r="D212" s="75" t="s">
        <v>13</v>
      </c>
      <c r="E212" s="75" t="s">
        <v>70</v>
      </c>
      <c r="F212" s="75" t="s">
        <v>71</v>
      </c>
    </row>
    <row r="213" spans="1:6" x14ac:dyDescent="0.3">
      <c r="A213" s="75" t="s">
        <v>675</v>
      </c>
      <c r="B213" s="75" t="s">
        <v>676</v>
      </c>
      <c r="C213" s="75" t="s">
        <v>677</v>
      </c>
      <c r="D213" s="75">
        <v>2013</v>
      </c>
      <c r="E213" s="75" t="s">
        <v>70</v>
      </c>
      <c r="F213" s="75" t="s">
        <v>71</v>
      </c>
    </row>
    <row r="214" spans="1:6" x14ac:dyDescent="0.3">
      <c r="A214" s="75" t="s">
        <v>678</v>
      </c>
      <c r="B214" s="75" t="s">
        <v>679</v>
      </c>
      <c r="C214" s="75" t="s">
        <v>680</v>
      </c>
      <c r="D214" s="75" t="s">
        <v>13</v>
      </c>
      <c r="E214" s="75" t="s">
        <v>70</v>
      </c>
      <c r="F214" s="75" t="s">
        <v>71</v>
      </c>
    </row>
    <row r="215" spans="1:6" x14ac:dyDescent="0.3">
      <c r="A215" s="75" t="s">
        <v>681</v>
      </c>
      <c r="B215" s="75" t="s">
        <v>682</v>
      </c>
      <c r="C215" s="75" t="s">
        <v>683</v>
      </c>
      <c r="D215" s="75" t="s">
        <v>13</v>
      </c>
      <c r="E215" s="75" t="s">
        <v>53</v>
      </c>
      <c r="F215" s="75" t="s">
        <v>519</v>
      </c>
    </row>
    <row r="216" spans="1:6" x14ac:dyDescent="0.3">
      <c r="A216" s="75" t="s">
        <v>684</v>
      </c>
      <c r="B216" s="75" t="s">
        <v>685</v>
      </c>
      <c r="C216" s="75" t="s">
        <v>686</v>
      </c>
      <c r="D216" s="75" t="s">
        <v>13</v>
      </c>
      <c r="E216" s="75" t="s">
        <v>70</v>
      </c>
      <c r="F216" s="75" t="s">
        <v>137</v>
      </c>
    </row>
    <row r="217" spans="1:6" x14ac:dyDescent="0.3">
      <c r="A217" s="75" t="s">
        <v>687</v>
      </c>
      <c r="B217" s="75" t="s">
        <v>688</v>
      </c>
      <c r="C217" s="75" t="s">
        <v>689</v>
      </c>
      <c r="D217" s="75">
        <v>2015</v>
      </c>
      <c r="E217" s="75" t="s">
        <v>58</v>
      </c>
      <c r="F217" s="75" t="s">
        <v>690</v>
      </c>
    </row>
    <row r="218" spans="1:6" x14ac:dyDescent="0.3">
      <c r="A218" s="75" t="s">
        <v>691</v>
      </c>
      <c r="B218" s="75" t="s">
        <v>692</v>
      </c>
      <c r="C218" s="75" t="s">
        <v>693</v>
      </c>
      <c r="D218" s="75" t="s">
        <v>13</v>
      </c>
      <c r="E218" s="75" t="s">
        <v>283</v>
      </c>
      <c r="F218" s="75" t="s">
        <v>694</v>
      </c>
    </row>
    <row r="219" spans="1:6" x14ac:dyDescent="0.3">
      <c r="A219" s="75" t="s">
        <v>695</v>
      </c>
      <c r="B219" s="75" t="s">
        <v>696</v>
      </c>
      <c r="C219" s="75" t="s">
        <v>697</v>
      </c>
      <c r="D219" s="75" t="s">
        <v>13</v>
      </c>
      <c r="E219" s="75" t="s">
        <v>8</v>
      </c>
      <c r="F219" s="75" t="s">
        <v>9</v>
      </c>
    </row>
    <row r="220" spans="1:6" x14ac:dyDescent="0.3">
      <c r="A220" s="75" t="s">
        <v>698</v>
      </c>
      <c r="B220" s="75" t="s">
        <v>696</v>
      </c>
      <c r="C220" s="75" t="s">
        <v>13</v>
      </c>
      <c r="D220" s="75" t="s">
        <v>13</v>
      </c>
      <c r="E220" s="75" t="s">
        <v>8</v>
      </c>
      <c r="F220" s="75" t="s">
        <v>9</v>
      </c>
    </row>
    <row r="221" spans="1:6" x14ac:dyDescent="0.3">
      <c r="A221" s="75" t="s">
        <v>699</v>
      </c>
      <c r="B221" s="75" t="s">
        <v>700</v>
      </c>
      <c r="C221" s="75" t="s">
        <v>701</v>
      </c>
      <c r="D221" s="75" t="s">
        <v>13</v>
      </c>
      <c r="E221" s="75" t="s">
        <v>44</v>
      </c>
      <c r="F221" s="75" t="s">
        <v>702</v>
      </c>
    </row>
    <row r="222" spans="1:6" x14ac:dyDescent="0.3">
      <c r="A222" s="75" t="s">
        <v>703</v>
      </c>
      <c r="B222" s="75" t="s">
        <v>704</v>
      </c>
      <c r="C222" s="75" t="s">
        <v>705</v>
      </c>
      <c r="D222" s="75">
        <v>2014</v>
      </c>
      <c r="E222" s="75" t="s">
        <v>70</v>
      </c>
      <c r="F222" s="75" t="s">
        <v>71</v>
      </c>
    </row>
    <row r="223" spans="1:6" x14ac:dyDescent="0.3">
      <c r="A223" s="75" t="s">
        <v>706</v>
      </c>
      <c r="B223" s="75" t="s">
        <v>707</v>
      </c>
      <c r="C223" s="75" t="s">
        <v>708</v>
      </c>
      <c r="D223" s="75">
        <v>2000</v>
      </c>
      <c r="E223" s="75" t="s">
        <v>70</v>
      </c>
      <c r="F223" s="75" t="s">
        <v>71</v>
      </c>
    </row>
    <row r="224" spans="1:6" x14ac:dyDescent="0.3">
      <c r="A224" s="75" t="s">
        <v>709</v>
      </c>
      <c r="B224" s="75" t="s">
        <v>710</v>
      </c>
      <c r="C224" s="75" t="s">
        <v>711</v>
      </c>
      <c r="D224" s="75">
        <v>2004</v>
      </c>
      <c r="E224" s="75" t="s">
        <v>13</v>
      </c>
      <c r="F224" s="75" t="s">
        <v>13</v>
      </c>
    </row>
    <row r="225" spans="1:6" x14ac:dyDescent="0.3">
      <c r="A225" s="75" t="s">
        <v>712</v>
      </c>
      <c r="B225" s="75" t="s">
        <v>713</v>
      </c>
      <c r="C225" s="75" t="s">
        <v>714</v>
      </c>
      <c r="D225" s="75">
        <v>2017</v>
      </c>
      <c r="E225" s="75" t="s">
        <v>70</v>
      </c>
      <c r="F225" s="75" t="s">
        <v>118</v>
      </c>
    </row>
    <row r="226" spans="1:6" x14ac:dyDescent="0.3">
      <c r="A226" s="75" t="s">
        <v>715</v>
      </c>
      <c r="B226" s="75" t="s">
        <v>716</v>
      </c>
      <c r="C226" s="75" t="s">
        <v>717</v>
      </c>
      <c r="D226" s="75" t="s">
        <v>13</v>
      </c>
      <c r="E226" s="75" t="s">
        <v>8</v>
      </c>
      <c r="F226" s="75" t="s">
        <v>718</v>
      </c>
    </row>
    <row r="227" spans="1:6" x14ac:dyDescent="0.3">
      <c r="A227" s="75" t="s">
        <v>719</v>
      </c>
      <c r="B227" s="75" t="s">
        <v>716</v>
      </c>
      <c r="C227" s="75" t="s">
        <v>13</v>
      </c>
      <c r="D227" s="75" t="s">
        <v>13</v>
      </c>
      <c r="E227" s="75" t="s">
        <v>8</v>
      </c>
      <c r="F227" s="75" t="s">
        <v>718</v>
      </c>
    </row>
    <row r="228" spans="1:6" x14ac:dyDescent="0.3">
      <c r="A228" s="75" t="s">
        <v>720</v>
      </c>
      <c r="B228" s="75" t="s">
        <v>721</v>
      </c>
      <c r="C228" s="75" t="s">
        <v>722</v>
      </c>
      <c r="D228" s="75">
        <v>2014</v>
      </c>
      <c r="E228" s="75" t="s">
        <v>70</v>
      </c>
      <c r="F228" s="75" t="s">
        <v>71</v>
      </c>
    </row>
    <row r="229" spans="1:6" x14ac:dyDescent="0.3">
      <c r="A229" s="75" t="s">
        <v>723</v>
      </c>
      <c r="B229" s="75" t="s">
        <v>724</v>
      </c>
      <c r="C229" s="75" t="s">
        <v>725</v>
      </c>
      <c r="D229" s="75">
        <v>1991</v>
      </c>
      <c r="E229" s="75" t="s">
        <v>31</v>
      </c>
      <c r="F229" s="75" t="s">
        <v>32</v>
      </c>
    </row>
    <row r="230" spans="1:6" x14ac:dyDescent="0.3">
      <c r="A230" s="75" t="s">
        <v>726</v>
      </c>
      <c r="B230" s="75" t="s">
        <v>727</v>
      </c>
      <c r="C230" s="75" t="s">
        <v>728</v>
      </c>
      <c r="D230" s="75" t="s">
        <v>13</v>
      </c>
      <c r="E230" s="75" t="s">
        <v>18</v>
      </c>
      <c r="F230" s="75" t="s">
        <v>729</v>
      </c>
    </row>
    <row r="231" spans="1:6" x14ac:dyDescent="0.3">
      <c r="A231" s="75" t="s">
        <v>730</v>
      </c>
      <c r="B231" s="75" t="s">
        <v>731</v>
      </c>
      <c r="C231" s="75" t="s">
        <v>732</v>
      </c>
      <c r="D231" s="75">
        <v>1994</v>
      </c>
      <c r="E231" s="75" t="s">
        <v>96</v>
      </c>
      <c r="F231" s="75" t="s">
        <v>63</v>
      </c>
    </row>
    <row r="232" spans="1:6" x14ac:dyDescent="0.3">
      <c r="A232" s="75" t="s">
        <v>733</v>
      </c>
      <c r="B232" s="75" t="s">
        <v>734</v>
      </c>
      <c r="C232" s="75" t="s">
        <v>735</v>
      </c>
      <c r="D232" s="75">
        <v>1996</v>
      </c>
      <c r="E232" s="75" t="s">
        <v>70</v>
      </c>
      <c r="F232" s="75" t="s">
        <v>71</v>
      </c>
    </row>
    <row r="233" spans="1:6" x14ac:dyDescent="0.3">
      <c r="A233" s="75" t="s">
        <v>736</v>
      </c>
      <c r="B233" s="75" t="s">
        <v>737</v>
      </c>
      <c r="C233" s="75" t="s">
        <v>643</v>
      </c>
      <c r="D233" s="75">
        <v>2000</v>
      </c>
      <c r="E233" s="75" t="s">
        <v>70</v>
      </c>
      <c r="F233" s="75" t="s">
        <v>71</v>
      </c>
    </row>
    <row r="234" spans="1:6" x14ac:dyDescent="0.3">
      <c r="A234" s="75" t="s">
        <v>738</v>
      </c>
      <c r="B234" s="75" t="s">
        <v>739</v>
      </c>
      <c r="C234" s="75" t="s">
        <v>740</v>
      </c>
      <c r="D234" s="75" t="s">
        <v>13</v>
      </c>
      <c r="E234" s="75" t="s">
        <v>31</v>
      </c>
      <c r="F234" s="75" t="s">
        <v>291</v>
      </c>
    </row>
    <row r="235" spans="1:6" x14ac:dyDescent="0.3">
      <c r="A235" s="75" t="s">
        <v>741</v>
      </c>
      <c r="B235" s="75" t="s">
        <v>742</v>
      </c>
      <c r="C235" s="75" t="s">
        <v>743</v>
      </c>
      <c r="D235" s="75" t="s">
        <v>13</v>
      </c>
      <c r="E235" s="75" t="s">
        <v>13</v>
      </c>
      <c r="F235" s="75" t="s">
        <v>13</v>
      </c>
    </row>
    <row r="236" spans="1:6" x14ac:dyDescent="0.3">
      <c r="A236" s="75" t="s">
        <v>744</v>
      </c>
      <c r="B236" s="75" t="s">
        <v>745</v>
      </c>
      <c r="C236" s="75" t="s">
        <v>746</v>
      </c>
      <c r="D236" s="75" t="s">
        <v>13</v>
      </c>
      <c r="E236" s="75" t="s">
        <v>8</v>
      </c>
      <c r="F236" s="75" t="s">
        <v>27</v>
      </c>
    </row>
    <row r="237" spans="1:6" x14ac:dyDescent="0.3">
      <c r="A237" s="75" t="s">
        <v>747</v>
      </c>
      <c r="B237" s="75" t="s">
        <v>748</v>
      </c>
      <c r="C237" s="75" t="s">
        <v>749</v>
      </c>
      <c r="D237" s="75" t="s">
        <v>13</v>
      </c>
      <c r="E237" s="75" t="s">
        <v>70</v>
      </c>
      <c r="F237" s="75" t="s">
        <v>71</v>
      </c>
    </row>
    <row r="238" spans="1:6" x14ac:dyDescent="0.3">
      <c r="A238" s="75" t="s">
        <v>750</v>
      </c>
      <c r="B238" s="75" t="s">
        <v>751</v>
      </c>
      <c r="C238" s="75" t="s">
        <v>752</v>
      </c>
      <c r="D238" s="75" t="s">
        <v>13</v>
      </c>
      <c r="E238" s="75" t="s">
        <v>44</v>
      </c>
      <c r="F238" s="75" t="s">
        <v>222</v>
      </c>
    </row>
    <row r="239" spans="1:6" x14ac:dyDescent="0.3">
      <c r="A239" s="75" t="s">
        <v>753</v>
      </c>
      <c r="B239" s="75" t="s">
        <v>754</v>
      </c>
      <c r="C239" s="75" t="s">
        <v>755</v>
      </c>
      <c r="D239" s="75" t="s">
        <v>13</v>
      </c>
      <c r="E239" s="75" t="s">
        <v>53</v>
      </c>
      <c r="F239" s="75" t="s">
        <v>63</v>
      </c>
    </row>
    <row r="240" spans="1:6" x14ac:dyDescent="0.3">
      <c r="A240" s="75" t="s">
        <v>756</v>
      </c>
      <c r="B240" s="75" t="s">
        <v>757</v>
      </c>
      <c r="C240" s="75" t="s">
        <v>758</v>
      </c>
      <c r="D240" s="75">
        <v>2011</v>
      </c>
      <c r="E240" s="75" t="s">
        <v>8</v>
      </c>
      <c r="F240" s="75" t="s">
        <v>23</v>
      </c>
    </row>
    <row r="241" spans="1:6" x14ac:dyDescent="0.3">
      <c r="A241" s="75" t="s">
        <v>759</v>
      </c>
      <c r="B241" s="75" t="s">
        <v>760</v>
      </c>
      <c r="C241" s="75" t="s">
        <v>761</v>
      </c>
      <c r="D241" s="75" t="s">
        <v>13</v>
      </c>
      <c r="E241" s="75" t="s">
        <v>18</v>
      </c>
      <c r="F241" s="75" t="s">
        <v>762</v>
      </c>
    </row>
    <row r="242" spans="1:6" x14ac:dyDescent="0.3">
      <c r="A242" s="75" t="s">
        <v>763</v>
      </c>
      <c r="B242" s="75" t="s">
        <v>764</v>
      </c>
      <c r="C242" s="75" t="s">
        <v>765</v>
      </c>
      <c r="D242" s="75">
        <v>2015</v>
      </c>
      <c r="E242" s="75" t="s">
        <v>70</v>
      </c>
      <c r="F242" s="75" t="s">
        <v>71</v>
      </c>
    </row>
    <row r="243" spans="1:6" x14ac:dyDescent="0.3">
      <c r="A243" s="75" t="s">
        <v>766</v>
      </c>
      <c r="B243" s="75" t="s">
        <v>767</v>
      </c>
      <c r="C243" s="75" t="s">
        <v>768</v>
      </c>
      <c r="D243" s="75" t="s">
        <v>13</v>
      </c>
      <c r="E243" s="75" t="s">
        <v>18</v>
      </c>
      <c r="F243" s="75" t="s">
        <v>434</v>
      </c>
    </row>
    <row r="244" spans="1:6" x14ac:dyDescent="0.3">
      <c r="A244" s="75" t="s">
        <v>769</v>
      </c>
      <c r="B244" s="75" t="s">
        <v>770</v>
      </c>
      <c r="C244" s="75" t="s">
        <v>771</v>
      </c>
      <c r="D244" s="75" t="s">
        <v>13</v>
      </c>
      <c r="E244" s="75" t="s">
        <v>58</v>
      </c>
      <c r="F244" s="75" t="s">
        <v>49</v>
      </c>
    </row>
    <row r="245" spans="1:6" x14ac:dyDescent="0.3">
      <c r="A245" s="75" t="s">
        <v>772</v>
      </c>
      <c r="B245" s="75" t="s">
        <v>773</v>
      </c>
      <c r="C245" s="75" t="s">
        <v>774</v>
      </c>
      <c r="D245" s="75">
        <v>1995</v>
      </c>
      <c r="E245" s="75" t="s">
        <v>31</v>
      </c>
      <c r="F245" s="75" t="s">
        <v>63</v>
      </c>
    </row>
    <row r="246" spans="1:6" x14ac:dyDescent="0.3">
      <c r="A246" s="75" t="s">
        <v>775</v>
      </c>
      <c r="B246" s="75" t="s">
        <v>776</v>
      </c>
      <c r="C246" s="75" t="s">
        <v>777</v>
      </c>
      <c r="D246" s="75" t="s">
        <v>13</v>
      </c>
      <c r="E246" s="75" t="s">
        <v>18</v>
      </c>
      <c r="F246" s="75" t="s">
        <v>434</v>
      </c>
    </row>
    <row r="247" spans="1:6" x14ac:dyDescent="0.3">
      <c r="A247" s="75" t="s">
        <v>778</v>
      </c>
      <c r="B247" s="75" t="s">
        <v>779</v>
      </c>
      <c r="C247" s="75" t="s">
        <v>780</v>
      </c>
      <c r="D247" s="75">
        <v>1994</v>
      </c>
      <c r="E247" s="75" t="s">
        <v>31</v>
      </c>
      <c r="F247" s="75" t="s">
        <v>161</v>
      </c>
    </row>
    <row r="248" spans="1:6" x14ac:dyDescent="0.3">
      <c r="A248" s="75" t="s">
        <v>781</v>
      </c>
      <c r="B248" s="75" t="s">
        <v>782</v>
      </c>
      <c r="C248" s="75" t="s">
        <v>783</v>
      </c>
      <c r="D248" s="75" t="s">
        <v>13</v>
      </c>
      <c r="E248" s="75" t="s">
        <v>70</v>
      </c>
      <c r="F248" s="75" t="s">
        <v>71</v>
      </c>
    </row>
    <row r="249" spans="1:6" x14ac:dyDescent="0.3">
      <c r="A249" s="75" t="s">
        <v>784</v>
      </c>
      <c r="B249" s="75" t="s">
        <v>785</v>
      </c>
      <c r="C249" s="75" t="s">
        <v>786</v>
      </c>
      <c r="D249" s="75">
        <v>1995</v>
      </c>
      <c r="E249" s="75" t="s">
        <v>8</v>
      </c>
      <c r="F249" s="75" t="s">
        <v>787</v>
      </c>
    </row>
    <row r="250" spans="1:6" x14ac:dyDescent="0.3">
      <c r="A250" s="75" t="s">
        <v>788</v>
      </c>
      <c r="B250" s="75" t="s">
        <v>789</v>
      </c>
      <c r="C250" s="75" t="s">
        <v>533</v>
      </c>
      <c r="D250" s="75">
        <v>1986</v>
      </c>
      <c r="E250" s="75" t="s">
        <v>53</v>
      </c>
      <c r="F250" s="75" t="s">
        <v>790</v>
      </c>
    </row>
    <row r="251" spans="1:6" x14ac:dyDescent="0.3">
      <c r="A251" s="75" t="s">
        <v>791</v>
      </c>
      <c r="B251" s="75" t="s">
        <v>792</v>
      </c>
      <c r="C251" s="75" t="s">
        <v>793</v>
      </c>
      <c r="D251" s="75" t="s">
        <v>13</v>
      </c>
      <c r="E251" s="75" t="s">
        <v>53</v>
      </c>
      <c r="F251" s="75" t="s">
        <v>794</v>
      </c>
    </row>
    <row r="252" spans="1:6" x14ac:dyDescent="0.3">
      <c r="A252" s="75" t="s">
        <v>795</v>
      </c>
      <c r="B252" s="75" t="s">
        <v>796</v>
      </c>
      <c r="C252" s="75" t="s">
        <v>797</v>
      </c>
      <c r="D252" s="75">
        <v>1983</v>
      </c>
      <c r="E252" s="75" t="s">
        <v>31</v>
      </c>
      <c r="F252" s="75" t="s">
        <v>798</v>
      </c>
    </row>
    <row r="253" spans="1:6" x14ac:dyDescent="0.3">
      <c r="A253" s="75" t="s">
        <v>799</v>
      </c>
      <c r="B253" s="75" t="s">
        <v>800</v>
      </c>
      <c r="C253" s="75" t="s">
        <v>801</v>
      </c>
      <c r="D253" s="75" t="s">
        <v>13</v>
      </c>
      <c r="E253" s="75" t="s">
        <v>53</v>
      </c>
      <c r="F253" s="75" t="s">
        <v>794</v>
      </c>
    </row>
    <row r="254" spans="1:6" x14ac:dyDescent="0.3">
      <c r="A254" s="75" t="s">
        <v>802</v>
      </c>
      <c r="B254" s="75" t="s">
        <v>803</v>
      </c>
      <c r="C254" s="75" t="s">
        <v>804</v>
      </c>
      <c r="D254" s="75" t="s">
        <v>13</v>
      </c>
      <c r="E254" s="75" t="s">
        <v>31</v>
      </c>
      <c r="F254" s="75" t="s">
        <v>161</v>
      </c>
    </row>
    <row r="255" spans="1:6" x14ac:dyDescent="0.3">
      <c r="A255" s="75" t="s">
        <v>805</v>
      </c>
      <c r="B255" s="75" t="s">
        <v>806</v>
      </c>
      <c r="C255" s="75" t="s">
        <v>807</v>
      </c>
      <c r="D255" s="75">
        <v>2017</v>
      </c>
      <c r="E255" s="75" t="s">
        <v>53</v>
      </c>
      <c r="F255" s="75" t="s">
        <v>790</v>
      </c>
    </row>
    <row r="256" spans="1:6" x14ac:dyDescent="0.3">
      <c r="A256" s="75" t="s">
        <v>808</v>
      </c>
      <c r="B256" s="75" t="s">
        <v>809</v>
      </c>
      <c r="C256" s="75" t="s">
        <v>810</v>
      </c>
      <c r="D256" s="75">
        <v>2008</v>
      </c>
      <c r="E256" s="75" t="s">
        <v>18</v>
      </c>
      <c r="F256" s="75" t="s">
        <v>434</v>
      </c>
    </row>
    <row r="257" spans="1:6" x14ac:dyDescent="0.3">
      <c r="A257" s="75" t="s">
        <v>811</v>
      </c>
      <c r="B257" s="75" t="s">
        <v>812</v>
      </c>
      <c r="C257" s="75" t="s">
        <v>813</v>
      </c>
      <c r="D257" s="75">
        <v>2014</v>
      </c>
      <c r="E257" s="75" t="s">
        <v>70</v>
      </c>
      <c r="F257" s="75" t="s">
        <v>118</v>
      </c>
    </row>
    <row r="258" spans="1:6" x14ac:dyDescent="0.3">
      <c r="A258" s="75" t="s">
        <v>814</v>
      </c>
      <c r="B258" s="75" t="s">
        <v>815</v>
      </c>
      <c r="C258" s="75" t="s">
        <v>816</v>
      </c>
      <c r="D258" s="75">
        <v>2007</v>
      </c>
      <c r="E258" s="75" t="s">
        <v>96</v>
      </c>
      <c r="F258" s="75" t="s">
        <v>76</v>
      </c>
    </row>
    <row r="259" spans="1:6" x14ac:dyDescent="0.3">
      <c r="A259" s="75" t="s">
        <v>817</v>
      </c>
      <c r="B259" s="75" t="s">
        <v>818</v>
      </c>
      <c r="C259" s="75" t="s">
        <v>819</v>
      </c>
      <c r="D259" s="75">
        <v>2017</v>
      </c>
      <c r="E259" s="75" t="s">
        <v>70</v>
      </c>
      <c r="F259" s="75" t="s">
        <v>71</v>
      </c>
    </row>
    <row r="260" spans="1:6" x14ac:dyDescent="0.3">
      <c r="A260" s="75" t="s">
        <v>820</v>
      </c>
      <c r="B260" s="75" t="s">
        <v>821</v>
      </c>
      <c r="C260" s="75" t="s">
        <v>822</v>
      </c>
      <c r="D260" s="75" t="s">
        <v>13</v>
      </c>
      <c r="E260" s="75" t="s">
        <v>70</v>
      </c>
      <c r="F260" s="75" t="s">
        <v>71</v>
      </c>
    </row>
    <row r="261" spans="1:6" x14ac:dyDescent="0.3">
      <c r="A261" s="75" t="s">
        <v>823</v>
      </c>
      <c r="B261" s="75" t="s">
        <v>824</v>
      </c>
      <c r="C261" s="75" t="s">
        <v>13</v>
      </c>
      <c r="D261" s="75" t="s">
        <v>13</v>
      </c>
      <c r="E261" s="75" t="s">
        <v>8</v>
      </c>
      <c r="F261" s="75" t="s">
        <v>76</v>
      </c>
    </row>
    <row r="262" spans="1:6" x14ac:dyDescent="0.3">
      <c r="A262" s="75" t="s">
        <v>825</v>
      </c>
      <c r="B262" s="75" t="s">
        <v>826</v>
      </c>
      <c r="C262" s="75" t="s">
        <v>827</v>
      </c>
      <c r="D262" s="75">
        <v>2015</v>
      </c>
      <c r="E262" s="75" t="s">
        <v>18</v>
      </c>
      <c r="F262" s="75" t="s">
        <v>379</v>
      </c>
    </row>
    <row r="263" spans="1:6" x14ac:dyDescent="0.3">
      <c r="A263" s="75" t="s">
        <v>828</v>
      </c>
      <c r="B263" s="75" t="s">
        <v>829</v>
      </c>
      <c r="C263" s="75" t="s">
        <v>830</v>
      </c>
      <c r="D263" s="75" t="s">
        <v>13</v>
      </c>
      <c r="E263" s="75" t="s">
        <v>8</v>
      </c>
      <c r="F263" s="75" t="s">
        <v>497</v>
      </c>
    </row>
    <row r="264" spans="1:6" x14ac:dyDescent="0.3">
      <c r="A264" s="75" t="s">
        <v>831</v>
      </c>
      <c r="B264" s="75" t="s">
        <v>832</v>
      </c>
      <c r="C264" s="75" t="s">
        <v>833</v>
      </c>
      <c r="D264" s="75" t="s">
        <v>13</v>
      </c>
      <c r="E264" s="75" t="s">
        <v>8</v>
      </c>
      <c r="F264" s="75" t="s">
        <v>27</v>
      </c>
    </row>
    <row r="265" spans="1:6" x14ac:dyDescent="0.3">
      <c r="A265" s="75" t="s">
        <v>834</v>
      </c>
      <c r="B265" s="75" t="s">
        <v>835</v>
      </c>
      <c r="C265" s="75" t="s">
        <v>836</v>
      </c>
      <c r="D265" s="75" t="s">
        <v>13</v>
      </c>
      <c r="E265" s="75" t="s">
        <v>8</v>
      </c>
      <c r="F265" s="75" t="s">
        <v>23</v>
      </c>
    </row>
    <row r="266" spans="1:6" x14ac:dyDescent="0.3">
      <c r="A266" s="75" t="s">
        <v>837</v>
      </c>
      <c r="B266" s="75" t="s">
        <v>838</v>
      </c>
      <c r="C266" s="75" t="s">
        <v>549</v>
      </c>
      <c r="D266" s="75">
        <v>2014</v>
      </c>
      <c r="E266" s="75" t="s">
        <v>44</v>
      </c>
      <c r="F266" s="75" t="s">
        <v>45</v>
      </c>
    </row>
    <row r="267" spans="1:6" x14ac:dyDescent="0.3">
      <c r="A267" s="75" t="s">
        <v>839</v>
      </c>
      <c r="B267" s="75" t="s">
        <v>840</v>
      </c>
      <c r="C267" s="75" t="s">
        <v>841</v>
      </c>
      <c r="D267" s="75">
        <v>1995</v>
      </c>
      <c r="E267" s="75" t="s">
        <v>8</v>
      </c>
      <c r="F267" s="75" t="s">
        <v>478</v>
      </c>
    </row>
    <row r="268" spans="1:6" x14ac:dyDescent="0.3">
      <c r="A268" s="75" t="s">
        <v>842</v>
      </c>
      <c r="B268" s="75" t="s">
        <v>843</v>
      </c>
      <c r="C268" s="75" t="s">
        <v>844</v>
      </c>
      <c r="D268" s="75" t="s">
        <v>13</v>
      </c>
      <c r="E268" s="75" t="s">
        <v>283</v>
      </c>
      <c r="F268" s="75" t="s">
        <v>845</v>
      </c>
    </row>
    <row r="269" spans="1:6" x14ac:dyDescent="0.3">
      <c r="A269" s="75" t="s">
        <v>846</v>
      </c>
      <c r="B269" s="75" t="s">
        <v>847</v>
      </c>
      <c r="C269" s="75" t="s">
        <v>848</v>
      </c>
      <c r="D269" s="75">
        <v>2013</v>
      </c>
      <c r="E269" s="75" t="s">
        <v>8</v>
      </c>
      <c r="F269" s="75" t="s">
        <v>9</v>
      </c>
    </row>
    <row r="270" spans="1:6" x14ac:dyDescent="0.3">
      <c r="A270" s="75" t="s">
        <v>849</v>
      </c>
      <c r="B270" s="75" t="s">
        <v>847</v>
      </c>
      <c r="C270" s="75" t="s">
        <v>13</v>
      </c>
      <c r="D270" s="75" t="s">
        <v>13</v>
      </c>
      <c r="E270" s="75" t="s">
        <v>8</v>
      </c>
      <c r="F270" s="75" t="s">
        <v>9</v>
      </c>
    </row>
    <row r="271" spans="1:6" x14ac:dyDescent="0.3">
      <c r="A271" s="75" t="s">
        <v>850</v>
      </c>
      <c r="B271" s="75" t="s">
        <v>851</v>
      </c>
      <c r="C271" s="75" t="s">
        <v>852</v>
      </c>
      <c r="D271" s="75">
        <v>2015</v>
      </c>
      <c r="E271" s="75" t="s">
        <v>31</v>
      </c>
      <c r="F271" s="75" t="s">
        <v>36</v>
      </c>
    </row>
    <row r="272" spans="1:6" x14ac:dyDescent="0.3">
      <c r="A272" s="75" t="s">
        <v>853</v>
      </c>
      <c r="B272" s="75" t="s">
        <v>854</v>
      </c>
      <c r="C272" s="75" t="s">
        <v>855</v>
      </c>
      <c r="D272" s="75" t="s">
        <v>13</v>
      </c>
      <c r="E272" s="75" t="s">
        <v>44</v>
      </c>
      <c r="F272" s="75" t="s">
        <v>49</v>
      </c>
    </row>
    <row r="273" spans="1:6" x14ac:dyDescent="0.3">
      <c r="A273" s="75" t="s">
        <v>856</v>
      </c>
      <c r="B273" s="75" t="s">
        <v>857</v>
      </c>
      <c r="C273" s="75" t="s">
        <v>858</v>
      </c>
      <c r="D273" s="75">
        <v>2016</v>
      </c>
      <c r="E273" s="75" t="s">
        <v>31</v>
      </c>
      <c r="F273" s="75" t="s">
        <v>92</v>
      </c>
    </row>
    <row r="274" spans="1:6" x14ac:dyDescent="0.3">
      <c r="A274" s="75" t="s">
        <v>859</v>
      </c>
      <c r="B274" s="75" t="s">
        <v>860</v>
      </c>
      <c r="C274" s="75" t="s">
        <v>861</v>
      </c>
      <c r="D274" s="75">
        <v>2012</v>
      </c>
      <c r="E274" s="75" t="s">
        <v>70</v>
      </c>
      <c r="F274" s="75" t="s">
        <v>80</v>
      </c>
    </row>
    <row r="275" spans="1:6" x14ac:dyDescent="0.3">
      <c r="A275" s="75" t="s">
        <v>862</v>
      </c>
      <c r="B275" s="75" t="s">
        <v>863</v>
      </c>
      <c r="C275" s="75" t="s">
        <v>864</v>
      </c>
      <c r="D275" s="75">
        <v>2005</v>
      </c>
      <c r="E275" s="75" t="s">
        <v>70</v>
      </c>
      <c r="F275" s="75" t="s">
        <v>80</v>
      </c>
    </row>
    <row r="276" spans="1:6" x14ac:dyDescent="0.3">
      <c r="A276" s="75" t="s">
        <v>865</v>
      </c>
      <c r="B276" s="75" t="s">
        <v>866</v>
      </c>
      <c r="C276" s="75" t="s">
        <v>867</v>
      </c>
      <c r="D276" s="75" t="s">
        <v>13</v>
      </c>
      <c r="E276" s="75" t="s">
        <v>70</v>
      </c>
      <c r="F276" s="75" t="s">
        <v>80</v>
      </c>
    </row>
    <row r="277" spans="1:6" x14ac:dyDescent="0.3">
      <c r="A277" s="75" t="s">
        <v>868</v>
      </c>
      <c r="B277" s="75" t="s">
        <v>869</v>
      </c>
      <c r="C277" s="75" t="s">
        <v>870</v>
      </c>
      <c r="D277" s="75" t="s">
        <v>13</v>
      </c>
      <c r="E277" s="75" t="s">
        <v>31</v>
      </c>
      <c r="F277" s="75" t="s">
        <v>36</v>
      </c>
    </row>
    <row r="278" spans="1:6" x14ac:dyDescent="0.3">
      <c r="A278" s="75" t="s">
        <v>871</v>
      </c>
      <c r="B278" s="75" t="s">
        <v>872</v>
      </c>
      <c r="C278" s="75" t="s">
        <v>873</v>
      </c>
      <c r="D278" s="75">
        <v>2015</v>
      </c>
      <c r="E278" s="75" t="s">
        <v>70</v>
      </c>
      <c r="F278" s="75" t="s">
        <v>118</v>
      </c>
    </row>
    <row r="279" spans="1:6" x14ac:dyDescent="0.3">
      <c r="A279" s="75" t="s">
        <v>874</v>
      </c>
      <c r="B279" s="75" t="s">
        <v>875</v>
      </c>
      <c r="C279" s="75" t="s">
        <v>876</v>
      </c>
      <c r="D279" s="75" t="s">
        <v>13</v>
      </c>
      <c r="E279" s="75" t="s">
        <v>8</v>
      </c>
      <c r="F279" s="75" t="s">
        <v>27</v>
      </c>
    </row>
    <row r="280" spans="1:6" x14ac:dyDescent="0.3">
      <c r="A280" s="75" t="s">
        <v>877</v>
      </c>
      <c r="B280" s="75" t="s">
        <v>878</v>
      </c>
      <c r="C280" s="75" t="s">
        <v>879</v>
      </c>
      <c r="D280" s="75">
        <v>2016</v>
      </c>
      <c r="E280" s="75" t="s">
        <v>70</v>
      </c>
      <c r="F280" s="75" t="s">
        <v>118</v>
      </c>
    </row>
    <row r="281" spans="1:6" x14ac:dyDescent="0.3">
      <c r="A281" s="75" t="s">
        <v>880</v>
      </c>
      <c r="B281" s="75" t="s">
        <v>881</v>
      </c>
      <c r="C281" s="75" t="s">
        <v>882</v>
      </c>
      <c r="D281" s="75">
        <v>1999</v>
      </c>
      <c r="E281" s="75" t="s">
        <v>44</v>
      </c>
      <c r="F281" s="75" t="s">
        <v>49</v>
      </c>
    </row>
    <row r="282" spans="1:6" x14ac:dyDescent="0.3">
      <c r="A282" s="75" t="s">
        <v>883</v>
      </c>
      <c r="B282" s="75" t="s">
        <v>884</v>
      </c>
      <c r="C282" s="75" t="s">
        <v>885</v>
      </c>
      <c r="D282" s="75" t="s">
        <v>13</v>
      </c>
      <c r="E282" s="75" t="s">
        <v>70</v>
      </c>
      <c r="F282" s="75" t="s">
        <v>71</v>
      </c>
    </row>
    <row r="283" spans="1:6" x14ac:dyDescent="0.3">
      <c r="A283" s="75" t="s">
        <v>886</v>
      </c>
      <c r="B283" s="75" t="s">
        <v>887</v>
      </c>
      <c r="C283" s="75" t="s">
        <v>888</v>
      </c>
      <c r="D283" s="75">
        <v>2014</v>
      </c>
      <c r="E283" s="75" t="s">
        <v>70</v>
      </c>
      <c r="F283" s="75" t="s">
        <v>71</v>
      </c>
    </row>
    <row r="284" spans="1:6" x14ac:dyDescent="0.3">
      <c r="A284" s="75" t="s">
        <v>889</v>
      </c>
      <c r="B284" s="75" t="s">
        <v>890</v>
      </c>
      <c r="C284" s="75" t="s">
        <v>891</v>
      </c>
      <c r="D284" s="75">
        <v>1999</v>
      </c>
      <c r="E284" s="75" t="s">
        <v>31</v>
      </c>
      <c r="F284" s="75" t="s">
        <v>32</v>
      </c>
    </row>
    <row r="285" spans="1:6" x14ac:dyDescent="0.3">
      <c r="A285" s="75" t="s">
        <v>892</v>
      </c>
      <c r="B285" s="75" t="s">
        <v>893</v>
      </c>
      <c r="C285" s="75" t="s">
        <v>894</v>
      </c>
      <c r="D285" s="75" t="s">
        <v>13</v>
      </c>
      <c r="E285" s="75" t="s">
        <v>31</v>
      </c>
      <c r="F285" s="75" t="s">
        <v>36</v>
      </c>
    </row>
    <row r="286" spans="1:6" x14ac:dyDescent="0.3">
      <c r="A286" s="75" t="s">
        <v>895</v>
      </c>
      <c r="B286" s="75" t="s">
        <v>896</v>
      </c>
      <c r="C286" s="75" t="s">
        <v>897</v>
      </c>
      <c r="D286" s="75" t="s">
        <v>13</v>
      </c>
      <c r="E286" s="75" t="s">
        <v>31</v>
      </c>
      <c r="F286" s="75" t="s">
        <v>161</v>
      </c>
    </row>
    <row r="287" spans="1:6" x14ac:dyDescent="0.3">
      <c r="A287" s="75" t="s">
        <v>898</v>
      </c>
      <c r="B287" s="75" t="s">
        <v>899</v>
      </c>
      <c r="C287" s="75" t="s">
        <v>900</v>
      </c>
      <c r="D287" s="75" t="s">
        <v>13</v>
      </c>
      <c r="E287" s="75" t="s">
        <v>70</v>
      </c>
      <c r="F287" s="75" t="s">
        <v>71</v>
      </c>
    </row>
    <row r="288" spans="1:6" x14ac:dyDescent="0.3">
      <c r="A288" s="75" t="s">
        <v>901</v>
      </c>
      <c r="B288" s="75" t="s">
        <v>902</v>
      </c>
      <c r="C288" s="75" t="s">
        <v>903</v>
      </c>
      <c r="D288" s="75">
        <v>2017</v>
      </c>
      <c r="E288" s="75" t="s">
        <v>70</v>
      </c>
      <c r="F288" s="75" t="s">
        <v>71</v>
      </c>
    </row>
    <row r="289" spans="1:6" x14ac:dyDescent="0.3">
      <c r="A289" s="75" t="s">
        <v>904</v>
      </c>
      <c r="B289" s="75" t="s">
        <v>905</v>
      </c>
      <c r="C289" s="75" t="s">
        <v>906</v>
      </c>
      <c r="D289" s="75">
        <v>2010</v>
      </c>
      <c r="E289" s="75" t="s">
        <v>70</v>
      </c>
      <c r="F289" s="75" t="s">
        <v>71</v>
      </c>
    </row>
    <row r="290" spans="1:6" x14ac:dyDescent="0.3">
      <c r="A290" s="75" t="s">
        <v>907</v>
      </c>
      <c r="B290" s="75" t="s">
        <v>908</v>
      </c>
      <c r="C290" s="75" t="s">
        <v>909</v>
      </c>
      <c r="D290" s="75">
        <v>2016</v>
      </c>
      <c r="E290" s="75" t="s">
        <v>70</v>
      </c>
      <c r="F290" s="75" t="s">
        <v>118</v>
      </c>
    </row>
    <row r="291" spans="1:6" x14ac:dyDescent="0.3">
      <c r="A291" s="75" t="s">
        <v>910</v>
      </c>
      <c r="B291" s="75" t="s">
        <v>911</v>
      </c>
      <c r="C291" s="75" t="s">
        <v>912</v>
      </c>
      <c r="D291" s="75" t="s">
        <v>13</v>
      </c>
      <c r="E291" s="75" t="s">
        <v>31</v>
      </c>
      <c r="F291" s="75" t="s">
        <v>291</v>
      </c>
    </row>
    <row r="292" spans="1:6" x14ac:dyDescent="0.3">
      <c r="A292" s="75" t="s">
        <v>913</v>
      </c>
      <c r="B292" s="75" t="s">
        <v>914</v>
      </c>
      <c r="C292" s="75" t="s">
        <v>915</v>
      </c>
      <c r="D292" s="75">
        <v>1993</v>
      </c>
      <c r="E292" s="75" t="s">
        <v>31</v>
      </c>
      <c r="F292" s="75" t="s">
        <v>36</v>
      </c>
    </row>
    <row r="293" spans="1:6" x14ac:dyDescent="0.3">
      <c r="A293" s="75" t="s">
        <v>916</v>
      </c>
      <c r="B293" s="75" t="s">
        <v>917</v>
      </c>
      <c r="C293" s="75" t="s">
        <v>918</v>
      </c>
      <c r="D293" s="75">
        <v>2015</v>
      </c>
      <c r="E293" s="75" t="s">
        <v>70</v>
      </c>
      <c r="F293" s="75" t="s">
        <v>80</v>
      </c>
    </row>
    <row r="294" spans="1:6" x14ac:dyDescent="0.3">
      <c r="A294" s="75" t="s">
        <v>919</v>
      </c>
      <c r="B294" s="75" t="s">
        <v>920</v>
      </c>
      <c r="C294" s="75" t="s">
        <v>921</v>
      </c>
      <c r="D294" s="75" t="s">
        <v>13</v>
      </c>
      <c r="E294" s="75" t="s">
        <v>70</v>
      </c>
      <c r="F294" s="75" t="s">
        <v>118</v>
      </c>
    </row>
    <row r="295" spans="1:6" x14ac:dyDescent="0.3">
      <c r="A295" s="75" t="s">
        <v>922</v>
      </c>
      <c r="B295" s="75" t="s">
        <v>923</v>
      </c>
      <c r="C295" s="75" t="s">
        <v>143</v>
      </c>
      <c r="D295" s="75" t="s">
        <v>13</v>
      </c>
      <c r="E295" s="75" t="s">
        <v>18</v>
      </c>
      <c r="F295" s="75" t="s">
        <v>474</v>
      </c>
    </row>
    <row r="296" spans="1:6" x14ac:dyDescent="0.3">
      <c r="A296" s="75" t="s">
        <v>924</v>
      </c>
      <c r="B296" s="75" t="s">
        <v>925</v>
      </c>
      <c r="C296" s="75" t="s">
        <v>926</v>
      </c>
      <c r="D296" s="75">
        <v>2016</v>
      </c>
      <c r="E296" s="75" t="s">
        <v>8</v>
      </c>
      <c r="F296" s="75" t="s">
        <v>76</v>
      </c>
    </row>
    <row r="297" spans="1:6" x14ac:dyDescent="0.3">
      <c r="A297" s="75" t="s">
        <v>927</v>
      </c>
      <c r="B297" s="75" t="s">
        <v>925</v>
      </c>
      <c r="C297" s="75" t="s">
        <v>13</v>
      </c>
      <c r="D297" s="75">
        <v>2016</v>
      </c>
      <c r="E297" s="75" t="s">
        <v>8</v>
      </c>
      <c r="F297" s="75" t="s">
        <v>76</v>
      </c>
    </row>
    <row r="298" spans="1:6" x14ac:dyDescent="0.3">
      <c r="A298" s="75" t="s">
        <v>928</v>
      </c>
      <c r="B298" s="75" t="s">
        <v>925</v>
      </c>
      <c r="C298" s="75" t="s">
        <v>13</v>
      </c>
      <c r="D298" s="75">
        <v>2016</v>
      </c>
      <c r="E298" s="75" t="s">
        <v>8</v>
      </c>
      <c r="F298" s="75" t="s">
        <v>76</v>
      </c>
    </row>
    <row r="299" spans="1:6" x14ac:dyDescent="0.3">
      <c r="A299" s="75" t="s">
        <v>929</v>
      </c>
      <c r="B299" s="75" t="s">
        <v>930</v>
      </c>
      <c r="C299" s="75" t="s">
        <v>931</v>
      </c>
      <c r="D299" s="75">
        <v>1996</v>
      </c>
      <c r="E299" s="75" t="s">
        <v>31</v>
      </c>
      <c r="F299" s="75" t="s">
        <v>36</v>
      </c>
    </row>
    <row r="300" spans="1:6" x14ac:dyDescent="0.3">
      <c r="A300" s="75" t="s">
        <v>932</v>
      </c>
      <c r="B300" s="75" t="s">
        <v>933</v>
      </c>
      <c r="C300" s="75" t="s">
        <v>777</v>
      </c>
      <c r="D300" s="75">
        <v>2014</v>
      </c>
      <c r="E300" s="75" t="s">
        <v>8</v>
      </c>
      <c r="F300" s="75" t="s">
        <v>76</v>
      </c>
    </row>
    <row r="301" spans="1:6" x14ac:dyDescent="0.3">
      <c r="A301" s="75" t="s">
        <v>934</v>
      </c>
      <c r="B301" s="75" t="s">
        <v>933</v>
      </c>
      <c r="C301" s="75" t="s">
        <v>13</v>
      </c>
      <c r="D301" s="75">
        <v>2014</v>
      </c>
      <c r="E301" s="75" t="s">
        <v>8</v>
      </c>
      <c r="F301" s="75" t="s">
        <v>76</v>
      </c>
    </row>
    <row r="302" spans="1:6" x14ac:dyDescent="0.3">
      <c r="A302" s="75" t="s">
        <v>935</v>
      </c>
      <c r="B302" s="75" t="s">
        <v>933</v>
      </c>
      <c r="C302" s="75" t="s">
        <v>13</v>
      </c>
      <c r="D302" s="75">
        <v>2014</v>
      </c>
      <c r="E302" s="75" t="s">
        <v>8</v>
      </c>
      <c r="F302" s="75" t="s">
        <v>76</v>
      </c>
    </row>
    <row r="303" spans="1:6" x14ac:dyDescent="0.3">
      <c r="A303" s="75" t="s">
        <v>936</v>
      </c>
      <c r="B303" s="75" t="s">
        <v>937</v>
      </c>
      <c r="C303" s="75" t="s">
        <v>938</v>
      </c>
      <c r="D303" s="75">
        <v>2000</v>
      </c>
      <c r="E303" s="75" t="s">
        <v>31</v>
      </c>
      <c r="F303" s="75" t="s">
        <v>63</v>
      </c>
    </row>
    <row r="304" spans="1:6" x14ac:dyDescent="0.3">
      <c r="A304" s="75" t="s">
        <v>939</v>
      </c>
      <c r="B304" s="75" t="s">
        <v>940</v>
      </c>
      <c r="C304" s="75" t="s">
        <v>941</v>
      </c>
      <c r="D304" s="75" t="s">
        <v>13</v>
      </c>
      <c r="E304" s="75" t="s">
        <v>70</v>
      </c>
      <c r="F304" s="75" t="s">
        <v>671</v>
      </c>
    </row>
    <row r="305" spans="1:6" x14ac:dyDescent="0.3">
      <c r="A305" s="75" t="s">
        <v>942</v>
      </c>
      <c r="B305" s="75" t="s">
        <v>943</v>
      </c>
      <c r="C305" s="75" t="s">
        <v>944</v>
      </c>
      <c r="D305" s="75" t="s">
        <v>13</v>
      </c>
      <c r="E305" s="75" t="s">
        <v>53</v>
      </c>
      <c r="F305" s="75" t="s">
        <v>501</v>
      </c>
    </row>
    <row r="306" spans="1:6" x14ac:dyDescent="0.3">
      <c r="A306" s="75" t="s">
        <v>945</v>
      </c>
      <c r="B306" s="75" t="s">
        <v>946</v>
      </c>
      <c r="C306" s="75" t="s">
        <v>947</v>
      </c>
      <c r="D306" s="75">
        <v>2015</v>
      </c>
      <c r="E306" s="75" t="s">
        <v>70</v>
      </c>
      <c r="F306" s="75" t="s">
        <v>71</v>
      </c>
    </row>
    <row r="307" spans="1:6" x14ac:dyDescent="0.3">
      <c r="A307" s="75" t="s">
        <v>948</v>
      </c>
      <c r="B307" s="75" t="s">
        <v>949</v>
      </c>
      <c r="C307" s="75" t="s">
        <v>950</v>
      </c>
      <c r="D307" s="75">
        <v>1998</v>
      </c>
      <c r="E307" s="75" t="s">
        <v>31</v>
      </c>
      <c r="F307" s="75" t="s">
        <v>92</v>
      </c>
    </row>
    <row r="308" spans="1:6" x14ac:dyDescent="0.3">
      <c r="A308" s="75" t="s">
        <v>951</v>
      </c>
      <c r="B308" s="75" t="s">
        <v>952</v>
      </c>
      <c r="C308" s="75" t="s">
        <v>953</v>
      </c>
      <c r="D308" s="75">
        <v>2016</v>
      </c>
      <c r="E308" s="75" t="s">
        <v>70</v>
      </c>
      <c r="F308" s="75" t="s">
        <v>71</v>
      </c>
    </row>
    <row r="309" spans="1:6" x14ac:dyDescent="0.3">
      <c r="A309" s="75" t="s">
        <v>954</v>
      </c>
      <c r="B309" s="75" t="s">
        <v>955</v>
      </c>
      <c r="C309" s="75" t="s">
        <v>956</v>
      </c>
      <c r="D309" s="75" t="s">
        <v>13</v>
      </c>
      <c r="E309" s="75" t="s">
        <v>18</v>
      </c>
      <c r="F309" s="75" t="s">
        <v>49</v>
      </c>
    </row>
    <row r="310" spans="1:6" x14ac:dyDescent="0.3">
      <c r="A310" s="75" t="s">
        <v>957</v>
      </c>
      <c r="B310" s="75" t="s">
        <v>958</v>
      </c>
      <c r="C310" s="75" t="s">
        <v>959</v>
      </c>
      <c r="D310" s="75" t="s">
        <v>13</v>
      </c>
      <c r="E310" s="75" t="s">
        <v>96</v>
      </c>
      <c r="F310" s="75" t="s">
        <v>76</v>
      </c>
    </row>
    <row r="311" spans="1:6" x14ac:dyDescent="0.3">
      <c r="A311" s="75" t="s">
        <v>960</v>
      </c>
      <c r="B311" s="75" t="s">
        <v>958</v>
      </c>
      <c r="C311" s="75" t="s">
        <v>13</v>
      </c>
      <c r="D311" s="75" t="s">
        <v>13</v>
      </c>
      <c r="E311" s="75" t="s">
        <v>96</v>
      </c>
      <c r="F311" s="75" t="s">
        <v>76</v>
      </c>
    </row>
    <row r="312" spans="1:6" x14ac:dyDescent="0.3">
      <c r="A312" s="75" t="s">
        <v>961</v>
      </c>
      <c r="B312" s="75" t="s">
        <v>958</v>
      </c>
      <c r="C312" s="75" t="s">
        <v>13</v>
      </c>
      <c r="D312" s="75" t="s">
        <v>13</v>
      </c>
      <c r="E312" s="75" t="s">
        <v>96</v>
      </c>
      <c r="F312" s="75" t="s">
        <v>76</v>
      </c>
    </row>
    <row r="313" spans="1:6" x14ac:dyDescent="0.3">
      <c r="A313" s="75" t="s">
        <v>962</v>
      </c>
      <c r="B313" s="75" t="s">
        <v>963</v>
      </c>
      <c r="C313" s="75" t="s">
        <v>964</v>
      </c>
      <c r="D313" s="75" t="s">
        <v>13</v>
      </c>
      <c r="E313" s="75" t="s">
        <v>31</v>
      </c>
      <c r="F313" s="75" t="s">
        <v>395</v>
      </c>
    </row>
    <row r="314" spans="1:6" x14ac:dyDescent="0.3">
      <c r="A314" s="75" t="s">
        <v>965</v>
      </c>
      <c r="B314" s="75" t="s">
        <v>966</v>
      </c>
      <c r="C314" s="75" t="s">
        <v>967</v>
      </c>
      <c r="D314" s="75">
        <v>2005</v>
      </c>
      <c r="E314" s="75" t="s">
        <v>31</v>
      </c>
      <c r="F314" s="75" t="s">
        <v>32</v>
      </c>
    </row>
    <row r="315" spans="1:6" x14ac:dyDescent="0.3">
      <c r="A315" s="75" t="s">
        <v>968</v>
      </c>
      <c r="B315" s="75" t="s">
        <v>969</v>
      </c>
      <c r="C315" s="75" t="s">
        <v>970</v>
      </c>
      <c r="D315" s="75" t="s">
        <v>13</v>
      </c>
      <c r="E315" s="75" t="s">
        <v>58</v>
      </c>
      <c r="F315" s="75" t="s">
        <v>59</v>
      </c>
    </row>
    <row r="316" spans="1:6" x14ac:dyDescent="0.3">
      <c r="A316" s="75" t="s">
        <v>971</v>
      </c>
      <c r="B316" s="75" t="s">
        <v>972</v>
      </c>
      <c r="C316" s="75" t="s">
        <v>973</v>
      </c>
      <c r="D316" s="75" t="s">
        <v>13</v>
      </c>
      <c r="E316" s="75" t="s">
        <v>8</v>
      </c>
      <c r="F316" s="75" t="s">
        <v>9</v>
      </c>
    </row>
    <row r="317" spans="1:6" x14ac:dyDescent="0.3">
      <c r="A317" s="75" t="s">
        <v>974</v>
      </c>
      <c r="B317" s="75" t="s">
        <v>972</v>
      </c>
      <c r="C317" s="75" t="s">
        <v>975</v>
      </c>
      <c r="D317" s="75" t="s">
        <v>13</v>
      </c>
      <c r="E317" s="75" t="s">
        <v>8</v>
      </c>
      <c r="F317" s="75" t="s">
        <v>9</v>
      </c>
    </row>
    <row r="318" spans="1:6" x14ac:dyDescent="0.3">
      <c r="A318" s="75" t="s">
        <v>976</v>
      </c>
      <c r="B318" s="75" t="s">
        <v>977</v>
      </c>
      <c r="C318" s="75" t="s">
        <v>978</v>
      </c>
      <c r="D318" s="75" t="s">
        <v>13</v>
      </c>
      <c r="E318" s="75" t="s">
        <v>84</v>
      </c>
      <c r="F318" s="75" t="s">
        <v>63</v>
      </c>
    </row>
    <row r="319" spans="1:6" x14ac:dyDescent="0.3">
      <c r="A319" s="75" t="s">
        <v>979</v>
      </c>
      <c r="B319" s="75" t="s">
        <v>980</v>
      </c>
      <c r="C319" s="75" t="s">
        <v>981</v>
      </c>
      <c r="D319" s="75">
        <v>1993</v>
      </c>
      <c r="E319" s="75" t="s">
        <v>8</v>
      </c>
      <c r="F319" s="75" t="s">
        <v>27</v>
      </c>
    </row>
    <row r="320" spans="1:6" x14ac:dyDescent="0.3">
      <c r="A320" s="75" t="s">
        <v>982</v>
      </c>
      <c r="B320" s="75" t="s">
        <v>980</v>
      </c>
      <c r="C320" s="75" t="s">
        <v>983</v>
      </c>
      <c r="D320" s="75" t="s">
        <v>13</v>
      </c>
      <c r="E320" s="75" t="s">
        <v>8</v>
      </c>
      <c r="F320" s="75" t="s">
        <v>27</v>
      </c>
    </row>
    <row r="321" spans="1:6" x14ac:dyDescent="0.3">
      <c r="A321" s="75" t="s">
        <v>984</v>
      </c>
      <c r="B321" s="75" t="s">
        <v>985</v>
      </c>
      <c r="C321" s="75" t="s">
        <v>986</v>
      </c>
      <c r="D321" s="75" t="s">
        <v>13</v>
      </c>
      <c r="E321" s="75" t="s">
        <v>8</v>
      </c>
      <c r="F321" s="75" t="s">
        <v>23</v>
      </c>
    </row>
    <row r="322" spans="1:6" x14ac:dyDescent="0.3">
      <c r="A322" s="75" t="s">
        <v>987</v>
      </c>
      <c r="B322" s="75" t="s">
        <v>988</v>
      </c>
      <c r="C322" s="75" t="s">
        <v>989</v>
      </c>
      <c r="D322" s="75" t="s">
        <v>13</v>
      </c>
      <c r="E322" s="75" t="s">
        <v>8</v>
      </c>
      <c r="F322" s="75" t="s">
        <v>23</v>
      </c>
    </row>
    <row r="323" spans="1:6" x14ac:dyDescent="0.3">
      <c r="A323" s="75" t="s">
        <v>990</v>
      </c>
      <c r="B323" s="75" t="s">
        <v>991</v>
      </c>
      <c r="C323" s="75" t="s">
        <v>992</v>
      </c>
      <c r="D323" s="75" t="s">
        <v>13</v>
      </c>
      <c r="E323" s="75" t="s">
        <v>8</v>
      </c>
      <c r="F323" s="75" t="s">
        <v>27</v>
      </c>
    </row>
    <row r="324" spans="1:6" x14ac:dyDescent="0.3">
      <c r="A324" s="75" t="s">
        <v>993</v>
      </c>
      <c r="B324" s="75" t="s">
        <v>994</v>
      </c>
      <c r="C324" s="75" t="s">
        <v>995</v>
      </c>
      <c r="D324" s="75" t="s">
        <v>13</v>
      </c>
      <c r="E324" s="75" t="s">
        <v>8</v>
      </c>
      <c r="F324" s="75" t="s">
        <v>27</v>
      </c>
    </row>
    <row r="325" spans="1:6" x14ac:dyDescent="0.3">
      <c r="A325" s="75" t="s">
        <v>996</v>
      </c>
      <c r="B325" s="75" t="s">
        <v>997</v>
      </c>
      <c r="C325" s="75" t="s">
        <v>13</v>
      </c>
      <c r="D325" s="75" t="s">
        <v>13</v>
      </c>
      <c r="E325" s="75" t="s">
        <v>8</v>
      </c>
      <c r="F325" s="75" t="s">
        <v>998</v>
      </c>
    </row>
    <row r="326" spans="1:6" x14ac:dyDescent="0.3">
      <c r="A326" s="75" t="s">
        <v>999</v>
      </c>
      <c r="B326" s="75" t="s">
        <v>1000</v>
      </c>
      <c r="C326" s="75" t="s">
        <v>1001</v>
      </c>
      <c r="D326" s="75" t="s">
        <v>13</v>
      </c>
      <c r="E326" s="75" t="s">
        <v>8</v>
      </c>
      <c r="F326" s="75" t="s">
        <v>27</v>
      </c>
    </row>
    <row r="327" spans="1:6" x14ac:dyDescent="0.3">
      <c r="A327" s="75" t="s">
        <v>1002</v>
      </c>
      <c r="B327" s="75" t="s">
        <v>1003</v>
      </c>
      <c r="C327" s="75" t="s">
        <v>1004</v>
      </c>
      <c r="D327" s="75" t="s">
        <v>13</v>
      </c>
      <c r="E327" s="75" t="s">
        <v>8</v>
      </c>
      <c r="F327" s="75" t="s">
        <v>27</v>
      </c>
    </row>
    <row r="328" spans="1:6" x14ac:dyDescent="0.3">
      <c r="A328" s="75" t="s">
        <v>1005</v>
      </c>
      <c r="B328" s="75" t="s">
        <v>1006</v>
      </c>
      <c r="C328" s="75" t="s">
        <v>1007</v>
      </c>
      <c r="D328" s="75">
        <v>1997</v>
      </c>
      <c r="E328" s="75" t="s">
        <v>8</v>
      </c>
      <c r="F328" s="75" t="s">
        <v>27</v>
      </c>
    </row>
    <row r="329" spans="1:6" x14ac:dyDescent="0.3">
      <c r="A329" s="75" t="s">
        <v>1008</v>
      </c>
      <c r="B329" s="75" t="s">
        <v>1009</v>
      </c>
      <c r="C329" s="75" t="s">
        <v>1010</v>
      </c>
      <c r="D329" s="75" t="s">
        <v>13</v>
      </c>
      <c r="E329" s="75" t="s">
        <v>8</v>
      </c>
      <c r="F329" s="75" t="s">
        <v>23</v>
      </c>
    </row>
    <row r="330" spans="1:6" x14ac:dyDescent="0.3">
      <c r="A330" s="75" t="s">
        <v>1011</v>
      </c>
      <c r="B330" s="75" t="s">
        <v>1012</v>
      </c>
      <c r="C330" s="75" t="s">
        <v>1013</v>
      </c>
      <c r="D330" s="75">
        <v>2014</v>
      </c>
      <c r="E330" s="75" t="s">
        <v>8</v>
      </c>
      <c r="F330" s="75" t="s">
        <v>27</v>
      </c>
    </row>
    <row r="331" spans="1:6" x14ac:dyDescent="0.3">
      <c r="A331" s="75" t="s">
        <v>1014</v>
      </c>
      <c r="B331" s="75" t="s">
        <v>1015</v>
      </c>
      <c r="C331" s="75" t="s">
        <v>1016</v>
      </c>
      <c r="D331" s="75" t="s">
        <v>13</v>
      </c>
      <c r="E331" s="75" t="s">
        <v>8</v>
      </c>
      <c r="F331" s="75" t="s">
        <v>27</v>
      </c>
    </row>
    <row r="332" spans="1:6" x14ac:dyDescent="0.3">
      <c r="A332" s="75" t="s">
        <v>1017</v>
      </c>
      <c r="B332" s="75" t="s">
        <v>1018</v>
      </c>
      <c r="C332" s="75" t="s">
        <v>1019</v>
      </c>
      <c r="D332" s="75">
        <v>2015</v>
      </c>
      <c r="E332" s="75" t="s">
        <v>18</v>
      </c>
      <c r="F332" s="75" t="s">
        <v>450</v>
      </c>
    </row>
    <row r="333" spans="1:6" x14ac:dyDescent="0.3">
      <c r="A333" s="75" t="s">
        <v>1020</v>
      </c>
      <c r="B333" s="75" t="s">
        <v>1021</v>
      </c>
      <c r="C333" s="75" t="s">
        <v>1022</v>
      </c>
      <c r="D333" s="75" t="s">
        <v>13</v>
      </c>
      <c r="E333" s="75" t="s">
        <v>8</v>
      </c>
      <c r="F333" s="75" t="s">
        <v>998</v>
      </c>
    </row>
    <row r="334" spans="1:6" x14ac:dyDescent="0.3">
      <c r="A334" s="75" t="s">
        <v>1023</v>
      </c>
      <c r="B334" s="75" t="s">
        <v>1024</v>
      </c>
      <c r="C334" s="75" t="s">
        <v>1025</v>
      </c>
      <c r="D334" s="75">
        <v>2015</v>
      </c>
      <c r="E334" s="75" t="s">
        <v>8</v>
      </c>
      <c r="F334" s="75" t="s">
        <v>76</v>
      </c>
    </row>
    <row r="335" spans="1:6" x14ac:dyDescent="0.3">
      <c r="A335" s="75" t="s">
        <v>1026</v>
      </c>
      <c r="B335" s="75" t="s">
        <v>1024</v>
      </c>
      <c r="C335" s="75" t="s">
        <v>13</v>
      </c>
      <c r="D335" s="75">
        <v>2015</v>
      </c>
      <c r="E335" s="75" t="s">
        <v>8</v>
      </c>
      <c r="F335" s="75" t="s">
        <v>76</v>
      </c>
    </row>
    <row r="336" spans="1:6" x14ac:dyDescent="0.3">
      <c r="A336" s="75" t="s">
        <v>1027</v>
      </c>
      <c r="B336" s="75" t="s">
        <v>1024</v>
      </c>
      <c r="C336" s="75" t="s">
        <v>13</v>
      </c>
      <c r="D336" s="75">
        <v>2015</v>
      </c>
      <c r="E336" s="75" t="s">
        <v>8</v>
      </c>
      <c r="F336" s="75" t="s">
        <v>76</v>
      </c>
    </row>
    <row r="337" spans="1:6" x14ac:dyDescent="0.3">
      <c r="A337" s="75" t="s">
        <v>1028</v>
      </c>
      <c r="B337" s="75" t="s">
        <v>1024</v>
      </c>
      <c r="C337" s="75" t="s">
        <v>13</v>
      </c>
      <c r="D337" s="75">
        <v>2015</v>
      </c>
      <c r="E337" s="75" t="s">
        <v>8</v>
      </c>
      <c r="F337" s="75" t="s">
        <v>76</v>
      </c>
    </row>
    <row r="338" spans="1:6" x14ac:dyDescent="0.3">
      <c r="A338" s="75" t="s">
        <v>1029</v>
      </c>
      <c r="B338" s="75" t="s">
        <v>1030</v>
      </c>
      <c r="C338" s="75" t="s">
        <v>1031</v>
      </c>
      <c r="D338" s="75">
        <v>1993</v>
      </c>
      <c r="E338" s="75" t="s">
        <v>31</v>
      </c>
      <c r="F338" s="75" t="s">
        <v>1032</v>
      </c>
    </row>
    <row r="339" spans="1:6" x14ac:dyDescent="0.3">
      <c r="A339" s="75" t="s">
        <v>1033</v>
      </c>
      <c r="B339" s="75" t="s">
        <v>1034</v>
      </c>
      <c r="C339" s="75" t="s">
        <v>1035</v>
      </c>
      <c r="D339" s="75" t="s">
        <v>13</v>
      </c>
      <c r="E339" s="75" t="s">
        <v>518</v>
      </c>
      <c r="F339" s="75" t="s">
        <v>630</v>
      </c>
    </row>
    <row r="340" spans="1:6" x14ac:dyDescent="0.3">
      <c r="A340" s="75" t="s">
        <v>1036</v>
      </c>
      <c r="B340" s="75" t="s">
        <v>1037</v>
      </c>
      <c r="C340" s="75" t="s">
        <v>1038</v>
      </c>
      <c r="D340" s="75" t="s">
        <v>13</v>
      </c>
      <c r="E340" s="75" t="s">
        <v>8</v>
      </c>
      <c r="F340" s="75" t="s">
        <v>27</v>
      </c>
    </row>
    <row r="341" spans="1:6" x14ac:dyDescent="0.3">
      <c r="A341" s="75" t="s">
        <v>1039</v>
      </c>
      <c r="B341" s="75" t="s">
        <v>1040</v>
      </c>
      <c r="C341" s="75" t="s">
        <v>1041</v>
      </c>
      <c r="D341" s="75">
        <v>2012</v>
      </c>
      <c r="E341" s="75" t="s">
        <v>31</v>
      </c>
      <c r="F341" s="75" t="s">
        <v>36</v>
      </c>
    </row>
    <row r="342" spans="1:6" x14ac:dyDescent="0.3">
      <c r="A342" s="75" t="s">
        <v>1042</v>
      </c>
      <c r="B342" s="75" t="s">
        <v>1043</v>
      </c>
      <c r="C342" s="75" t="s">
        <v>1044</v>
      </c>
      <c r="D342" s="75">
        <v>2005</v>
      </c>
      <c r="E342" s="75" t="s">
        <v>8</v>
      </c>
      <c r="F342" s="75" t="s">
        <v>23</v>
      </c>
    </row>
    <row r="343" spans="1:6" x14ac:dyDescent="0.3">
      <c r="A343" s="75" t="s">
        <v>1045</v>
      </c>
      <c r="B343" s="75" t="s">
        <v>1046</v>
      </c>
      <c r="C343" s="75" t="s">
        <v>1047</v>
      </c>
      <c r="D343" s="75">
        <v>2004</v>
      </c>
      <c r="E343" s="75" t="s">
        <v>18</v>
      </c>
      <c r="F343" s="75" t="s">
        <v>1048</v>
      </c>
    </row>
    <row r="344" spans="1:6" x14ac:dyDescent="0.3">
      <c r="A344" s="75" t="s">
        <v>1049</v>
      </c>
      <c r="B344" s="75" t="s">
        <v>1050</v>
      </c>
      <c r="C344" s="75" t="s">
        <v>1051</v>
      </c>
      <c r="D344" s="75" t="s">
        <v>13</v>
      </c>
      <c r="E344" s="75" t="s">
        <v>8</v>
      </c>
      <c r="F344" s="75" t="s">
        <v>27</v>
      </c>
    </row>
    <row r="345" spans="1:6" x14ac:dyDescent="0.3">
      <c r="A345" s="75" t="s">
        <v>1052</v>
      </c>
      <c r="B345" s="75" t="s">
        <v>1053</v>
      </c>
      <c r="C345" s="75" t="s">
        <v>1054</v>
      </c>
      <c r="D345" s="75">
        <v>2000</v>
      </c>
      <c r="E345" s="75" t="s">
        <v>18</v>
      </c>
      <c r="F345" s="75" t="s">
        <v>1055</v>
      </c>
    </row>
    <row r="346" spans="1:6" x14ac:dyDescent="0.3">
      <c r="A346" s="75" t="s">
        <v>1056</v>
      </c>
      <c r="B346" s="75" t="s">
        <v>1057</v>
      </c>
      <c r="C346" s="75" t="s">
        <v>1058</v>
      </c>
      <c r="D346" s="75">
        <v>1998</v>
      </c>
      <c r="E346" s="75" t="s">
        <v>348</v>
      </c>
      <c r="F346" s="75" t="s">
        <v>1059</v>
      </c>
    </row>
    <row r="347" spans="1:6" x14ac:dyDescent="0.3">
      <c r="A347" s="75" t="s">
        <v>1060</v>
      </c>
      <c r="B347" s="75" t="s">
        <v>1061</v>
      </c>
      <c r="C347" s="75" t="s">
        <v>1062</v>
      </c>
      <c r="D347" s="75">
        <v>1992</v>
      </c>
      <c r="E347" s="75" t="s">
        <v>18</v>
      </c>
      <c r="F347" s="75" t="s">
        <v>630</v>
      </c>
    </row>
    <row r="348" spans="1:6" x14ac:dyDescent="0.3">
      <c r="A348" s="75" t="s">
        <v>1063</v>
      </c>
      <c r="B348" s="75" t="s">
        <v>1064</v>
      </c>
      <c r="C348" s="75" t="s">
        <v>1065</v>
      </c>
      <c r="D348" s="75">
        <v>2016</v>
      </c>
      <c r="E348" s="75" t="s">
        <v>70</v>
      </c>
      <c r="F348" s="75" t="s">
        <v>71</v>
      </c>
    </row>
    <row r="349" spans="1:6" x14ac:dyDescent="0.3">
      <c r="A349" s="75" t="s">
        <v>1066</v>
      </c>
      <c r="B349" s="75" t="s">
        <v>1067</v>
      </c>
      <c r="C349" s="75" t="s">
        <v>1068</v>
      </c>
      <c r="D349" s="75" t="s">
        <v>13</v>
      </c>
      <c r="E349" s="75" t="s">
        <v>53</v>
      </c>
      <c r="F349" s="75" t="s">
        <v>229</v>
      </c>
    </row>
    <row r="350" spans="1:6" x14ac:dyDescent="0.3">
      <c r="A350" s="75" t="s">
        <v>1069</v>
      </c>
      <c r="B350" s="75" t="s">
        <v>1067</v>
      </c>
      <c r="C350" s="75" t="s">
        <v>1070</v>
      </c>
      <c r="D350" s="75" t="s">
        <v>13</v>
      </c>
      <c r="E350" s="75" t="s">
        <v>53</v>
      </c>
      <c r="F350" s="75" t="s">
        <v>229</v>
      </c>
    </row>
    <row r="351" spans="1:6" x14ac:dyDescent="0.3">
      <c r="A351" s="75" t="s">
        <v>1071</v>
      </c>
      <c r="B351" s="75" t="s">
        <v>1072</v>
      </c>
      <c r="C351" s="75" t="s">
        <v>1073</v>
      </c>
      <c r="D351" s="75">
        <v>2015</v>
      </c>
      <c r="E351" s="75" t="s">
        <v>70</v>
      </c>
      <c r="F351" s="75" t="s">
        <v>71</v>
      </c>
    </row>
    <row r="352" spans="1:6" x14ac:dyDescent="0.3">
      <c r="A352" s="75" t="s">
        <v>1074</v>
      </c>
      <c r="B352" s="75" t="s">
        <v>1075</v>
      </c>
      <c r="C352" s="75" t="s">
        <v>1076</v>
      </c>
      <c r="D352" s="75">
        <v>2014</v>
      </c>
      <c r="E352" s="75" t="s">
        <v>70</v>
      </c>
      <c r="F352" s="75" t="s">
        <v>71</v>
      </c>
    </row>
    <row r="353" spans="1:6" x14ac:dyDescent="0.3">
      <c r="A353" s="75" t="s">
        <v>1077</v>
      </c>
      <c r="B353" s="75" t="s">
        <v>1078</v>
      </c>
      <c r="C353" s="75" t="s">
        <v>1079</v>
      </c>
      <c r="D353" s="75" t="s">
        <v>13</v>
      </c>
      <c r="E353" s="75" t="s">
        <v>8</v>
      </c>
      <c r="F353" s="75" t="s">
        <v>23</v>
      </c>
    </row>
    <row r="354" spans="1:6" x14ac:dyDescent="0.3">
      <c r="A354" s="75" t="s">
        <v>1080</v>
      </c>
      <c r="B354" s="75" t="s">
        <v>1081</v>
      </c>
      <c r="C354" s="75" t="s">
        <v>1082</v>
      </c>
      <c r="D354" s="75">
        <v>2013</v>
      </c>
      <c r="E354" s="75" t="s">
        <v>31</v>
      </c>
      <c r="F354" s="75" t="s">
        <v>36</v>
      </c>
    </row>
    <row r="355" spans="1:6" x14ac:dyDescent="0.3">
      <c r="A355" s="75" t="s">
        <v>1083</v>
      </c>
      <c r="B355" s="75" t="s">
        <v>1084</v>
      </c>
      <c r="C355" s="75" t="s">
        <v>1085</v>
      </c>
      <c r="D355" s="75">
        <v>2015</v>
      </c>
      <c r="E355" s="75" t="s">
        <v>70</v>
      </c>
      <c r="F355" s="75" t="s">
        <v>71</v>
      </c>
    </row>
    <row r="356" spans="1:6" x14ac:dyDescent="0.3">
      <c r="A356" s="75" t="s">
        <v>1086</v>
      </c>
      <c r="B356" s="75" t="s">
        <v>1084</v>
      </c>
      <c r="C356" s="75" t="s">
        <v>13</v>
      </c>
      <c r="D356" s="75">
        <v>2015</v>
      </c>
      <c r="E356" s="75" t="s">
        <v>70</v>
      </c>
      <c r="F356" s="75" t="s">
        <v>71</v>
      </c>
    </row>
    <row r="357" spans="1:6" x14ac:dyDescent="0.3">
      <c r="A357" s="75" t="s">
        <v>1087</v>
      </c>
      <c r="B357" s="75" t="s">
        <v>1088</v>
      </c>
      <c r="C357" s="75" t="s">
        <v>1089</v>
      </c>
      <c r="D357" s="75">
        <v>2017</v>
      </c>
      <c r="E357" s="75" t="s">
        <v>70</v>
      </c>
      <c r="F357" s="75" t="s">
        <v>71</v>
      </c>
    </row>
    <row r="358" spans="1:6" x14ac:dyDescent="0.3">
      <c r="A358" s="75" t="s">
        <v>1090</v>
      </c>
      <c r="B358" s="75" t="s">
        <v>1091</v>
      </c>
      <c r="C358" s="75" t="s">
        <v>1092</v>
      </c>
      <c r="D358" s="75" t="s">
        <v>13</v>
      </c>
      <c r="E358" s="75" t="s">
        <v>8</v>
      </c>
      <c r="F358" s="75" t="s">
        <v>1093</v>
      </c>
    </row>
    <row r="359" spans="1:6" x14ac:dyDescent="0.3">
      <c r="A359" s="75" t="s">
        <v>1094</v>
      </c>
      <c r="B359" s="75" t="s">
        <v>1095</v>
      </c>
      <c r="C359" s="75" t="s">
        <v>1096</v>
      </c>
      <c r="D359" s="75">
        <v>2002</v>
      </c>
      <c r="E359" s="75" t="s">
        <v>18</v>
      </c>
      <c r="F359" s="75" t="s">
        <v>19</v>
      </c>
    </row>
    <row r="360" spans="1:6" x14ac:dyDescent="0.3">
      <c r="A360" s="75" t="s">
        <v>1097</v>
      </c>
      <c r="B360" s="75" t="s">
        <v>1098</v>
      </c>
      <c r="C360" s="75" t="s">
        <v>1099</v>
      </c>
      <c r="D360" s="75">
        <v>1997</v>
      </c>
      <c r="E360" s="75" t="s">
        <v>70</v>
      </c>
      <c r="F360" s="75" t="s">
        <v>326</v>
      </c>
    </row>
    <row r="361" spans="1:6" x14ac:dyDescent="0.3">
      <c r="A361" s="75" t="s">
        <v>1100</v>
      </c>
      <c r="B361" s="75" t="s">
        <v>1101</v>
      </c>
      <c r="C361" s="75" t="s">
        <v>1102</v>
      </c>
      <c r="D361" s="75">
        <v>2014</v>
      </c>
      <c r="E361" s="75" t="s">
        <v>70</v>
      </c>
      <c r="F361" s="75" t="s">
        <v>71</v>
      </c>
    </row>
    <row r="362" spans="1:6" x14ac:dyDescent="0.3">
      <c r="A362" s="75" t="s">
        <v>1103</v>
      </c>
      <c r="B362" s="75" t="s">
        <v>1104</v>
      </c>
      <c r="C362" s="75" t="s">
        <v>1105</v>
      </c>
      <c r="D362" s="75">
        <v>2014</v>
      </c>
      <c r="E362" s="75" t="s">
        <v>70</v>
      </c>
      <c r="F362" s="75" t="s">
        <v>101</v>
      </c>
    </row>
    <row r="363" spans="1:6" x14ac:dyDescent="0.3">
      <c r="A363" s="75" t="s">
        <v>1106</v>
      </c>
      <c r="B363" s="75" t="s">
        <v>1107</v>
      </c>
      <c r="C363" s="75" t="s">
        <v>1108</v>
      </c>
      <c r="D363" s="75">
        <v>1994</v>
      </c>
      <c r="E363" s="75" t="s">
        <v>70</v>
      </c>
      <c r="F363" s="75" t="s">
        <v>118</v>
      </c>
    </row>
    <row r="364" spans="1:6" x14ac:dyDescent="0.3">
      <c r="A364" s="75" t="s">
        <v>1109</v>
      </c>
      <c r="B364" s="75" t="s">
        <v>1110</v>
      </c>
      <c r="C364" s="75" t="s">
        <v>1111</v>
      </c>
      <c r="D364" s="75" t="s">
        <v>13</v>
      </c>
      <c r="E364" s="75" t="s">
        <v>70</v>
      </c>
      <c r="F364" s="75" t="s">
        <v>71</v>
      </c>
    </row>
    <row r="365" spans="1:6" x14ac:dyDescent="0.3">
      <c r="A365" s="75" t="s">
        <v>1112</v>
      </c>
      <c r="B365" s="75" t="s">
        <v>1113</v>
      </c>
      <c r="C365" s="75" t="s">
        <v>1114</v>
      </c>
      <c r="D365" s="75" t="s">
        <v>13</v>
      </c>
      <c r="E365" s="75" t="s">
        <v>70</v>
      </c>
      <c r="F365" s="75" t="s">
        <v>118</v>
      </c>
    </row>
    <row r="366" spans="1:6" x14ac:dyDescent="0.3">
      <c r="A366" s="75" t="s">
        <v>1115</v>
      </c>
      <c r="B366" s="75" t="s">
        <v>1116</v>
      </c>
      <c r="C366" s="75" t="s">
        <v>1117</v>
      </c>
      <c r="D366" s="75" t="s">
        <v>13</v>
      </c>
      <c r="E366" s="75" t="s">
        <v>31</v>
      </c>
      <c r="F366" s="75" t="s">
        <v>395</v>
      </c>
    </row>
    <row r="367" spans="1:6" x14ac:dyDescent="0.3">
      <c r="A367" s="75" t="s">
        <v>1118</v>
      </c>
      <c r="B367" s="75" t="s">
        <v>1119</v>
      </c>
      <c r="C367" s="75" t="s">
        <v>1120</v>
      </c>
      <c r="D367" s="75" t="s">
        <v>13</v>
      </c>
      <c r="E367" s="75" t="s">
        <v>70</v>
      </c>
      <c r="F367" s="75" t="s">
        <v>80</v>
      </c>
    </row>
    <row r="368" spans="1:6" x14ac:dyDescent="0.3">
      <c r="A368" s="75" t="s">
        <v>1121</v>
      </c>
      <c r="B368" s="75" t="s">
        <v>1122</v>
      </c>
      <c r="C368" s="75" t="s">
        <v>1123</v>
      </c>
      <c r="D368" s="75" t="s">
        <v>13</v>
      </c>
      <c r="E368" s="75" t="s">
        <v>70</v>
      </c>
      <c r="F368" s="75" t="s">
        <v>671</v>
      </c>
    </row>
    <row r="369" spans="1:6" x14ac:dyDescent="0.3">
      <c r="A369" s="75" t="s">
        <v>1124</v>
      </c>
      <c r="B369" s="75" t="s">
        <v>1125</v>
      </c>
      <c r="C369" s="75" t="s">
        <v>1126</v>
      </c>
      <c r="D369" s="75" t="s">
        <v>13</v>
      </c>
      <c r="E369" s="75" t="s">
        <v>70</v>
      </c>
      <c r="F369" s="75" t="s">
        <v>71</v>
      </c>
    </row>
    <row r="370" spans="1:6" x14ac:dyDescent="0.3">
      <c r="A370" s="75" t="s">
        <v>1127</v>
      </c>
      <c r="B370" s="75" t="s">
        <v>1128</v>
      </c>
      <c r="C370" s="75" t="s">
        <v>1129</v>
      </c>
      <c r="D370" s="75">
        <v>1999</v>
      </c>
      <c r="E370" s="75" t="s">
        <v>70</v>
      </c>
      <c r="F370" s="75" t="s">
        <v>71</v>
      </c>
    </row>
    <row r="371" spans="1:6" x14ac:dyDescent="0.3">
      <c r="A371" s="75" t="s">
        <v>1130</v>
      </c>
      <c r="B371" s="75" t="s">
        <v>1131</v>
      </c>
      <c r="C371" s="75" t="s">
        <v>1132</v>
      </c>
      <c r="D371" s="75" t="s">
        <v>13</v>
      </c>
      <c r="E371" s="75" t="s">
        <v>70</v>
      </c>
      <c r="F371" s="75" t="s">
        <v>80</v>
      </c>
    </row>
    <row r="372" spans="1:6" x14ac:dyDescent="0.3">
      <c r="A372" s="75" t="s">
        <v>1133</v>
      </c>
      <c r="B372" s="75" t="s">
        <v>1134</v>
      </c>
      <c r="C372" s="75" t="s">
        <v>1135</v>
      </c>
      <c r="D372" s="75">
        <v>2015</v>
      </c>
      <c r="E372" s="75" t="s">
        <v>70</v>
      </c>
      <c r="F372" s="75" t="s">
        <v>118</v>
      </c>
    </row>
    <row r="373" spans="1:6" x14ac:dyDescent="0.3">
      <c r="A373" s="75" t="s">
        <v>1136</v>
      </c>
      <c r="B373" s="75" t="s">
        <v>1134</v>
      </c>
      <c r="C373" s="75" t="s">
        <v>13</v>
      </c>
      <c r="D373" s="75">
        <v>2015</v>
      </c>
      <c r="E373" s="75" t="s">
        <v>70</v>
      </c>
      <c r="F373" s="75" t="s">
        <v>118</v>
      </c>
    </row>
    <row r="374" spans="1:6" x14ac:dyDescent="0.3">
      <c r="A374" s="75" t="s">
        <v>1137</v>
      </c>
      <c r="B374" s="75" t="s">
        <v>1138</v>
      </c>
      <c r="C374" s="75" t="s">
        <v>1139</v>
      </c>
      <c r="D374" s="75" t="s">
        <v>13</v>
      </c>
      <c r="E374" s="75" t="s">
        <v>70</v>
      </c>
      <c r="F374" s="75" t="s">
        <v>71</v>
      </c>
    </row>
    <row r="375" spans="1:6" x14ac:dyDescent="0.3">
      <c r="A375" s="75" t="s">
        <v>1140</v>
      </c>
      <c r="B375" s="75" t="s">
        <v>1141</v>
      </c>
      <c r="C375" s="75" t="s">
        <v>1142</v>
      </c>
      <c r="D375" s="75" t="s">
        <v>13</v>
      </c>
      <c r="E375" s="75" t="s">
        <v>70</v>
      </c>
      <c r="F375" s="75" t="s">
        <v>137</v>
      </c>
    </row>
    <row r="376" spans="1:6" x14ac:dyDescent="0.3">
      <c r="A376" s="75" t="s">
        <v>1143</v>
      </c>
      <c r="B376" s="75" t="s">
        <v>1144</v>
      </c>
      <c r="C376" s="75" t="s">
        <v>1145</v>
      </c>
      <c r="D376" s="75" t="s">
        <v>13</v>
      </c>
      <c r="E376" s="75" t="s">
        <v>70</v>
      </c>
      <c r="F376" s="75" t="s">
        <v>176</v>
      </c>
    </row>
    <row r="377" spans="1:6" x14ac:dyDescent="0.3">
      <c r="A377" s="75" t="s">
        <v>1146</v>
      </c>
      <c r="B377" s="75" t="s">
        <v>1147</v>
      </c>
      <c r="C377" s="75" t="s">
        <v>1148</v>
      </c>
      <c r="D377" s="75" t="s">
        <v>13</v>
      </c>
      <c r="E377" s="75" t="s">
        <v>13</v>
      </c>
      <c r="F377" s="75" t="s">
        <v>13</v>
      </c>
    </row>
    <row r="378" spans="1:6" x14ac:dyDescent="0.3">
      <c r="A378" s="75" t="s">
        <v>1149</v>
      </c>
      <c r="B378" s="75" t="s">
        <v>1150</v>
      </c>
      <c r="C378" s="75" t="s">
        <v>1151</v>
      </c>
      <c r="D378" s="75" t="s">
        <v>13</v>
      </c>
      <c r="E378" s="75" t="s">
        <v>13</v>
      </c>
      <c r="F378" s="75" t="s">
        <v>13</v>
      </c>
    </row>
    <row r="379" spans="1:6" x14ac:dyDescent="0.3">
      <c r="A379" s="75" t="s">
        <v>1152</v>
      </c>
      <c r="B379" s="75" t="s">
        <v>1153</v>
      </c>
      <c r="C379" s="75" t="s">
        <v>1154</v>
      </c>
      <c r="D379" s="75" t="s">
        <v>13</v>
      </c>
      <c r="E379" s="75" t="s">
        <v>70</v>
      </c>
      <c r="F379" s="75" t="s">
        <v>71</v>
      </c>
    </row>
    <row r="380" spans="1:6" x14ac:dyDescent="0.3">
      <c r="A380" s="75" t="s">
        <v>1155</v>
      </c>
      <c r="B380" s="75" t="s">
        <v>1156</v>
      </c>
      <c r="C380" s="75" t="s">
        <v>1157</v>
      </c>
      <c r="D380" s="75" t="s">
        <v>13</v>
      </c>
      <c r="E380" s="75" t="s">
        <v>70</v>
      </c>
      <c r="F380" s="75" t="s">
        <v>80</v>
      </c>
    </row>
    <row r="381" spans="1:6" x14ac:dyDescent="0.3">
      <c r="A381" s="75" t="s">
        <v>1158</v>
      </c>
      <c r="B381" s="75" t="s">
        <v>1159</v>
      </c>
      <c r="C381" s="75" t="s">
        <v>1160</v>
      </c>
      <c r="D381" s="75" t="s">
        <v>13</v>
      </c>
      <c r="E381" s="75" t="s">
        <v>70</v>
      </c>
      <c r="F381" s="75" t="s">
        <v>71</v>
      </c>
    </row>
    <row r="382" spans="1:6" x14ac:dyDescent="0.3">
      <c r="A382" s="75" t="s">
        <v>1161</v>
      </c>
      <c r="B382" s="75" t="s">
        <v>1162</v>
      </c>
      <c r="C382" s="75" t="s">
        <v>1163</v>
      </c>
      <c r="D382" s="75" t="s">
        <v>13</v>
      </c>
      <c r="E382" s="75" t="s">
        <v>70</v>
      </c>
      <c r="F382" s="75" t="s">
        <v>118</v>
      </c>
    </row>
    <row r="383" spans="1:6" x14ac:dyDescent="0.3">
      <c r="A383" s="75" t="s">
        <v>1164</v>
      </c>
      <c r="B383" s="75" t="s">
        <v>1165</v>
      </c>
      <c r="C383" s="75" t="s">
        <v>43</v>
      </c>
      <c r="D383" s="75">
        <v>2008</v>
      </c>
      <c r="E383" s="75" t="s">
        <v>70</v>
      </c>
      <c r="F383" s="75" t="s">
        <v>101</v>
      </c>
    </row>
    <row r="384" spans="1:6" x14ac:dyDescent="0.3">
      <c r="A384" s="75" t="s">
        <v>1166</v>
      </c>
      <c r="B384" s="75" t="s">
        <v>1167</v>
      </c>
      <c r="C384" s="75" t="s">
        <v>1168</v>
      </c>
      <c r="D384" s="75" t="s">
        <v>13</v>
      </c>
      <c r="E384" s="75" t="s">
        <v>70</v>
      </c>
      <c r="F384" s="75" t="s">
        <v>71</v>
      </c>
    </row>
    <row r="385" spans="1:6" x14ac:dyDescent="0.3">
      <c r="A385" s="75" t="s">
        <v>1169</v>
      </c>
      <c r="B385" s="75" t="s">
        <v>1170</v>
      </c>
      <c r="C385" s="75" t="s">
        <v>13</v>
      </c>
      <c r="D385" s="75">
        <v>2017</v>
      </c>
      <c r="E385" s="75" t="s">
        <v>8</v>
      </c>
      <c r="F385" s="75" t="s">
        <v>76</v>
      </c>
    </row>
    <row r="386" spans="1:6" x14ac:dyDescent="0.3">
      <c r="A386" s="75" t="s">
        <v>1171</v>
      </c>
      <c r="B386" s="75" t="s">
        <v>1170</v>
      </c>
      <c r="C386" s="75" t="s">
        <v>13</v>
      </c>
      <c r="D386" s="75">
        <v>2017</v>
      </c>
      <c r="E386" s="75" t="s">
        <v>8</v>
      </c>
      <c r="F386" s="75" t="s">
        <v>76</v>
      </c>
    </row>
    <row r="387" spans="1:6" x14ac:dyDescent="0.3">
      <c r="A387" s="75" t="s">
        <v>1172</v>
      </c>
      <c r="B387" s="75" t="s">
        <v>1170</v>
      </c>
      <c r="C387" s="75" t="s">
        <v>13</v>
      </c>
      <c r="D387" s="75">
        <v>2017</v>
      </c>
      <c r="E387" s="75" t="s">
        <v>8</v>
      </c>
      <c r="F387" s="75" t="s">
        <v>76</v>
      </c>
    </row>
    <row r="388" spans="1:6" x14ac:dyDescent="0.3">
      <c r="A388" s="75" t="s">
        <v>1173</v>
      </c>
      <c r="B388" s="75" t="s">
        <v>1170</v>
      </c>
      <c r="C388" s="75" t="s">
        <v>13</v>
      </c>
      <c r="D388" s="75">
        <v>2017</v>
      </c>
      <c r="E388" s="75" t="s">
        <v>8</v>
      </c>
      <c r="F388" s="75" t="s">
        <v>76</v>
      </c>
    </row>
    <row r="389" spans="1:6" x14ac:dyDescent="0.3">
      <c r="A389" s="75" t="s">
        <v>1174</v>
      </c>
      <c r="B389" s="75" t="s">
        <v>1175</v>
      </c>
      <c r="C389" s="75" t="s">
        <v>1176</v>
      </c>
      <c r="D389" s="75" t="s">
        <v>13</v>
      </c>
      <c r="E389" s="75" t="s">
        <v>18</v>
      </c>
      <c r="F389" s="75" t="s">
        <v>729</v>
      </c>
    </row>
    <row r="390" spans="1:6" x14ac:dyDescent="0.3">
      <c r="A390" s="75" t="s">
        <v>1177</v>
      </c>
      <c r="B390" s="75" t="s">
        <v>1178</v>
      </c>
      <c r="C390" s="75" t="s">
        <v>1179</v>
      </c>
      <c r="D390" s="75" t="s">
        <v>13</v>
      </c>
      <c r="E390" s="75" t="s">
        <v>31</v>
      </c>
      <c r="F390" s="75" t="s">
        <v>395</v>
      </c>
    </row>
    <row r="391" spans="1:6" x14ac:dyDescent="0.3">
      <c r="A391" s="75" t="s">
        <v>1180</v>
      </c>
      <c r="B391" s="75" t="s">
        <v>1181</v>
      </c>
      <c r="C391" s="75" t="s">
        <v>1182</v>
      </c>
      <c r="D391" s="75" t="s">
        <v>13</v>
      </c>
      <c r="E391" s="75" t="s">
        <v>348</v>
      </c>
      <c r="F391" s="75" t="s">
        <v>1183</v>
      </c>
    </row>
    <row r="392" spans="1:6" x14ac:dyDescent="0.3">
      <c r="A392" s="75" t="s">
        <v>1184</v>
      </c>
      <c r="B392" s="75" t="s">
        <v>1185</v>
      </c>
      <c r="C392" s="75" t="s">
        <v>1186</v>
      </c>
      <c r="D392" s="75">
        <v>2004</v>
      </c>
      <c r="E392" s="75" t="s">
        <v>31</v>
      </c>
      <c r="F392" s="75" t="s">
        <v>36</v>
      </c>
    </row>
    <row r="393" spans="1:6" x14ac:dyDescent="0.3">
      <c r="A393" s="75" t="s">
        <v>1187</v>
      </c>
      <c r="B393" s="75" t="s">
        <v>1188</v>
      </c>
      <c r="C393" s="75" t="s">
        <v>1189</v>
      </c>
      <c r="D393" s="75" t="s">
        <v>13</v>
      </c>
      <c r="E393" s="75" t="s">
        <v>44</v>
      </c>
      <c r="F393" s="75" t="s">
        <v>49</v>
      </c>
    </row>
    <row r="394" spans="1:6" x14ac:dyDescent="0.3">
      <c r="A394" s="75" t="s">
        <v>1190</v>
      </c>
      <c r="B394" s="75" t="s">
        <v>1191</v>
      </c>
      <c r="C394" s="75" t="s">
        <v>35</v>
      </c>
      <c r="D394" s="75">
        <v>2013</v>
      </c>
      <c r="E394" s="75" t="s">
        <v>8</v>
      </c>
      <c r="F394" s="75" t="s">
        <v>478</v>
      </c>
    </row>
    <row r="395" spans="1:6" x14ac:dyDescent="0.3">
      <c r="A395" s="75" t="s">
        <v>1192</v>
      </c>
      <c r="B395" s="75" t="s">
        <v>1193</v>
      </c>
      <c r="C395" s="75" t="s">
        <v>522</v>
      </c>
      <c r="D395" s="75">
        <v>2016</v>
      </c>
      <c r="E395" s="75" t="s">
        <v>31</v>
      </c>
      <c r="F395" s="75" t="s">
        <v>36</v>
      </c>
    </row>
    <row r="396" spans="1:6" x14ac:dyDescent="0.3">
      <c r="A396" s="75" t="s">
        <v>1194</v>
      </c>
      <c r="B396" s="75" t="s">
        <v>1195</v>
      </c>
      <c r="C396" s="75" t="s">
        <v>1196</v>
      </c>
      <c r="D396" s="75">
        <v>2007</v>
      </c>
      <c r="E396" s="75" t="s">
        <v>13</v>
      </c>
      <c r="F396" s="75" t="s">
        <v>13</v>
      </c>
    </row>
    <row r="397" spans="1:6" x14ac:dyDescent="0.3">
      <c r="A397" s="75" t="s">
        <v>1197</v>
      </c>
      <c r="B397" s="75" t="s">
        <v>1198</v>
      </c>
      <c r="C397" s="75" t="s">
        <v>1199</v>
      </c>
      <c r="D397" s="75" t="s">
        <v>13</v>
      </c>
      <c r="E397" s="75" t="s">
        <v>13</v>
      </c>
      <c r="F397" s="75" t="s">
        <v>13</v>
      </c>
    </row>
    <row r="398" spans="1:6" x14ac:dyDescent="0.3">
      <c r="A398" s="75" t="s">
        <v>1200</v>
      </c>
      <c r="B398" s="75" t="s">
        <v>1201</v>
      </c>
      <c r="C398" s="75" t="s">
        <v>1202</v>
      </c>
      <c r="D398" s="75" t="s">
        <v>13</v>
      </c>
      <c r="E398" s="75" t="s">
        <v>13</v>
      </c>
      <c r="F398" s="75" t="s">
        <v>13</v>
      </c>
    </row>
    <row r="399" spans="1:6" x14ac:dyDescent="0.3">
      <c r="A399" s="75" t="s">
        <v>1203</v>
      </c>
      <c r="B399" s="75" t="s">
        <v>1204</v>
      </c>
      <c r="C399" s="75" t="s">
        <v>1205</v>
      </c>
      <c r="D399" s="75" t="s">
        <v>13</v>
      </c>
      <c r="E399" s="75" t="s">
        <v>13</v>
      </c>
      <c r="F399" s="75" t="s">
        <v>13</v>
      </c>
    </row>
    <row r="400" spans="1:6" x14ac:dyDescent="0.3">
      <c r="A400" s="75" t="s">
        <v>1206</v>
      </c>
      <c r="B400" s="75" t="s">
        <v>1207</v>
      </c>
      <c r="C400" s="75" t="s">
        <v>1208</v>
      </c>
      <c r="D400" s="75" t="s">
        <v>13</v>
      </c>
      <c r="E400" s="75" t="s">
        <v>13</v>
      </c>
      <c r="F400" s="75" t="s">
        <v>13</v>
      </c>
    </row>
    <row r="401" spans="1:6" x14ac:dyDescent="0.3">
      <c r="A401" s="75" t="s">
        <v>1209</v>
      </c>
      <c r="B401" s="75" t="s">
        <v>1210</v>
      </c>
      <c r="C401" s="75" t="s">
        <v>844</v>
      </c>
      <c r="D401" s="75">
        <v>2012</v>
      </c>
      <c r="E401" s="75" t="s">
        <v>18</v>
      </c>
      <c r="F401" s="75" t="s">
        <v>729</v>
      </c>
    </row>
    <row r="402" spans="1:6" x14ac:dyDescent="0.3">
      <c r="A402" s="75" t="s">
        <v>1211</v>
      </c>
      <c r="B402" s="75" t="s">
        <v>1212</v>
      </c>
      <c r="C402" s="75" t="s">
        <v>279</v>
      </c>
      <c r="D402" s="75" t="s">
        <v>13</v>
      </c>
      <c r="E402" s="75" t="s">
        <v>31</v>
      </c>
      <c r="F402" s="75" t="s">
        <v>161</v>
      </c>
    </row>
    <row r="403" spans="1:6" x14ac:dyDescent="0.3">
      <c r="A403" s="75" t="s">
        <v>1213</v>
      </c>
      <c r="B403" s="75" t="s">
        <v>1214</v>
      </c>
      <c r="C403" s="75" t="s">
        <v>1215</v>
      </c>
      <c r="D403" s="75">
        <v>2014</v>
      </c>
      <c r="E403" s="75" t="s">
        <v>53</v>
      </c>
      <c r="F403" s="75" t="s">
        <v>790</v>
      </c>
    </row>
    <row r="404" spans="1:6" x14ac:dyDescent="0.3">
      <c r="A404" s="75" t="s">
        <v>1216</v>
      </c>
      <c r="B404" s="75" t="s">
        <v>1217</v>
      </c>
      <c r="C404" s="75" t="s">
        <v>1218</v>
      </c>
      <c r="D404" s="75">
        <v>2015</v>
      </c>
      <c r="E404" s="75" t="s">
        <v>348</v>
      </c>
      <c r="F404" s="75" t="s">
        <v>1219</v>
      </c>
    </row>
    <row r="405" spans="1:6" x14ac:dyDescent="0.3">
      <c r="A405" s="75" t="s">
        <v>1220</v>
      </c>
      <c r="B405" s="75" t="s">
        <v>1221</v>
      </c>
      <c r="C405" s="75" t="s">
        <v>1222</v>
      </c>
      <c r="D405" s="75">
        <v>2014</v>
      </c>
      <c r="E405" s="75" t="s">
        <v>8</v>
      </c>
      <c r="F405" s="75" t="s">
        <v>27</v>
      </c>
    </row>
    <row r="406" spans="1:6" x14ac:dyDescent="0.3">
      <c r="A406" s="75" t="s">
        <v>1223</v>
      </c>
      <c r="B406" s="75" t="s">
        <v>1224</v>
      </c>
      <c r="C406" s="75" t="s">
        <v>1225</v>
      </c>
      <c r="D406" s="75">
        <v>2013</v>
      </c>
      <c r="E406" s="75" t="s">
        <v>70</v>
      </c>
      <c r="F406" s="75" t="s">
        <v>118</v>
      </c>
    </row>
    <row r="407" spans="1:6" x14ac:dyDescent="0.3">
      <c r="A407" s="75" t="s">
        <v>1226</v>
      </c>
      <c r="B407" s="75" t="s">
        <v>1227</v>
      </c>
      <c r="C407" s="75" t="s">
        <v>1228</v>
      </c>
      <c r="D407" s="75">
        <v>2011</v>
      </c>
      <c r="E407" s="75" t="s">
        <v>84</v>
      </c>
      <c r="F407" s="75" t="s">
        <v>702</v>
      </c>
    </row>
    <row r="408" spans="1:6" x14ac:dyDescent="0.3">
      <c r="A408" s="75" t="s">
        <v>1229</v>
      </c>
      <c r="B408" s="75" t="s">
        <v>1227</v>
      </c>
      <c r="C408" s="75" t="s">
        <v>1230</v>
      </c>
      <c r="D408" s="75" t="s">
        <v>13</v>
      </c>
      <c r="E408" s="75" t="s">
        <v>84</v>
      </c>
      <c r="F408" s="75" t="s">
        <v>702</v>
      </c>
    </row>
    <row r="409" spans="1:6" x14ac:dyDescent="0.3">
      <c r="A409" s="75" t="s">
        <v>1231</v>
      </c>
      <c r="B409" s="75" t="s">
        <v>1232</v>
      </c>
      <c r="C409" s="75" t="s">
        <v>1233</v>
      </c>
      <c r="D409" s="75">
        <v>2015</v>
      </c>
      <c r="E409" s="75" t="s">
        <v>70</v>
      </c>
      <c r="F409" s="75" t="s">
        <v>71</v>
      </c>
    </row>
    <row r="410" spans="1:6" x14ac:dyDescent="0.3">
      <c r="A410" s="75" t="s">
        <v>1234</v>
      </c>
      <c r="B410" s="75" t="s">
        <v>1235</v>
      </c>
      <c r="C410" s="75" t="s">
        <v>13</v>
      </c>
      <c r="D410" s="75" t="s">
        <v>13</v>
      </c>
      <c r="E410" s="75" t="s">
        <v>13</v>
      </c>
      <c r="F410" s="75" t="s">
        <v>13</v>
      </c>
    </row>
    <row r="411" spans="1:6" x14ac:dyDescent="0.3">
      <c r="A411" s="75" t="s">
        <v>1236</v>
      </c>
      <c r="B411" s="75" t="s">
        <v>1237</v>
      </c>
      <c r="C411" s="75" t="s">
        <v>1238</v>
      </c>
      <c r="D411" s="75">
        <v>2013</v>
      </c>
      <c r="E411" s="75" t="s">
        <v>18</v>
      </c>
      <c r="F411" s="75" t="s">
        <v>1048</v>
      </c>
    </row>
    <row r="412" spans="1:6" x14ac:dyDescent="0.3">
      <c r="A412" s="75" t="s">
        <v>1239</v>
      </c>
      <c r="B412" s="75" t="s">
        <v>1240</v>
      </c>
      <c r="C412" s="75" t="s">
        <v>944</v>
      </c>
      <c r="D412" s="75" t="s">
        <v>13</v>
      </c>
      <c r="E412" s="75" t="s">
        <v>18</v>
      </c>
      <c r="F412" s="75" t="s">
        <v>729</v>
      </c>
    </row>
    <row r="413" spans="1:6" x14ac:dyDescent="0.3">
      <c r="A413" s="75" t="s">
        <v>1241</v>
      </c>
      <c r="B413" s="75" t="s">
        <v>1242</v>
      </c>
      <c r="C413" s="75" t="s">
        <v>1243</v>
      </c>
      <c r="D413" s="75">
        <v>2005</v>
      </c>
      <c r="E413" s="75" t="s">
        <v>8</v>
      </c>
      <c r="F413" s="75" t="s">
        <v>23</v>
      </c>
    </row>
    <row r="414" spans="1:6" x14ac:dyDescent="0.3">
      <c r="A414" s="75" t="s">
        <v>1244</v>
      </c>
      <c r="B414" s="75" t="s">
        <v>1242</v>
      </c>
      <c r="C414" s="75" t="s">
        <v>13</v>
      </c>
      <c r="D414" s="75" t="s">
        <v>13</v>
      </c>
      <c r="E414" s="75" t="s">
        <v>8</v>
      </c>
      <c r="F414" s="75" t="s">
        <v>23</v>
      </c>
    </row>
    <row r="415" spans="1:6" x14ac:dyDescent="0.3">
      <c r="A415" s="75" t="s">
        <v>1245</v>
      </c>
      <c r="B415" s="75" t="s">
        <v>1246</v>
      </c>
      <c r="C415" s="75" t="s">
        <v>1247</v>
      </c>
      <c r="D415" s="75">
        <v>2011</v>
      </c>
      <c r="E415" s="75" t="s">
        <v>18</v>
      </c>
      <c r="F415" s="75" t="s">
        <v>49</v>
      </c>
    </row>
    <row r="416" spans="1:6" x14ac:dyDescent="0.3">
      <c r="A416" s="75" t="s">
        <v>1248</v>
      </c>
      <c r="B416" s="75" t="s">
        <v>1249</v>
      </c>
      <c r="C416" s="75" t="s">
        <v>1250</v>
      </c>
      <c r="D416" s="75">
        <v>2015</v>
      </c>
      <c r="E416" s="75" t="s">
        <v>18</v>
      </c>
      <c r="F416" s="75" t="s">
        <v>729</v>
      </c>
    </row>
    <row r="417" spans="1:6" x14ac:dyDescent="0.3">
      <c r="A417" s="75" t="s">
        <v>1251</v>
      </c>
      <c r="B417" s="75" t="s">
        <v>1252</v>
      </c>
      <c r="C417" s="75" t="s">
        <v>1253</v>
      </c>
      <c r="D417" s="75" t="s">
        <v>13</v>
      </c>
      <c r="E417" s="75" t="s">
        <v>8</v>
      </c>
      <c r="F417" s="75" t="s">
        <v>27</v>
      </c>
    </row>
    <row r="418" spans="1:6" x14ac:dyDescent="0.3">
      <c r="A418" s="75" t="s">
        <v>1254</v>
      </c>
      <c r="B418" s="75" t="s">
        <v>1252</v>
      </c>
      <c r="C418" s="75" t="s">
        <v>13</v>
      </c>
      <c r="D418" s="75" t="s">
        <v>13</v>
      </c>
      <c r="E418" s="75" t="s">
        <v>8</v>
      </c>
      <c r="F418" s="75" t="s">
        <v>27</v>
      </c>
    </row>
    <row r="419" spans="1:6" x14ac:dyDescent="0.3">
      <c r="A419" s="75" t="s">
        <v>1255</v>
      </c>
      <c r="B419" s="75" t="s">
        <v>1256</v>
      </c>
      <c r="C419" s="75" t="s">
        <v>1257</v>
      </c>
      <c r="D419" s="75" t="s">
        <v>13</v>
      </c>
      <c r="E419" s="75" t="s">
        <v>53</v>
      </c>
      <c r="F419" s="75" t="s">
        <v>63</v>
      </c>
    </row>
    <row r="420" spans="1:6" x14ac:dyDescent="0.3">
      <c r="A420" s="75" t="s">
        <v>1258</v>
      </c>
      <c r="B420" s="75" t="s">
        <v>1259</v>
      </c>
      <c r="C420" s="75" t="s">
        <v>1260</v>
      </c>
      <c r="D420" s="75" t="s">
        <v>13</v>
      </c>
      <c r="E420" s="75" t="s">
        <v>8</v>
      </c>
      <c r="F420" s="75" t="s">
        <v>1261</v>
      </c>
    </row>
    <row r="421" spans="1:6" x14ac:dyDescent="0.3">
      <c r="A421" s="75" t="s">
        <v>1262</v>
      </c>
      <c r="B421" s="75" t="s">
        <v>1263</v>
      </c>
      <c r="C421" s="75" t="s">
        <v>620</v>
      </c>
      <c r="D421" s="75" t="s">
        <v>13</v>
      </c>
      <c r="E421" s="75" t="s">
        <v>8</v>
      </c>
      <c r="F421" s="75" t="s">
        <v>27</v>
      </c>
    </row>
    <row r="422" spans="1:6" x14ac:dyDescent="0.3">
      <c r="A422" s="75" t="s">
        <v>1264</v>
      </c>
      <c r="B422" s="75" t="s">
        <v>1263</v>
      </c>
      <c r="C422" s="75" t="s">
        <v>13</v>
      </c>
      <c r="D422" s="75" t="s">
        <v>13</v>
      </c>
      <c r="E422" s="75" t="s">
        <v>8</v>
      </c>
      <c r="F422" s="75" t="s">
        <v>27</v>
      </c>
    </row>
    <row r="423" spans="1:6" x14ac:dyDescent="0.3">
      <c r="A423" s="75" t="s">
        <v>1265</v>
      </c>
      <c r="B423" s="75" t="s">
        <v>1263</v>
      </c>
      <c r="C423" s="75" t="s">
        <v>13</v>
      </c>
      <c r="D423" s="75" t="s">
        <v>13</v>
      </c>
      <c r="E423" s="75" t="s">
        <v>8</v>
      </c>
      <c r="F423" s="75" t="s">
        <v>27</v>
      </c>
    </row>
    <row r="424" spans="1:6" x14ac:dyDescent="0.3">
      <c r="A424" s="75" t="s">
        <v>1266</v>
      </c>
      <c r="B424" s="75" t="s">
        <v>1267</v>
      </c>
      <c r="C424" s="75" t="s">
        <v>1079</v>
      </c>
      <c r="D424" s="75">
        <v>1999</v>
      </c>
      <c r="E424" s="75" t="s">
        <v>31</v>
      </c>
      <c r="F424" s="75" t="s">
        <v>36</v>
      </c>
    </row>
    <row r="425" spans="1:6" x14ac:dyDescent="0.3">
      <c r="A425" s="75" t="s">
        <v>1268</v>
      </c>
      <c r="B425" s="75" t="s">
        <v>1269</v>
      </c>
      <c r="C425" s="75" t="s">
        <v>1270</v>
      </c>
      <c r="D425" s="75">
        <v>2015</v>
      </c>
      <c r="E425" s="75" t="s">
        <v>8</v>
      </c>
      <c r="F425" s="75" t="s">
        <v>76</v>
      </c>
    </row>
    <row r="426" spans="1:6" x14ac:dyDescent="0.3">
      <c r="A426" s="75" t="s">
        <v>1271</v>
      </c>
      <c r="B426" s="75" t="s">
        <v>1269</v>
      </c>
      <c r="C426" s="75" t="s">
        <v>13</v>
      </c>
      <c r="D426" s="75">
        <v>2015</v>
      </c>
      <c r="E426" s="75" t="s">
        <v>8</v>
      </c>
      <c r="F426" s="75" t="s">
        <v>76</v>
      </c>
    </row>
    <row r="427" spans="1:6" x14ac:dyDescent="0.3">
      <c r="A427" s="75" t="s">
        <v>1272</v>
      </c>
      <c r="B427" s="75" t="s">
        <v>1269</v>
      </c>
      <c r="C427" s="75" t="s">
        <v>13</v>
      </c>
      <c r="D427" s="75">
        <v>2015</v>
      </c>
      <c r="E427" s="75" t="s">
        <v>8</v>
      </c>
      <c r="F427" s="75" t="s">
        <v>76</v>
      </c>
    </row>
    <row r="428" spans="1:6" x14ac:dyDescent="0.3">
      <c r="A428" s="75" t="s">
        <v>1273</v>
      </c>
      <c r="B428" s="75" t="s">
        <v>1274</v>
      </c>
      <c r="C428" s="75" t="s">
        <v>1275</v>
      </c>
      <c r="D428" s="75" t="s">
        <v>13</v>
      </c>
      <c r="E428" s="75" t="s">
        <v>70</v>
      </c>
      <c r="F428" s="75" t="s">
        <v>118</v>
      </c>
    </row>
    <row r="429" spans="1:6" x14ac:dyDescent="0.3">
      <c r="A429" s="75" t="s">
        <v>1276</v>
      </c>
      <c r="B429" s="75" t="s">
        <v>1277</v>
      </c>
      <c r="C429" s="75" t="s">
        <v>1278</v>
      </c>
      <c r="D429" s="75">
        <v>2010</v>
      </c>
      <c r="E429" s="75" t="s">
        <v>18</v>
      </c>
      <c r="F429" s="75" t="s">
        <v>729</v>
      </c>
    </row>
    <row r="430" spans="1:6" x14ac:dyDescent="0.3">
      <c r="A430" s="75" t="s">
        <v>1279</v>
      </c>
      <c r="B430" s="75" t="s">
        <v>1280</v>
      </c>
      <c r="C430" s="75" t="s">
        <v>1281</v>
      </c>
      <c r="D430" s="75" t="s">
        <v>13</v>
      </c>
      <c r="E430" s="75" t="s">
        <v>8</v>
      </c>
      <c r="F430" s="75" t="s">
        <v>27</v>
      </c>
    </row>
    <row r="431" spans="1:6" x14ac:dyDescent="0.3">
      <c r="A431" s="75" t="s">
        <v>1282</v>
      </c>
      <c r="B431" s="75" t="s">
        <v>1283</v>
      </c>
      <c r="C431" s="75" t="s">
        <v>1284</v>
      </c>
      <c r="D431" s="75" t="s">
        <v>13</v>
      </c>
      <c r="E431" s="75" t="s">
        <v>31</v>
      </c>
      <c r="F431" s="75" t="s">
        <v>36</v>
      </c>
    </row>
    <row r="432" spans="1:6" x14ac:dyDescent="0.3">
      <c r="A432" s="75" t="s">
        <v>1285</v>
      </c>
      <c r="B432" s="75" t="s">
        <v>1286</v>
      </c>
      <c r="C432" s="75" t="s">
        <v>1287</v>
      </c>
      <c r="D432" s="75" t="s">
        <v>13</v>
      </c>
      <c r="E432" s="75" t="s">
        <v>348</v>
      </c>
      <c r="F432" s="75" t="s">
        <v>1288</v>
      </c>
    </row>
    <row r="433" spans="1:6" x14ac:dyDescent="0.3">
      <c r="A433" s="75" t="s">
        <v>1289</v>
      </c>
      <c r="B433" s="75" t="s">
        <v>1290</v>
      </c>
      <c r="C433" s="75" t="s">
        <v>1291</v>
      </c>
      <c r="D433" s="75">
        <v>2012</v>
      </c>
      <c r="E433" s="75" t="s">
        <v>31</v>
      </c>
      <c r="F433" s="75" t="s">
        <v>161</v>
      </c>
    </row>
    <row r="434" spans="1:6" x14ac:dyDescent="0.3">
      <c r="A434" s="75" t="s">
        <v>1292</v>
      </c>
      <c r="B434" s="75" t="s">
        <v>1293</v>
      </c>
      <c r="C434" s="75" t="s">
        <v>711</v>
      </c>
      <c r="D434" s="75" t="s">
        <v>13</v>
      </c>
      <c r="E434" s="75" t="s">
        <v>8</v>
      </c>
      <c r="F434" s="75" t="s">
        <v>497</v>
      </c>
    </row>
    <row r="435" spans="1:6" x14ac:dyDescent="0.3">
      <c r="A435" s="75" t="s">
        <v>1294</v>
      </c>
      <c r="B435" s="75" t="s">
        <v>1295</v>
      </c>
      <c r="C435" s="75" t="s">
        <v>1296</v>
      </c>
      <c r="D435" s="75">
        <v>2009</v>
      </c>
      <c r="E435" s="75" t="s">
        <v>31</v>
      </c>
      <c r="F435" s="75" t="s">
        <v>92</v>
      </c>
    </row>
    <row r="436" spans="1:6" x14ac:dyDescent="0.3">
      <c r="A436" s="75" t="s">
        <v>1297</v>
      </c>
      <c r="B436" s="75" t="s">
        <v>1298</v>
      </c>
      <c r="C436" s="75" t="s">
        <v>643</v>
      </c>
      <c r="D436" s="75">
        <v>2010</v>
      </c>
      <c r="E436" s="75" t="s">
        <v>31</v>
      </c>
      <c r="F436" s="75" t="s">
        <v>36</v>
      </c>
    </row>
    <row r="437" spans="1:6" x14ac:dyDescent="0.3">
      <c r="A437" s="75" t="s">
        <v>1299</v>
      </c>
      <c r="B437" s="75" t="s">
        <v>1300</v>
      </c>
      <c r="C437" s="75" t="s">
        <v>1301</v>
      </c>
      <c r="D437" s="75">
        <v>1996</v>
      </c>
      <c r="E437" s="75" t="s">
        <v>31</v>
      </c>
      <c r="F437" s="75" t="s">
        <v>36</v>
      </c>
    </row>
    <row r="438" spans="1:6" x14ac:dyDescent="0.3">
      <c r="A438" s="75" t="s">
        <v>1302</v>
      </c>
      <c r="B438" s="75" t="s">
        <v>1303</v>
      </c>
      <c r="C438" s="75" t="s">
        <v>1304</v>
      </c>
      <c r="D438" s="75" t="s">
        <v>13</v>
      </c>
      <c r="E438" s="75" t="s">
        <v>8</v>
      </c>
      <c r="F438" s="75" t="s">
        <v>23</v>
      </c>
    </row>
    <row r="439" spans="1:6" x14ac:dyDescent="0.3">
      <c r="A439" s="75" t="s">
        <v>1305</v>
      </c>
      <c r="B439" s="75" t="s">
        <v>1306</v>
      </c>
      <c r="C439" s="75" t="s">
        <v>1307</v>
      </c>
      <c r="D439" s="75" t="s">
        <v>13</v>
      </c>
      <c r="E439" s="75" t="s">
        <v>53</v>
      </c>
      <c r="F439" s="75" t="s">
        <v>519</v>
      </c>
    </row>
    <row r="440" spans="1:6" x14ac:dyDescent="0.3">
      <c r="A440" s="75" t="s">
        <v>1308</v>
      </c>
      <c r="B440" s="75" t="s">
        <v>1309</v>
      </c>
      <c r="C440" s="75" t="s">
        <v>1310</v>
      </c>
      <c r="D440" s="75">
        <v>1999</v>
      </c>
      <c r="E440" s="75" t="s">
        <v>31</v>
      </c>
      <c r="F440" s="75" t="s">
        <v>395</v>
      </c>
    </row>
    <row r="441" spans="1:6" x14ac:dyDescent="0.3">
      <c r="A441" s="75" t="s">
        <v>1311</v>
      </c>
      <c r="B441" s="75" t="s">
        <v>1312</v>
      </c>
      <c r="C441" s="75" t="s">
        <v>1313</v>
      </c>
      <c r="D441" s="75" t="s">
        <v>13</v>
      </c>
      <c r="E441" s="75" t="s">
        <v>8</v>
      </c>
      <c r="F441" s="75" t="s">
        <v>23</v>
      </c>
    </row>
    <row r="442" spans="1:6" x14ac:dyDescent="0.3">
      <c r="A442" s="75" t="s">
        <v>1314</v>
      </c>
      <c r="B442" s="75" t="s">
        <v>1315</v>
      </c>
      <c r="C442" s="75" t="s">
        <v>1316</v>
      </c>
      <c r="D442" s="75">
        <v>1995</v>
      </c>
      <c r="E442" s="75" t="s">
        <v>31</v>
      </c>
      <c r="F442" s="75" t="s">
        <v>63</v>
      </c>
    </row>
    <row r="443" spans="1:6" x14ac:dyDescent="0.3">
      <c r="A443" s="75" t="s">
        <v>1317</v>
      </c>
      <c r="B443" s="75" t="s">
        <v>1318</v>
      </c>
      <c r="C443" s="75" t="s">
        <v>1319</v>
      </c>
      <c r="D443" s="75" t="s">
        <v>13</v>
      </c>
      <c r="E443" s="75" t="s">
        <v>53</v>
      </c>
      <c r="F443" s="75" t="s">
        <v>111</v>
      </c>
    </row>
    <row r="444" spans="1:6" x14ac:dyDescent="0.3">
      <c r="A444" s="75" t="s">
        <v>1320</v>
      </c>
      <c r="B444" s="75" t="s">
        <v>1321</v>
      </c>
      <c r="C444" s="75" t="s">
        <v>1322</v>
      </c>
      <c r="D444" s="75" t="s">
        <v>13</v>
      </c>
      <c r="E444" s="75" t="s">
        <v>8</v>
      </c>
      <c r="F444" s="75" t="s">
        <v>27</v>
      </c>
    </row>
    <row r="445" spans="1:6" x14ac:dyDescent="0.3">
      <c r="A445" s="75" t="s">
        <v>1323</v>
      </c>
      <c r="B445" s="75" t="s">
        <v>1324</v>
      </c>
      <c r="C445" s="75" t="s">
        <v>1325</v>
      </c>
      <c r="D445" s="75">
        <v>2011</v>
      </c>
      <c r="E445" s="75" t="s">
        <v>8</v>
      </c>
      <c r="F445" s="75" t="s">
        <v>27</v>
      </c>
    </row>
    <row r="446" spans="1:6" x14ac:dyDescent="0.3">
      <c r="A446" s="75" t="s">
        <v>1326</v>
      </c>
      <c r="B446" s="75" t="s">
        <v>1327</v>
      </c>
      <c r="C446" s="75" t="s">
        <v>1328</v>
      </c>
      <c r="D446" s="75">
        <v>1999</v>
      </c>
      <c r="E446" s="75" t="s">
        <v>96</v>
      </c>
      <c r="F446" s="75" t="s">
        <v>76</v>
      </c>
    </row>
    <row r="447" spans="1:6" x14ac:dyDescent="0.3">
      <c r="A447" s="75" t="s">
        <v>1329</v>
      </c>
      <c r="B447" s="75" t="s">
        <v>1330</v>
      </c>
      <c r="C447" s="75" t="s">
        <v>1243</v>
      </c>
      <c r="D447" s="75">
        <v>2003</v>
      </c>
      <c r="E447" s="75" t="s">
        <v>18</v>
      </c>
      <c r="F447" s="75" t="s">
        <v>729</v>
      </c>
    </row>
    <row r="448" spans="1:6" x14ac:dyDescent="0.3">
      <c r="A448" s="75" t="s">
        <v>1331</v>
      </c>
      <c r="B448" s="75" t="s">
        <v>1332</v>
      </c>
      <c r="C448" s="75" t="s">
        <v>1333</v>
      </c>
      <c r="D448" s="75">
        <v>2005</v>
      </c>
      <c r="E448" s="75" t="s">
        <v>18</v>
      </c>
      <c r="F448" s="75" t="s">
        <v>1048</v>
      </c>
    </row>
    <row r="449" spans="1:6" x14ac:dyDescent="0.3">
      <c r="A449" s="75" t="s">
        <v>1334</v>
      </c>
      <c r="B449" s="75" t="s">
        <v>1335</v>
      </c>
      <c r="C449" s="75" t="s">
        <v>13</v>
      </c>
      <c r="D449" s="75" t="s">
        <v>13</v>
      </c>
      <c r="E449" s="75" t="s">
        <v>13</v>
      </c>
      <c r="F449" s="75" t="s">
        <v>13</v>
      </c>
    </row>
    <row r="450" spans="1:6" x14ac:dyDescent="0.3">
      <c r="A450" s="75" t="s">
        <v>1336</v>
      </c>
      <c r="B450" s="75" t="s">
        <v>1337</v>
      </c>
      <c r="C450" s="75" t="s">
        <v>1338</v>
      </c>
      <c r="D450" s="75" t="s">
        <v>13</v>
      </c>
      <c r="E450" s="75" t="s">
        <v>348</v>
      </c>
      <c r="F450" s="75" t="s">
        <v>1219</v>
      </c>
    </row>
    <row r="451" spans="1:6" x14ac:dyDescent="0.3">
      <c r="A451" s="75" t="s">
        <v>1339</v>
      </c>
      <c r="B451" s="75" t="s">
        <v>1340</v>
      </c>
      <c r="C451" s="75" t="s">
        <v>1341</v>
      </c>
      <c r="D451" s="75" t="s">
        <v>13</v>
      </c>
      <c r="E451" s="75" t="s">
        <v>8</v>
      </c>
      <c r="F451" s="75" t="s">
        <v>27</v>
      </c>
    </row>
    <row r="452" spans="1:6" x14ac:dyDescent="0.3">
      <c r="A452" s="75" t="s">
        <v>1342</v>
      </c>
      <c r="B452" s="75" t="s">
        <v>1343</v>
      </c>
      <c r="C452" s="75" t="s">
        <v>1344</v>
      </c>
      <c r="D452" s="75">
        <v>1997</v>
      </c>
      <c r="E452" s="75" t="s">
        <v>283</v>
      </c>
      <c r="F452" s="75" t="s">
        <v>1345</v>
      </c>
    </row>
    <row r="453" spans="1:6" x14ac:dyDescent="0.3">
      <c r="A453" s="75" t="s">
        <v>1346</v>
      </c>
      <c r="B453" s="75" t="s">
        <v>1347</v>
      </c>
      <c r="C453" s="75" t="s">
        <v>1348</v>
      </c>
      <c r="D453" s="75" t="s">
        <v>13</v>
      </c>
      <c r="E453" s="75" t="s">
        <v>31</v>
      </c>
      <c r="F453" s="75" t="s">
        <v>36</v>
      </c>
    </row>
    <row r="454" spans="1:6" x14ac:dyDescent="0.3">
      <c r="A454" s="75" t="s">
        <v>1349</v>
      </c>
      <c r="B454" s="75" t="s">
        <v>1350</v>
      </c>
      <c r="C454" s="75" t="s">
        <v>1351</v>
      </c>
      <c r="D454" s="75">
        <v>2000</v>
      </c>
      <c r="E454" s="75" t="s">
        <v>31</v>
      </c>
      <c r="F454" s="75" t="s">
        <v>92</v>
      </c>
    </row>
    <row r="455" spans="1:6" x14ac:dyDescent="0.3">
      <c r="A455" s="75" t="s">
        <v>1352</v>
      </c>
      <c r="B455" s="75" t="s">
        <v>1353</v>
      </c>
      <c r="C455" s="75" t="s">
        <v>1354</v>
      </c>
      <c r="D455" s="75" t="s">
        <v>13</v>
      </c>
      <c r="E455" s="75" t="s">
        <v>31</v>
      </c>
      <c r="F455" s="75" t="s">
        <v>36</v>
      </c>
    </row>
    <row r="456" spans="1:6" x14ac:dyDescent="0.3">
      <c r="A456" s="75" t="s">
        <v>1355</v>
      </c>
      <c r="B456" s="75" t="s">
        <v>1356</v>
      </c>
      <c r="C456" s="75" t="s">
        <v>1357</v>
      </c>
      <c r="D456" s="75" t="s">
        <v>13</v>
      </c>
      <c r="E456" s="75" t="s">
        <v>44</v>
      </c>
      <c r="F456" s="75" t="s">
        <v>222</v>
      </c>
    </row>
    <row r="457" spans="1:6" x14ac:dyDescent="0.3">
      <c r="A457" s="75" t="s">
        <v>1358</v>
      </c>
      <c r="B457" s="75" t="s">
        <v>1359</v>
      </c>
      <c r="C457" s="75" t="s">
        <v>1360</v>
      </c>
      <c r="D457" s="75" t="s">
        <v>13</v>
      </c>
      <c r="E457" s="75" t="s">
        <v>18</v>
      </c>
      <c r="F457" s="75" t="s">
        <v>1361</v>
      </c>
    </row>
    <row r="458" spans="1:6" x14ac:dyDescent="0.3">
      <c r="A458" s="75" t="s">
        <v>1362</v>
      </c>
      <c r="B458" s="75" t="s">
        <v>1363</v>
      </c>
      <c r="C458" s="75" t="s">
        <v>1364</v>
      </c>
      <c r="D458" s="75">
        <v>2012</v>
      </c>
      <c r="E458" s="75" t="s">
        <v>18</v>
      </c>
      <c r="F458" s="75" t="s">
        <v>1361</v>
      </c>
    </row>
    <row r="459" spans="1:6" x14ac:dyDescent="0.3">
      <c r="A459" s="75" t="s">
        <v>1365</v>
      </c>
      <c r="B459" s="75" t="s">
        <v>1366</v>
      </c>
      <c r="C459" s="75" t="s">
        <v>1367</v>
      </c>
      <c r="D459" s="75">
        <v>2012</v>
      </c>
      <c r="E459" s="75" t="s">
        <v>53</v>
      </c>
      <c r="F459" s="75" t="s">
        <v>1368</v>
      </c>
    </row>
    <row r="460" spans="1:6" x14ac:dyDescent="0.3">
      <c r="A460" s="75" t="s">
        <v>1369</v>
      </c>
      <c r="B460" s="75" t="s">
        <v>1370</v>
      </c>
      <c r="C460" s="75" t="s">
        <v>1371</v>
      </c>
      <c r="D460" s="75">
        <v>2012</v>
      </c>
      <c r="E460" s="75" t="s">
        <v>18</v>
      </c>
      <c r="F460" s="75" t="s">
        <v>19</v>
      </c>
    </row>
    <row r="461" spans="1:6" x14ac:dyDescent="0.3">
      <c r="A461" s="75" t="s">
        <v>1372</v>
      </c>
      <c r="B461" s="75" t="s">
        <v>1373</v>
      </c>
      <c r="C461" s="75" t="s">
        <v>1374</v>
      </c>
      <c r="D461" s="75" t="s">
        <v>13</v>
      </c>
      <c r="E461" s="75" t="s">
        <v>70</v>
      </c>
      <c r="F461" s="75" t="s">
        <v>1375</v>
      </c>
    </row>
    <row r="462" spans="1:6" x14ac:dyDescent="0.3">
      <c r="A462" s="75" t="s">
        <v>1376</v>
      </c>
      <c r="B462" s="75" t="s">
        <v>1377</v>
      </c>
      <c r="C462" s="75" t="s">
        <v>1378</v>
      </c>
      <c r="D462" s="75">
        <v>2003</v>
      </c>
      <c r="E462" s="75" t="s">
        <v>13</v>
      </c>
      <c r="F462" s="75" t="s">
        <v>13</v>
      </c>
    </row>
    <row r="463" spans="1:6" x14ac:dyDescent="0.3">
      <c r="A463" s="75" t="s">
        <v>1379</v>
      </c>
      <c r="B463" s="75" t="s">
        <v>1380</v>
      </c>
      <c r="C463" s="75" t="s">
        <v>1381</v>
      </c>
      <c r="D463" s="75">
        <v>2002</v>
      </c>
      <c r="E463" s="75" t="s">
        <v>13</v>
      </c>
      <c r="F463" s="75" t="s">
        <v>13</v>
      </c>
    </row>
    <row r="464" spans="1:6" x14ac:dyDescent="0.3">
      <c r="A464" s="75" t="s">
        <v>1382</v>
      </c>
      <c r="B464" s="75" t="s">
        <v>1383</v>
      </c>
      <c r="C464" s="75" t="s">
        <v>1384</v>
      </c>
      <c r="D464" s="75" t="s">
        <v>13</v>
      </c>
      <c r="E464" s="75" t="s">
        <v>13</v>
      </c>
      <c r="F464" s="75" t="s">
        <v>13</v>
      </c>
    </row>
    <row r="465" spans="1:6" x14ac:dyDescent="0.3">
      <c r="A465" s="75" t="s">
        <v>1385</v>
      </c>
      <c r="B465" s="75" t="s">
        <v>1386</v>
      </c>
      <c r="C465" s="75" t="s">
        <v>1387</v>
      </c>
      <c r="D465" s="75">
        <v>2007</v>
      </c>
      <c r="E465" s="75" t="s">
        <v>13</v>
      </c>
      <c r="F465" s="75" t="s">
        <v>13</v>
      </c>
    </row>
    <row r="466" spans="1:6" x14ac:dyDescent="0.3">
      <c r="A466" s="75" t="s">
        <v>1388</v>
      </c>
      <c r="B466" s="75" t="s">
        <v>1389</v>
      </c>
      <c r="C466" s="75" t="s">
        <v>1390</v>
      </c>
      <c r="D466" s="75">
        <v>2005</v>
      </c>
      <c r="E466" s="75" t="s">
        <v>13</v>
      </c>
      <c r="F466" s="75" t="s">
        <v>13</v>
      </c>
    </row>
    <row r="467" spans="1:6" x14ac:dyDescent="0.3">
      <c r="A467" s="75" t="s">
        <v>1391</v>
      </c>
      <c r="B467" s="75" t="s">
        <v>1392</v>
      </c>
      <c r="C467" s="75" t="s">
        <v>62</v>
      </c>
      <c r="D467" s="75">
        <v>2004</v>
      </c>
      <c r="E467" s="75" t="s">
        <v>13</v>
      </c>
      <c r="F467" s="75" t="s">
        <v>13</v>
      </c>
    </row>
    <row r="468" spans="1:6" x14ac:dyDescent="0.3">
      <c r="A468" s="75" t="s">
        <v>1393</v>
      </c>
      <c r="B468" s="75" t="s">
        <v>1394</v>
      </c>
      <c r="C468" s="75" t="s">
        <v>1395</v>
      </c>
      <c r="D468" s="75">
        <v>1983</v>
      </c>
      <c r="E468" s="75" t="s">
        <v>31</v>
      </c>
      <c r="F468" s="75" t="s">
        <v>291</v>
      </c>
    </row>
    <row r="469" spans="1:6" x14ac:dyDescent="0.3">
      <c r="A469" s="75" t="s">
        <v>1396</v>
      </c>
      <c r="B469" s="75" t="s">
        <v>1397</v>
      </c>
      <c r="C469" s="75" t="s">
        <v>1398</v>
      </c>
      <c r="D469" s="75" t="s">
        <v>13</v>
      </c>
      <c r="E469" s="75" t="s">
        <v>348</v>
      </c>
      <c r="F469" s="75" t="s">
        <v>349</v>
      </c>
    </row>
    <row r="470" spans="1:6" x14ac:dyDescent="0.3">
      <c r="A470" s="75" t="s">
        <v>1399</v>
      </c>
      <c r="B470" s="75" t="s">
        <v>1400</v>
      </c>
      <c r="C470" s="75" t="s">
        <v>1401</v>
      </c>
      <c r="D470" s="75" t="s">
        <v>13</v>
      </c>
      <c r="E470" s="75" t="s">
        <v>8</v>
      </c>
      <c r="F470" s="75" t="s">
        <v>27</v>
      </c>
    </row>
    <row r="471" spans="1:6" x14ac:dyDescent="0.3">
      <c r="A471" s="75" t="s">
        <v>1402</v>
      </c>
      <c r="B471" s="75" t="s">
        <v>1403</v>
      </c>
      <c r="C471" s="75" t="s">
        <v>1404</v>
      </c>
      <c r="D471" s="75">
        <v>2014</v>
      </c>
      <c r="E471" s="75" t="s">
        <v>70</v>
      </c>
      <c r="F471" s="75" t="s">
        <v>71</v>
      </c>
    </row>
    <row r="472" spans="1:6" x14ac:dyDescent="0.3">
      <c r="A472" s="75" t="s">
        <v>1405</v>
      </c>
      <c r="B472" s="75" t="s">
        <v>1406</v>
      </c>
      <c r="C472" s="75" t="s">
        <v>1407</v>
      </c>
      <c r="D472" s="75">
        <v>2003</v>
      </c>
      <c r="E472" s="75" t="s">
        <v>31</v>
      </c>
      <c r="F472" s="75" t="s">
        <v>161</v>
      </c>
    </row>
    <row r="473" spans="1:6" x14ac:dyDescent="0.3">
      <c r="A473" s="75" t="s">
        <v>1408</v>
      </c>
      <c r="B473" s="75" t="s">
        <v>1409</v>
      </c>
      <c r="C473" s="75" t="s">
        <v>1243</v>
      </c>
      <c r="D473" s="75">
        <v>1996</v>
      </c>
      <c r="E473" s="75" t="s">
        <v>348</v>
      </c>
      <c r="F473" s="75" t="s">
        <v>349</v>
      </c>
    </row>
    <row r="474" spans="1:6" x14ac:dyDescent="0.3">
      <c r="A474" s="75" t="s">
        <v>1410</v>
      </c>
      <c r="B474" s="75" t="s">
        <v>1411</v>
      </c>
      <c r="C474" s="75" t="s">
        <v>1412</v>
      </c>
      <c r="D474" s="75">
        <v>2006</v>
      </c>
      <c r="E474" s="75" t="s">
        <v>84</v>
      </c>
      <c r="F474" s="75" t="s">
        <v>1413</v>
      </c>
    </row>
    <row r="475" spans="1:6" x14ac:dyDescent="0.3">
      <c r="A475" s="75" t="s">
        <v>1414</v>
      </c>
      <c r="B475" s="75" t="s">
        <v>1415</v>
      </c>
      <c r="C475" s="75" t="s">
        <v>1416</v>
      </c>
      <c r="D475" s="75">
        <v>2017</v>
      </c>
      <c r="E475" s="75" t="s">
        <v>58</v>
      </c>
      <c r="F475" s="75" t="s">
        <v>690</v>
      </c>
    </row>
    <row r="476" spans="1:6" x14ac:dyDescent="0.3">
      <c r="A476" s="75" t="s">
        <v>1417</v>
      </c>
      <c r="B476" s="75" t="s">
        <v>1418</v>
      </c>
      <c r="C476" s="75" t="s">
        <v>1419</v>
      </c>
      <c r="D476" s="75" t="s">
        <v>13</v>
      </c>
      <c r="E476" s="75" t="s">
        <v>18</v>
      </c>
      <c r="F476" s="75" t="s">
        <v>1420</v>
      </c>
    </row>
    <row r="477" spans="1:6" x14ac:dyDescent="0.3">
      <c r="A477" s="75" t="s">
        <v>1421</v>
      </c>
      <c r="B477" s="75" t="s">
        <v>1422</v>
      </c>
      <c r="C477" s="75" t="s">
        <v>1423</v>
      </c>
      <c r="D477" s="75" t="s">
        <v>13</v>
      </c>
      <c r="E477" s="75" t="s">
        <v>8</v>
      </c>
      <c r="F477" s="75" t="s">
        <v>27</v>
      </c>
    </row>
    <row r="478" spans="1:6" x14ac:dyDescent="0.3">
      <c r="A478" s="75" t="s">
        <v>1424</v>
      </c>
      <c r="B478" s="75" t="s">
        <v>1425</v>
      </c>
      <c r="C478" s="75" t="s">
        <v>1426</v>
      </c>
      <c r="D478" s="75">
        <v>2000</v>
      </c>
      <c r="E478" s="75" t="s">
        <v>53</v>
      </c>
      <c r="F478" s="75" t="s">
        <v>1427</v>
      </c>
    </row>
    <row r="479" spans="1:6" x14ac:dyDescent="0.3">
      <c r="A479" s="75" t="s">
        <v>1428</v>
      </c>
      <c r="B479" s="75" t="s">
        <v>1429</v>
      </c>
      <c r="C479" s="75" t="s">
        <v>1430</v>
      </c>
      <c r="D479" s="75">
        <v>2006</v>
      </c>
      <c r="E479" s="75" t="s">
        <v>31</v>
      </c>
      <c r="F479" s="75" t="s">
        <v>92</v>
      </c>
    </row>
    <row r="480" spans="1:6" x14ac:dyDescent="0.3">
      <c r="A480" s="75" t="s">
        <v>1431</v>
      </c>
      <c r="B480" s="75" t="s">
        <v>1432</v>
      </c>
      <c r="C480" s="75" t="s">
        <v>1433</v>
      </c>
      <c r="D480" s="75" t="s">
        <v>13</v>
      </c>
      <c r="E480" s="75" t="s">
        <v>70</v>
      </c>
      <c r="F480" s="75" t="s">
        <v>101</v>
      </c>
    </row>
    <row r="481" spans="1:6" x14ac:dyDescent="0.3">
      <c r="A481" s="75" t="s">
        <v>1434</v>
      </c>
      <c r="B481" s="75" t="s">
        <v>1435</v>
      </c>
      <c r="C481" s="75" t="s">
        <v>1436</v>
      </c>
      <c r="D481" s="75" t="s">
        <v>13</v>
      </c>
      <c r="E481" s="75" t="s">
        <v>18</v>
      </c>
      <c r="F481" s="75" t="s">
        <v>379</v>
      </c>
    </row>
    <row r="482" spans="1:6" x14ac:dyDescent="0.3">
      <c r="A482" s="75" t="s">
        <v>1437</v>
      </c>
      <c r="B482" s="75" t="s">
        <v>1438</v>
      </c>
      <c r="C482" s="75" t="s">
        <v>1439</v>
      </c>
      <c r="D482" s="75">
        <v>2006</v>
      </c>
      <c r="E482" s="75" t="s">
        <v>18</v>
      </c>
      <c r="F482" s="75" t="s">
        <v>434</v>
      </c>
    </row>
    <row r="483" spans="1:6" x14ac:dyDescent="0.3">
      <c r="A483" s="75" t="s">
        <v>1440</v>
      </c>
      <c r="B483" s="75" t="s">
        <v>1441</v>
      </c>
      <c r="C483" s="75" t="s">
        <v>1442</v>
      </c>
      <c r="D483" s="75">
        <v>2012</v>
      </c>
      <c r="E483" s="75" t="s">
        <v>8</v>
      </c>
      <c r="F483" s="75" t="s">
        <v>27</v>
      </c>
    </row>
    <row r="484" spans="1:6" x14ac:dyDescent="0.3">
      <c r="A484" s="75" t="s">
        <v>1443</v>
      </c>
      <c r="B484" s="75" t="s">
        <v>1444</v>
      </c>
      <c r="C484" s="75" t="s">
        <v>1445</v>
      </c>
      <c r="D484" s="75" t="s">
        <v>13</v>
      </c>
      <c r="E484" s="75" t="s">
        <v>8</v>
      </c>
      <c r="F484" s="75" t="s">
        <v>27</v>
      </c>
    </row>
    <row r="485" spans="1:6" x14ac:dyDescent="0.3">
      <c r="A485" s="75" t="s">
        <v>1446</v>
      </c>
      <c r="B485" s="75" t="s">
        <v>1447</v>
      </c>
      <c r="C485" s="75" t="s">
        <v>1448</v>
      </c>
      <c r="D485" s="75">
        <v>2007</v>
      </c>
      <c r="E485" s="75" t="s">
        <v>283</v>
      </c>
      <c r="F485" s="75" t="s">
        <v>1449</v>
      </c>
    </row>
    <row r="486" spans="1:6" x14ac:dyDescent="0.3">
      <c r="A486" s="75" t="s">
        <v>1450</v>
      </c>
      <c r="B486" s="75" t="s">
        <v>1451</v>
      </c>
      <c r="C486" s="75" t="s">
        <v>1452</v>
      </c>
      <c r="D486" s="75" t="s">
        <v>13</v>
      </c>
      <c r="E486" s="75" t="s">
        <v>13</v>
      </c>
      <c r="F486" s="75" t="s">
        <v>13</v>
      </c>
    </row>
    <row r="487" spans="1:6" x14ac:dyDescent="0.3">
      <c r="A487" s="75" t="s">
        <v>1453</v>
      </c>
      <c r="B487" s="75" t="s">
        <v>1454</v>
      </c>
      <c r="C487" s="75" t="s">
        <v>1455</v>
      </c>
      <c r="D487" s="75">
        <v>2013</v>
      </c>
      <c r="E487" s="75" t="s">
        <v>13</v>
      </c>
      <c r="F487" s="75" t="s">
        <v>13</v>
      </c>
    </row>
    <row r="488" spans="1:6" x14ac:dyDescent="0.3">
      <c r="A488" s="75" t="s">
        <v>1456</v>
      </c>
      <c r="B488" s="75" t="s">
        <v>1454</v>
      </c>
      <c r="C488" s="75" t="s">
        <v>13</v>
      </c>
      <c r="D488" s="75" t="s">
        <v>13</v>
      </c>
      <c r="E488" s="75" t="s">
        <v>13</v>
      </c>
      <c r="F488" s="75" t="s">
        <v>13</v>
      </c>
    </row>
    <row r="489" spans="1:6" x14ac:dyDescent="0.3">
      <c r="A489" s="75" t="s">
        <v>1457</v>
      </c>
      <c r="B489" s="75" t="s">
        <v>1454</v>
      </c>
      <c r="C489" s="75" t="s">
        <v>13</v>
      </c>
      <c r="D489" s="75" t="s">
        <v>13</v>
      </c>
      <c r="E489" s="75" t="s">
        <v>13</v>
      </c>
      <c r="F489" s="75" t="s">
        <v>13</v>
      </c>
    </row>
    <row r="490" spans="1:6" x14ac:dyDescent="0.3">
      <c r="A490" s="75" t="s">
        <v>1458</v>
      </c>
      <c r="B490" s="75" t="s">
        <v>1459</v>
      </c>
      <c r="C490" s="75" t="s">
        <v>1460</v>
      </c>
      <c r="D490" s="75" t="s">
        <v>13</v>
      </c>
      <c r="E490" s="75" t="s">
        <v>8</v>
      </c>
      <c r="F490" s="75" t="s">
        <v>23</v>
      </c>
    </row>
    <row r="491" spans="1:6" x14ac:dyDescent="0.3">
      <c r="A491" s="75" t="s">
        <v>1461</v>
      </c>
      <c r="B491" s="75" t="s">
        <v>1462</v>
      </c>
      <c r="C491" s="75" t="s">
        <v>1463</v>
      </c>
      <c r="D491" s="75" t="s">
        <v>13</v>
      </c>
      <c r="E491" s="75" t="s">
        <v>70</v>
      </c>
      <c r="F491" s="75" t="s">
        <v>71</v>
      </c>
    </row>
    <row r="492" spans="1:6" x14ac:dyDescent="0.3">
      <c r="A492" s="75" t="s">
        <v>1464</v>
      </c>
      <c r="B492" s="75" t="s">
        <v>1465</v>
      </c>
      <c r="C492" s="75" t="s">
        <v>1466</v>
      </c>
      <c r="D492" s="75">
        <v>2016</v>
      </c>
      <c r="E492" s="75" t="s">
        <v>8</v>
      </c>
      <c r="F492" s="75" t="s">
        <v>27</v>
      </c>
    </row>
    <row r="493" spans="1:6" x14ac:dyDescent="0.3">
      <c r="A493" s="75" t="s">
        <v>1467</v>
      </c>
      <c r="B493" s="75" t="s">
        <v>1468</v>
      </c>
      <c r="C493" s="75" t="s">
        <v>1469</v>
      </c>
      <c r="D493" s="75">
        <v>2000</v>
      </c>
      <c r="E493" s="75" t="s">
        <v>84</v>
      </c>
      <c r="F493" s="75" t="s">
        <v>63</v>
      </c>
    </row>
    <row r="494" spans="1:6" x14ac:dyDescent="0.3">
      <c r="A494" s="75" t="s">
        <v>1470</v>
      </c>
      <c r="B494" s="75" t="s">
        <v>1471</v>
      </c>
      <c r="C494" s="75" t="s">
        <v>1472</v>
      </c>
      <c r="D494" s="75">
        <v>2014</v>
      </c>
      <c r="E494" s="75" t="s">
        <v>70</v>
      </c>
      <c r="F494" s="75" t="s">
        <v>71</v>
      </c>
    </row>
    <row r="495" spans="1:6" x14ac:dyDescent="0.3">
      <c r="A495" s="75" t="s">
        <v>1473</v>
      </c>
      <c r="B495" s="75" t="s">
        <v>1474</v>
      </c>
      <c r="C495" s="75" t="s">
        <v>1475</v>
      </c>
      <c r="D495" s="75">
        <v>2011</v>
      </c>
      <c r="E495" s="75" t="s">
        <v>31</v>
      </c>
      <c r="F495" s="75" t="s">
        <v>161</v>
      </c>
    </row>
    <row r="496" spans="1:6" x14ac:dyDescent="0.3">
      <c r="A496" s="75" t="s">
        <v>1476</v>
      </c>
      <c r="B496" s="75" t="s">
        <v>1477</v>
      </c>
      <c r="C496" s="75" t="s">
        <v>1478</v>
      </c>
      <c r="D496" s="75" t="s">
        <v>13</v>
      </c>
      <c r="E496" s="75" t="s">
        <v>70</v>
      </c>
      <c r="F496" s="75" t="s">
        <v>71</v>
      </c>
    </row>
    <row r="497" spans="1:6" x14ac:dyDescent="0.3">
      <c r="A497" s="75" t="s">
        <v>1479</v>
      </c>
      <c r="B497" s="75" t="s">
        <v>1480</v>
      </c>
      <c r="C497" s="75" t="s">
        <v>1430</v>
      </c>
      <c r="D497" s="75">
        <v>1981</v>
      </c>
      <c r="E497" s="75" t="s">
        <v>70</v>
      </c>
      <c r="F497" s="75" t="s">
        <v>80</v>
      </c>
    </row>
    <row r="498" spans="1:6" x14ac:dyDescent="0.3">
      <c r="A498" s="75" t="s">
        <v>1481</v>
      </c>
      <c r="B498" s="75" t="s">
        <v>1482</v>
      </c>
      <c r="C498" s="75" t="s">
        <v>1483</v>
      </c>
      <c r="D498" s="75">
        <v>2007</v>
      </c>
      <c r="E498" s="75" t="s">
        <v>96</v>
      </c>
      <c r="F498" s="75" t="s">
        <v>76</v>
      </c>
    </row>
    <row r="499" spans="1:6" x14ac:dyDescent="0.3">
      <c r="A499" s="75" t="s">
        <v>1484</v>
      </c>
      <c r="B499" s="75" t="s">
        <v>1485</v>
      </c>
      <c r="C499" s="75" t="s">
        <v>1486</v>
      </c>
      <c r="D499" s="75">
        <v>2014</v>
      </c>
      <c r="E499" s="75" t="s">
        <v>70</v>
      </c>
      <c r="F499" s="75" t="s">
        <v>101</v>
      </c>
    </row>
    <row r="500" spans="1:6" x14ac:dyDescent="0.3">
      <c r="A500" s="75" t="s">
        <v>1487</v>
      </c>
      <c r="B500" s="75" t="s">
        <v>1488</v>
      </c>
      <c r="C500" s="75" t="s">
        <v>1489</v>
      </c>
      <c r="D500" s="75">
        <v>1998</v>
      </c>
      <c r="E500" s="75" t="s">
        <v>18</v>
      </c>
      <c r="F500" s="75" t="s">
        <v>434</v>
      </c>
    </row>
    <row r="501" spans="1:6" x14ac:dyDescent="0.3">
      <c r="A501" s="75" t="s">
        <v>1490</v>
      </c>
      <c r="B501" s="75" t="s">
        <v>1491</v>
      </c>
      <c r="C501" s="75" t="s">
        <v>1492</v>
      </c>
      <c r="D501" s="75" t="s">
        <v>13</v>
      </c>
      <c r="E501" s="75" t="s">
        <v>18</v>
      </c>
      <c r="F501" s="75" t="s">
        <v>266</v>
      </c>
    </row>
    <row r="502" spans="1:6" x14ac:dyDescent="0.3">
      <c r="A502" s="75" t="s">
        <v>1493</v>
      </c>
      <c r="B502" s="75" t="s">
        <v>1494</v>
      </c>
      <c r="C502" s="75" t="s">
        <v>1495</v>
      </c>
      <c r="D502" s="75" t="s">
        <v>13</v>
      </c>
      <c r="E502" s="75" t="s">
        <v>8</v>
      </c>
      <c r="F502" s="75" t="s">
        <v>27</v>
      </c>
    </row>
    <row r="503" spans="1:6" x14ac:dyDescent="0.3">
      <c r="A503" s="75" t="s">
        <v>1496</v>
      </c>
      <c r="B503" s="75" t="s">
        <v>1497</v>
      </c>
      <c r="C503" s="75" t="s">
        <v>1498</v>
      </c>
      <c r="D503" s="75" t="s">
        <v>13</v>
      </c>
      <c r="E503" s="75" t="s">
        <v>8</v>
      </c>
      <c r="F503" s="75" t="s">
        <v>27</v>
      </c>
    </row>
    <row r="504" spans="1:6" x14ac:dyDescent="0.3">
      <c r="A504" s="75" t="s">
        <v>1499</v>
      </c>
      <c r="B504" s="75" t="s">
        <v>1500</v>
      </c>
      <c r="C504" s="75" t="s">
        <v>1501</v>
      </c>
      <c r="D504" s="75">
        <v>1997</v>
      </c>
      <c r="E504" s="75" t="s">
        <v>84</v>
      </c>
      <c r="F504" s="75" t="s">
        <v>85</v>
      </c>
    </row>
    <row r="505" spans="1:6" x14ac:dyDescent="0.3">
      <c r="A505" s="75" t="s">
        <v>1502</v>
      </c>
      <c r="B505" s="75" t="s">
        <v>1503</v>
      </c>
      <c r="C505" s="75" t="s">
        <v>1504</v>
      </c>
      <c r="D505" s="75">
        <v>2006</v>
      </c>
      <c r="E505" s="75" t="s">
        <v>18</v>
      </c>
      <c r="F505" s="75" t="s">
        <v>729</v>
      </c>
    </row>
    <row r="506" spans="1:6" x14ac:dyDescent="0.3">
      <c r="A506" s="75" t="s">
        <v>1505</v>
      </c>
      <c r="B506" s="75" t="s">
        <v>1506</v>
      </c>
      <c r="C506" s="75" t="s">
        <v>1507</v>
      </c>
      <c r="D506" s="75" t="s">
        <v>13</v>
      </c>
      <c r="E506" s="75" t="s">
        <v>18</v>
      </c>
      <c r="F506" s="75" t="s">
        <v>1032</v>
      </c>
    </row>
    <row r="507" spans="1:6" x14ac:dyDescent="0.3">
      <c r="A507" s="75" t="s">
        <v>1508</v>
      </c>
      <c r="B507" s="75" t="s">
        <v>1509</v>
      </c>
      <c r="C507" s="75" t="s">
        <v>1510</v>
      </c>
      <c r="D507" s="75" t="s">
        <v>13</v>
      </c>
      <c r="E507" s="75" t="s">
        <v>8</v>
      </c>
      <c r="F507" s="75" t="s">
        <v>23</v>
      </c>
    </row>
    <row r="508" spans="1:6" x14ac:dyDescent="0.3">
      <c r="A508" s="75" t="s">
        <v>1511</v>
      </c>
      <c r="B508" s="75" t="s">
        <v>1512</v>
      </c>
      <c r="C508" s="75" t="s">
        <v>1513</v>
      </c>
      <c r="D508" s="75" t="s">
        <v>13</v>
      </c>
      <c r="E508" s="75" t="s">
        <v>70</v>
      </c>
      <c r="F508" s="75" t="s">
        <v>80</v>
      </c>
    </row>
    <row r="509" spans="1:6" x14ac:dyDescent="0.3">
      <c r="A509" s="75" t="s">
        <v>1514</v>
      </c>
      <c r="B509" s="75" t="s">
        <v>1515</v>
      </c>
      <c r="C509" s="75" t="s">
        <v>1516</v>
      </c>
      <c r="D509" s="75" t="s">
        <v>13</v>
      </c>
      <c r="E509" s="75" t="s">
        <v>70</v>
      </c>
      <c r="F509" s="75" t="s">
        <v>326</v>
      </c>
    </row>
    <row r="510" spans="1:6" x14ac:dyDescent="0.3">
      <c r="A510" s="75" t="s">
        <v>1517</v>
      </c>
      <c r="B510" s="75" t="s">
        <v>1518</v>
      </c>
      <c r="C510" s="75" t="s">
        <v>1519</v>
      </c>
      <c r="D510" s="75">
        <v>1997</v>
      </c>
      <c r="E510" s="75" t="s">
        <v>44</v>
      </c>
      <c r="F510" s="75" t="s">
        <v>1520</v>
      </c>
    </row>
    <row r="511" spans="1:6" x14ac:dyDescent="0.3">
      <c r="A511" s="75" t="s">
        <v>1521</v>
      </c>
      <c r="B511" s="75" t="s">
        <v>1522</v>
      </c>
      <c r="C511" s="75" t="s">
        <v>1523</v>
      </c>
      <c r="D511" s="75">
        <v>1983</v>
      </c>
      <c r="E511" s="75" t="s">
        <v>518</v>
      </c>
      <c r="F511" s="75" t="s">
        <v>527</v>
      </c>
    </row>
    <row r="512" spans="1:6" x14ac:dyDescent="0.3">
      <c r="A512" s="75" t="s">
        <v>1524</v>
      </c>
      <c r="B512" s="75" t="s">
        <v>1525</v>
      </c>
      <c r="C512" s="75" t="s">
        <v>1526</v>
      </c>
      <c r="D512" s="75" t="s">
        <v>13</v>
      </c>
      <c r="E512" s="75" t="s">
        <v>70</v>
      </c>
      <c r="F512" s="75" t="s">
        <v>118</v>
      </c>
    </row>
    <row r="513" spans="1:6" x14ac:dyDescent="0.3">
      <c r="A513" s="75" t="s">
        <v>1527</v>
      </c>
      <c r="B513" s="75" t="s">
        <v>1528</v>
      </c>
      <c r="C513" s="75" t="s">
        <v>1529</v>
      </c>
      <c r="D513" s="75" t="s">
        <v>13</v>
      </c>
      <c r="E513" s="75" t="s">
        <v>96</v>
      </c>
      <c r="F513" s="75" t="s">
        <v>76</v>
      </c>
    </row>
    <row r="514" spans="1:6" x14ac:dyDescent="0.3">
      <c r="A514" s="75" t="s">
        <v>1530</v>
      </c>
      <c r="B514" s="75" t="s">
        <v>1531</v>
      </c>
      <c r="C514" s="75" t="s">
        <v>1532</v>
      </c>
      <c r="D514" s="75">
        <v>2015</v>
      </c>
      <c r="E514" s="75" t="s">
        <v>70</v>
      </c>
      <c r="F514" s="75" t="s">
        <v>71</v>
      </c>
    </row>
    <row r="515" spans="1:6" x14ac:dyDescent="0.3">
      <c r="A515" s="75" t="s">
        <v>1533</v>
      </c>
      <c r="B515" s="75" t="s">
        <v>1534</v>
      </c>
      <c r="C515" s="75" t="s">
        <v>1535</v>
      </c>
      <c r="D515" s="75" t="s">
        <v>13</v>
      </c>
      <c r="E515" s="75" t="s">
        <v>70</v>
      </c>
      <c r="F515" s="75" t="s">
        <v>71</v>
      </c>
    </row>
    <row r="516" spans="1:6" x14ac:dyDescent="0.3">
      <c r="A516" s="75" t="s">
        <v>1536</v>
      </c>
      <c r="B516" s="75" t="s">
        <v>1537</v>
      </c>
      <c r="C516" s="75" t="s">
        <v>1538</v>
      </c>
      <c r="D516" s="75">
        <v>2006</v>
      </c>
      <c r="E516" s="75" t="s">
        <v>70</v>
      </c>
      <c r="F516" s="75" t="s">
        <v>71</v>
      </c>
    </row>
    <row r="517" spans="1:6" x14ac:dyDescent="0.3">
      <c r="A517" s="75" t="s">
        <v>1539</v>
      </c>
      <c r="B517" s="75" t="s">
        <v>1540</v>
      </c>
      <c r="C517" s="75" t="s">
        <v>1541</v>
      </c>
      <c r="D517" s="75" t="s">
        <v>13</v>
      </c>
      <c r="E517" s="75" t="s">
        <v>70</v>
      </c>
      <c r="F517" s="75" t="s">
        <v>1375</v>
      </c>
    </row>
    <row r="518" spans="1:6" x14ac:dyDescent="0.3">
      <c r="A518" s="75" t="s">
        <v>1542</v>
      </c>
      <c r="B518" s="75" t="s">
        <v>1543</v>
      </c>
      <c r="C518" s="75" t="s">
        <v>1544</v>
      </c>
      <c r="D518" s="75" t="s">
        <v>13</v>
      </c>
      <c r="E518" s="75" t="s">
        <v>8</v>
      </c>
      <c r="F518" s="75" t="s">
        <v>27</v>
      </c>
    </row>
    <row r="519" spans="1:6" x14ac:dyDescent="0.3">
      <c r="A519" s="75" t="s">
        <v>1545</v>
      </c>
      <c r="B519" s="75" t="s">
        <v>1543</v>
      </c>
      <c r="C519" s="75" t="s">
        <v>13</v>
      </c>
      <c r="D519" s="75" t="s">
        <v>13</v>
      </c>
      <c r="E519" s="75" t="s">
        <v>8</v>
      </c>
      <c r="F519" s="75" t="s">
        <v>27</v>
      </c>
    </row>
    <row r="520" spans="1:6" x14ac:dyDescent="0.3">
      <c r="A520" s="75" t="s">
        <v>1546</v>
      </c>
      <c r="B520" s="75" t="s">
        <v>1547</v>
      </c>
      <c r="C520" s="75" t="s">
        <v>1398</v>
      </c>
      <c r="D520" s="75" t="s">
        <v>13</v>
      </c>
      <c r="E520" s="75" t="s">
        <v>58</v>
      </c>
      <c r="F520" s="75" t="s">
        <v>54</v>
      </c>
    </row>
    <row r="521" spans="1:6" x14ac:dyDescent="0.3">
      <c r="A521" s="75" t="s">
        <v>1548</v>
      </c>
      <c r="B521" s="75" t="s">
        <v>1549</v>
      </c>
      <c r="C521" s="75" t="s">
        <v>1550</v>
      </c>
      <c r="D521" s="75">
        <v>2007</v>
      </c>
      <c r="E521" s="75" t="s">
        <v>31</v>
      </c>
      <c r="F521" s="75" t="s">
        <v>92</v>
      </c>
    </row>
    <row r="522" spans="1:6" x14ac:dyDescent="0.3">
      <c r="A522" s="75" t="s">
        <v>1551</v>
      </c>
      <c r="B522" s="75" t="s">
        <v>1552</v>
      </c>
      <c r="C522" s="75" t="s">
        <v>1553</v>
      </c>
      <c r="D522" s="75" t="s">
        <v>13</v>
      </c>
      <c r="E522" s="75" t="s">
        <v>8</v>
      </c>
      <c r="F522" s="75" t="s">
        <v>27</v>
      </c>
    </row>
    <row r="523" spans="1:6" x14ac:dyDescent="0.3">
      <c r="A523" s="75" t="s">
        <v>1554</v>
      </c>
      <c r="B523" s="75" t="s">
        <v>1555</v>
      </c>
      <c r="C523" s="75" t="s">
        <v>1556</v>
      </c>
      <c r="D523" s="75" t="s">
        <v>13</v>
      </c>
      <c r="E523" s="75" t="s">
        <v>96</v>
      </c>
      <c r="F523" s="75" t="s">
        <v>63</v>
      </c>
    </row>
    <row r="524" spans="1:6" x14ac:dyDescent="0.3">
      <c r="A524" s="75" t="s">
        <v>1557</v>
      </c>
      <c r="B524" s="75" t="s">
        <v>1558</v>
      </c>
      <c r="C524" s="75" t="s">
        <v>1559</v>
      </c>
      <c r="D524" s="75">
        <v>2010</v>
      </c>
      <c r="E524" s="75" t="s">
        <v>8</v>
      </c>
      <c r="F524" s="75" t="s">
        <v>1093</v>
      </c>
    </row>
    <row r="525" spans="1:6" x14ac:dyDescent="0.3">
      <c r="A525" s="75" t="s">
        <v>1560</v>
      </c>
      <c r="B525" s="75" t="s">
        <v>1561</v>
      </c>
      <c r="C525" s="75" t="s">
        <v>1562</v>
      </c>
      <c r="D525" s="75" t="s">
        <v>13</v>
      </c>
      <c r="E525" s="75" t="s">
        <v>96</v>
      </c>
      <c r="F525" s="75" t="s">
        <v>76</v>
      </c>
    </row>
    <row r="526" spans="1:6" x14ac:dyDescent="0.3">
      <c r="A526" s="75" t="s">
        <v>1563</v>
      </c>
      <c r="B526" s="75" t="s">
        <v>1564</v>
      </c>
      <c r="C526" s="75" t="s">
        <v>1565</v>
      </c>
      <c r="D526" s="75">
        <v>2013</v>
      </c>
      <c r="E526" s="75" t="s">
        <v>18</v>
      </c>
      <c r="F526" s="75" t="s">
        <v>450</v>
      </c>
    </row>
    <row r="527" spans="1:6" x14ac:dyDescent="0.3">
      <c r="A527" s="75" t="s">
        <v>1566</v>
      </c>
      <c r="B527" s="75" t="s">
        <v>1567</v>
      </c>
      <c r="C527" s="75" t="s">
        <v>1568</v>
      </c>
      <c r="D527" s="75" t="s">
        <v>13</v>
      </c>
      <c r="E527" s="75" t="s">
        <v>53</v>
      </c>
      <c r="F527" s="75" t="s">
        <v>1569</v>
      </c>
    </row>
    <row r="528" spans="1:6" x14ac:dyDescent="0.3">
      <c r="A528" s="75" t="s">
        <v>1570</v>
      </c>
      <c r="B528" s="75" t="s">
        <v>1571</v>
      </c>
      <c r="C528" s="75" t="s">
        <v>1572</v>
      </c>
      <c r="D528" s="75">
        <v>1987</v>
      </c>
      <c r="E528" s="75" t="s">
        <v>70</v>
      </c>
      <c r="F528" s="75" t="s">
        <v>71</v>
      </c>
    </row>
    <row r="529" spans="1:6" x14ac:dyDescent="0.3">
      <c r="A529" s="75" t="s">
        <v>1573</v>
      </c>
      <c r="B529" s="75" t="s">
        <v>1571</v>
      </c>
      <c r="C529" s="75" t="s">
        <v>13</v>
      </c>
      <c r="D529" s="75" t="s">
        <v>13</v>
      </c>
      <c r="E529" s="75" t="s">
        <v>70</v>
      </c>
      <c r="F529" s="75" t="s">
        <v>71</v>
      </c>
    </row>
    <row r="530" spans="1:6" x14ac:dyDescent="0.3">
      <c r="A530" s="75" t="s">
        <v>1574</v>
      </c>
      <c r="B530" s="75" t="s">
        <v>1575</v>
      </c>
      <c r="C530" s="75" t="s">
        <v>1576</v>
      </c>
      <c r="D530" s="75" t="s">
        <v>13</v>
      </c>
      <c r="E530" s="75" t="s">
        <v>70</v>
      </c>
      <c r="F530" s="75" t="s">
        <v>137</v>
      </c>
    </row>
    <row r="531" spans="1:6" x14ac:dyDescent="0.3">
      <c r="A531" s="75" t="s">
        <v>1577</v>
      </c>
      <c r="B531" s="75" t="s">
        <v>1578</v>
      </c>
      <c r="C531" s="75" t="s">
        <v>1579</v>
      </c>
      <c r="D531" s="75">
        <v>2016</v>
      </c>
      <c r="E531" s="75" t="s">
        <v>13</v>
      </c>
      <c r="F531" s="75" t="s">
        <v>13</v>
      </c>
    </row>
    <row r="532" spans="1:6" x14ac:dyDescent="0.3">
      <c r="A532" s="75" t="s">
        <v>1580</v>
      </c>
      <c r="B532" s="75" t="s">
        <v>1578</v>
      </c>
      <c r="C532" s="75" t="s">
        <v>13</v>
      </c>
      <c r="D532" s="75">
        <v>2016</v>
      </c>
      <c r="E532" s="75" t="s">
        <v>13</v>
      </c>
      <c r="F532" s="75" t="s">
        <v>13</v>
      </c>
    </row>
    <row r="533" spans="1:6" x14ac:dyDescent="0.3">
      <c r="A533" s="75" t="s">
        <v>1581</v>
      </c>
      <c r="B533" s="75" t="s">
        <v>1582</v>
      </c>
      <c r="C533" s="75" t="s">
        <v>1583</v>
      </c>
      <c r="D533" s="75" t="s">
        <v>13</v>
      </c>
      <c r="E533" s="75" t="s">
        <v>70</v>
      </c>
      <c r="F533" s="75" t="s">
        <v>71</v>
      </c>
    </row>
    <row r="534" spans="1:6" x14ac:dyDescent="0.3">
      <c r="A534" s="75" t="s">
        <v>1584</v>
      </c>
      <c r="B534" s="75" t="s">
        <v>1582</v>
      </c>
      <c r="C534" s="75" t="s">
        <v>13</v>
      </c>
      <c r="D534" s="75" t="s">
        <v>13</v>
      </c>
      <c r="E534" s="75" t="s">
        <v>70</v>
      </c>
      <c r="F534" s="75" t="s">
        <v>71</v>
      </c>
    </row>
    <row r="535" spans="1:6" x14ac:dyDescent="0.3">
      <c r="A535" s="75" t="s">
        <v>1585</v>
      </c>
      <c r="B535" s="75" t="s">
        <v>1582</v>
      </c>
      <c r="C535" s="75" t="s">
        <v>13</v>
      </c>
      <c r="D535" s="75" t="s">
        <v>13</v>
      </c>
      <c r="E535" s="75" t="s">
        <v>70</v>
      </c>
      <c r="F535" s="75" t="s">
        <v>71</v>
      </c>
    </row>
    <row r="536" spans="1:6" x14ac:dyDescent="0.3">
      <c r="A536" s="75" t="s">
        <v>1586</v>
      </c>
      <c r="B536" s="75" t="s">
        <v>1587</v>
      </c>
      <c r="C536" s="75" t="s">
        <v>1588</v>
      </c>
      <c r="D536" s="75">
        <v>2015</v>
      </c>
      <c r="E536" s="75" t="s">
        <v>70</v>
      </c>
      <c r="F536" s="75" t="s">
        <v>118</v>
      </c>
    </row>
    <row r="537" spans="1:6" x14ac:dyDescent="0.3">
      <c r="A537" s="75" t="s">
        <v>1589</v>
      </c>
      <c r="B537" s="75" t="s">
        <v>1590</v>
      </c>
      <c r="C537" s="75" t="s">
        <v>1591</v>
      </c>
      <c r="D537" s="75" t="s">
        <v>13</v>
      </c>
      <c r="E537" s="75" t="s">
        <v>70</v>
      </c>
      <c r="F537" s="75" t="s">
        <v>118</v>
      </c>
    </row>
    <row r="538" spans="1:6" x14ac:dyDescent="0.3">
      <c r="A538" s="75" t="s">
        <v>1592</v>
      </c>
      <c r="B538" s="75" t="s">
        <v>1593</v>
      </c>
      <c r="C538" s="75" t="s">
        <v>1594</v>
      </c>
      <c r="D538" s="75" t="s">
        <v>13</v>
      </c>
      <c r="E538" s="75" t="s">
        <v>70</v>
      </c>
      <c r="F538" s="75" t="s">
        <v>71</v>
      </c>
    </row>
    <row r="539" spans="1:6" x14ac:dyDescent="0.3">
      <c r="A539" s="75" t="s">
        <v>1595</v>
      </c>
      <c r="B539" s="75" t="s">
        <v>1596</v>
      </c>
      <c r="C539" s="75" t="s">
        <v>1597</v>
      </c>
      <c r="D539" s="75" t="s">
        <v>13</v>
      </c>
      <c r="E539" s="75" t="s">
        <v>348</v>
      </c>
      <c r="F539" s="75" t="s">
        <v>1598</v>
      </c>
    </row>
    <row r="540" spans="1:6" x14ac:dyDescent="0.3">
      <c r="A540" s="75" t="s">
        <v>1599</v>
      </c>
      <c r="B540" s="75" t="s">
        <v>1600</v>
      </c>
      <c r="C540" s="75" t="s">
        <v>1601</v>
      </c>
      <c r="D540" s="75">
        <v>2015</v>
      </c>
      <c r="E540" s="75" t="s">
        <v>70</v>
      </c>
      <c r="F540" s="75" t="s">
        <v>71</v>
      </c>
    </row>
    <row r="541" spans="1:6" x14ac:dyDescent="0.3">
      <c r="A541" s="75" t="s">
        <v>1602</v>
      </c>
      <c r="B541" s="75" t="s">
        <v>1603</v>
      </c>
      <c r="C541" s="75" t="s">
        <v>1604</v>
      </c>
      <c r="D541" s="75">
        <v>2012</v>
      </c>
      <c r="E541" s="75" t="s">
        <v>70</v>
      </c>
      <c r="F541" s="75" t="s">
        <v>71</v>
      </c>
    </row>
    <row r="542" spans="1:6" x14ac:dyDescent="0.3">
      <c r="A542" s="75" t="s">
        <v>1605</v>
      </c>
      <c r="B542" s="75" t="s">
        <v>1606</v>
      </c>
      <c r="C542" s="75" t="s">
        <v>1607</v>
      </c>
      <c r="D542" s="75" t="s">
        <v>13</v>
      </c>
      <c r="E542" s="75" t="s">
        <v>53</v>
      </c>
      <c r="F542" s="75" t="s">
        <v>63</v>
      </c>
    </row>
    <row r="543" spans="1:6" x14ac:dyDescent="0.3">
      <c r="A543" s="75" t="s">
        <v>1608</v>
      </c>
      <c r="B543" s="75" t="s">
        <v>1606</v>
      </c>
      <c r="C543" s="75" t="s">
        <v>13</v>
      </c>
      <c r="D543" s="75" t="s">
        <v>13</v>
      </c>
      <c r="E543" s="75" t="s">
        <v>53</v>
      </c>
      <c r="F543" s="75" t="s">
        <v>63</v>
      </c>
    </row>
    <row r="544" spans="1:6" x14ac:dyDescent="0.3">
      <c r="A544" s="75" t="s">
        <v>1609</v>
      </c>
      <c r="B544" s="75" t="s">
        <v>1606</v>
      </c>
      <c r="C544" s="75" t="s">
        <v>13</v>
      </c>
      <c r="D544" s="75" t="s">
        <v>13</v>
      </c>
      <c r="E544" s="75" t="s">
        <v>53</v>
      </c>
      <c r="F544" s="75" t="s">
        <v>63</v>
      </c>
    </row>
    <row r="545" spans="1:6" x14ac:dyDescent="0.3">
      <c r="A545" s="75" t="s">
        <v>1610</v>
      </c>
      <c r="B545" s="75" t="s">
        <v>1611</v>
      </c>
      <c r="C545" s="75" t="s">
        <v>1612</v>
      </c>
      <c r="D545" s="75">
        <v>2016</v>
      </c>
      <c r="E545" s="75" t="s">
        <v>84</v>
      </c>
      <c r="F545" s="75" t="s">
        <v>85</v>
      </c>
    </row>
    <row r="546" spans="1:6" x14ac:dyDescent="0.3">
      <c r="A546" s="75" t="s">
        <v>1613</v>
      </c>
      <c r="B546" s="75" t="s">
        <v>1614</v>
      </c>
      <c r="C546" s="75" t="s">
        <v>1615</v>
      </c>
      <c r="D546" s="75" t="s">
        <v>13</v>
      </c>
      <c r="E546" s="75" t="s">
        <v>8</v>
      </c>
      <c r="F546" s="75" t="s">
        <v>27</v>
      </c>
    </row>
    <row r="547" spans="1:6" x14ac:dyDescent="0.3">
      <c r="A547" s="75" t="s">
        <v>1616</v>
      </c>
      <c r="B547" s="75" t="s">
        <v>1617</v>
      </c>
      <c r="C547" s="75" t="s">
        <v>1618</v>
      </c>
      <c r="D547" s="75">
        <v>1994</v>
      </c>
      <c r="E547" s="75" t="s">
        <v>18</v>
      </c>
      <c r="F547" s="75" t="s">
        <v>1055</v>
      </c>
    </row>
    <row r="548" spans="1:6" x14ac:dyDescent="0.3">
      <c r="A548" s="75" t="s">
        <v>1619</v>
      </c>
      <c r="B548" s="75" t="s">
        <v>1620</v>
      </c>
      <c r="C548" s="75" t="s">
        <v>1621</v>
      </c>
      <c r="D548" s="75" t="s">
        <v>13</v>
      </c>
      <c r="E548" s="75" t="s">
        <v>8</v>
      </c>
      <c r="F548" s="75" t="s">
        <v>23</v>
      </c>
    </row>
    <row r="549" spans="1:6" x14ac:dyDescent="0.3">
      <c r="A549" s="75" t="s">
        <v>1622</v>
      </c>
      <c r="B549" s="75" t="s">
        <v>1623</v>
      </c>
      <c r="C549" s="75" t="s">
        <v>319</v>
      </c>
      <c r="D549" s="75">
        <v>1993</v>
      </c>
      <c r="E549" s="75" t="s">
        <v>518</v>
      </c>
      <c r="F549" s="75" t="s">
        <v>1624</v>
      </c>
    </row>
    <row r="550" spans="1:6" x14ac:dyDescent="0.3">
      <c r="A550" s="75" t="s">
        <v>1625</v>
      </c>
      <c r="B550" s="75" t="s">
        <v>1623</v>
      </c>
      <c r="C550" s="75" t="s">
        <v>1019</v>
      </c>
      <c r="D550" s="75" t="s">
        <v>13</v>
      </c>
      <c r="E550" s="75" t="s">
        <v>518</v>
      </c>
      <c r="F550" s="75" t="s">
        <v>1624</v>
      </c>
    </row>
    <row r="551" spans="1:6" x14ac:dyDescent="0.3">
      <c r="A551" s="75" t="s">
        <v>1626</v>
      </c>
      <c r="B551" s="75" t="s">
        <v>1627</v>
      </c>
      <c r="C551" s="75" t="s">
        <v>1628</v>
      </c>
      <c r="D551" s="75" t="s">
        <v>13</v>
      </c>
      <c r="E551" s="75" t="s">
        <v>8</v>
      </c>
      <c r="F551" s="75" t="s">
        <v>27</v>
      </c>
    </row>
    <row r="552" spans="1:6" x14ac:dyDescent="0.3">
      <c r="A552" s="75" t="s">
        <v>1629</v>
      </c>
      <c r="B552" s="75" t="s">
        <v>1630</v>
      </c>
      <c r="C552" s="75" t="s">
        <v>1631</v>
      </c>
      <c r="D552" s="75">
        <v>1996</v>
      </c>
      <c r="E552" s="75" t="s">
        <v>58</v>
      </c>
      <c r="F552" s="75" t="s">
        <v>1632</v>
      </c>
    </row>
    <row r="553" spans="1:6" x14ac:dyDescent="0.3">
      <c r="A553" s="75" t="s">
        <v>1633</v>
      </c>
      <c r="B553" s="75" t="s">
        <v>1634</v>
      </c>
      <c r="C553" s="75" t="s">
        <v>1635</v>
      </c>
      <c r="D553" s="75">
        <v>1987</v>
      </c>
      <c r="E553" s="75" t="s">
        <v>8</v>
      </c>
      <c r="F553" s="75" t="s">
        <v>27</v>
      </c>
    </row>
    <row r="554" spans="1:6" x14ac:dyDescent="0.3">
      <c r="A554" s="75" t="s">
        <v>1636</v>
      </c>
      <c r="B554" s="75" t="s">
        <v>1637</v>
      </c>
      <c r="C554" s="75" t="s">
        <v>1638</v>
      </c>
      <c r="D554" s="75" t="s">
        <v>13</v>
      </c>
      <c r="E554" s="75" t="s">
        <v>18</v>
      </c>
      <c r="F554" s="75" t="s">
        <v>1361</v>
      </c>
    </row>
    <row r="555" spans="1:6" x14ac:dyDescent="0.3">
      <c r="A555" s="75" t="s">
        <v>1639</v>
      </c>
      <c r="B555" s="75" t="s">
        <v>1640</v>
      </c>
      <c r="C555" s="75" t="s">
        <v>1641</v>
      </c>
      <c r="D555" s="75" t="s">
        <v>13</v>
      </c>
      <c r="E555" s="75" t="s">
        <v>518</v>
      </c>
      <c r="F555" s="75" t="s">
        <v>1642</v>
      </c>
    </row>
    <row r="556" spans="1:6" x14ac:dyDescent="0.3">
      <c r="A556" s="75" t="s">
        <v>1643</v>
      </c>
      <c r="B556" s="75" t="s">
        <v>1644</v>
      </c>
      <c r="C556" s="75" t="s">
        <v>1645</v>
      </c>
      <c r="D556" s="75" t="s">
        <v>13</v>
      </c>
      <c r="E556" s="75" t="s">
        <v>31</v>
      </c>
      <c r="F556" s="75" t="s">
        <v>291</v>
      </c>
    </row>
    <row r="557" spans="1:6" x14ac:dyDescent="0.3">
      <c r="A557" s="75" t="s">
        <v>1646</v>
      </c>
      <c r="B557" s="75" t="s">
        <v>1647</v>
      </c>
      <c r="C557" s="75" t="s">
        <v>1648</v>
      </c>
      <c r="D557" s="75">
        <v>2015</v>
      </c>
      <c r="E557" s="75" t="s">
        <v>70</v>
      </c>
      <c r="F557" s="75" t="s">
        <v>71</v>
      </c>
    </row>
    <row r="558" spans="1:6" x14ac:dyDescent="0.3">
      <c r="A558" s="75" t="s">
        <v>1649</v>
      </c>
      <c r="B558" s="75" t="s">
        <v>1647</v>
      </c>
      <c r="C558" s="75" t="s">
        <v>13</v>
      </c>
      <c r="D558" s="75">
        <v>2015</v>
      </c>
      <c r="E558" s="75" t="s">
        <v>70</v>
      </c>
      <c r="F558" s="75" t="s">
        <v>71</v>
      </c>
    </row>
    <row r="559" spans="1:6" x14ac:dyDescent="0.3">
      <c r="A559" s="75" t="s">
        <v>1650</v>
      </c>
      <c r="B559" s="75" t="s">
        <v>1651</v>
      </c>
      <c r="C559" s="75" t="s">
        <v>1652</v>
      </c>
      <c r="D559" s="75">
        <v>1986</v>
      </c>
      <c r="E559" s="75" t="s">
        <v>31</v>
      </c>
      <c r="F559" s="75" t="s">
        <v>161</v>
      </c>
    </row>
    <row r="560" spans="1:6" x14ac:dyDescent="0.3">
      <c r="A560" s="75" t="s">
        <v>1653</v>
      </c>
      <c r="B560" s="75" t="s">
        <v>1654</v>
      </c>
      <c r="C560" s="75" t="s">
        <v>1655</v>
      </c>
      <c r="D560" s="75">
        <v>1997</v>
      </c>
      <c r="E560" s="75" t="s">
        <v>70</v>
      </c>
      <c r="F560" s="75" t="s">
        <v>80</v>
      </c>
    </row>
    <row r="561" spans="1:6" x14ac:dyDescent="0.3">
      <c r="A561" s="75" t="s">
        <v>1656</v>
      </c>
      <c r="B561" s="75" t="s">
        <v>1657</v>
      </c>
      <c r="C561" s="75" t="s">
        <v>1658</v>
      </c>
      <c r="D561" s="75" t="s">
        <v>13</v>
      </c>
      <c r="E561" s="75" t="s">
        <v>53</v>
      </c>
      <c r="F561" s="75" t="s">
        <v>101</v>
      </c>
    </row>
    <row r="562" spans="1:6" x14ac:dyDescent="0.3">
      <c r="A562" s="75" t="s">
        <v>1659</v>
      </c>
      <c r="B562" s="75" t="s">
        <v>1660</v>
      </c>
      <c r="C562" s="75" t="s">
        <v>1661</v>
      </c>
      <c r="D562" s="75" t="s">
        <v>13</v>
      </c>
      <c r="E562" s="75" t="s">
        <v>31</v>
      </c>
      <c r="F562" s="75" t="s">
        <v>92</v>
      </c>
    </row>
    <row r="563" spans="1:6" x14ac:dyDescent="0.3">
      <c r="A563" s="75" t="s">
        <v>1662</v>
      </c>
      <c r="B563" s="75" t="s">
        <v>1663</v>
      </c>
      <c r="C563" s="75" t="s">
        <v>1664</v>
      </c>
      <c r="D563" s="75">
        <v>2016</v>
      </c>
      <c r="E563" s="75" t="s">
        <v>8</v>
      </c>
      <c r="F563" s="75" t="s">
        <v>497</v>
      </c>
    </row>
    <row r="564" spans="1:6" x14ac:dyDescent="0.3">
      <c r="A564" s="75" t="s">
        <v>1665</v>
      </c>
      <c r="B564" s="75" t="s">
        <v>1663</v>
      </c>
      <c r="C564" s="75" t="s">
        <v>13</v>
      </c>
      <c r="D564" s="75">
        <v>2016</v>
      </c>
      <c r="E564" s="75" t="s">
        <v>8</v>
      </c>
      <c r="F564" s="75" t="s">
        <v>497</v>
      </c>
    </row>
    <row r="565" spans="1:6" x14ac:dyDescent="0.3">
      <c r="A565" s="75" t="s">
        <v>1666</v>
      </c>
      <c r="B565" s="75" t="s">
        <v>1663</v>
      </c>
      <c r="C565" s="75" t="s">
        <v>13</v>
      </c>
      <c r="D565" s="75">
        <v>2016</v>
      </c>
      <c r="E565" s="75" t="s">
        <v>8</v>
      </c>
      <c r="F565" s="75" t="s">
        <v>497</v>
      </c>
    </row>
    <row r="566" spans="1:6" x14ac:dyDescent="0.3">
      <c r="A566" s="75" t="s">
        <v>1667</v>
      </c>
      <c r="B566" s="75" t="s">
        <v>1668</v>
      </c>
      <c r="C566" s="75" t="s">
        <v>1669</v>
      </c>
      <c r="D566" s="75" t="s">
        <v>13</v>
      </c>
      <c r="E566" s="75" t="s">
        <v>70</v>
      </c>
      <c r="F566" s="75" t="s">
        <v>118</v>
      </c>
    </row>
    <row r="567" spans="1:6" x14ac:dyDescent="0.3">
      <c r="A567" s="75" t="s">
        <v>1670</v>
      </c>
      <c r="B567" s="75" t="s">
        <v>1671</v>
      </c>
      <c r="C567" s="75" t="s">
        <v>1672</v>
      </c>
      <c r="D567" s="75">
        <v>2009</v>
      </c>
      <c r="E567" s="75" t="s">
        <v>31</v>
      </c>
      <c r="F567" s="75" t="s">
        <v>36</v>
      </c>
    </row>
    <row r="568" spans="1:6" x14ac:dyDescent="0.3">
      <c r="A568" s="75" t="s">
        <v>1673</v>
      </c>
      <c r="B568" s="75" t="s">
        <v>1674</v>
      </c>
      <c r="C568" s="75" t="s">
        <v>1675</v>
      </c>
      <c r="D568" s="75" t="s">
        <v>13</v>
      </c>
      <c r="E568" s="75" t="s">
        <v>18</v>
      </c>
      <c r="F568" s="75" t="s">
        <v>729</v>
      </c>
    </row>
    <row r="569" spans="1:6" x14ac:dyDescent="0.3">
      <c r="A569" s="75" t="s">
        <v>1676</v>
      </c>
      <c r="B569" s="75" t="s">
        <v>1677</v>
      </c>
      <c r="C569" s="75" t="s">
        <v>1678</v>
      </c>
      <c r="D569" s="75">
        <v>1997</v>
      </c>
      <c r="E569" s="75" t="s">
        <v>518</v>
      </c>
      <c r="F569" s="75" t="s">
        <v>1624</v>
      </c>
    </row>
    <row r="570" spans="1:6" x14ac:dyDescent="0.3">
      <c r="A570" s="75" t="s">
        <v>1679</v>
      </c>
      <c r="B570" s="75" t="s">
        <v>1680</v>
      </c>
      <c r="C570" s="75" t="s">
        <v>66</v>
      </c>
      <c r="D570" s="75">
        <v>2006</v>
      </c>
      <c r="E570" s="75" t="s">
        <v>53</v>
      </c>
      <c r="F570" s="75" t="s">
        <v>519</v>
      </c>
    </row>
    <row r="571" spans="1:6" x14ac:dyDescent="0.3">
      <c r="A571" s="75" t="s">
        <v>1681</v>
      </c>
      <c r="B571" s="75" t="s">
        <v>1682</v>
      </c>
      <c r="C571" s="75" t="s">
        <v>1683</v>
      </c>
      <c r="D571" s="75" t="s">
        <v>13</v>
      </c>
      <c r="E571" s="75" t="s">
        <v>18</v>
      </c>
      <c r="F571" s="75" t="s">
        <v>461</v>
      </c>
    </row>
    <row r="572" spans="1:6" x14ac:dyDescent="0.3">
      <c r="A572" s="75" t="s">
        <v>1684</v>
      </c>
      <c r="B572" s="75" t="s">
        <v>1685</v>
      </c>
      <c r="C572" s="75" t="s">
        <v>1686</v>
      </c>
      <c r="D572" s="75">
        <v>2010</v>
      </c>
      <c r="E572" s="75" t="s">
        <v>8</v>
      </c>
      <c r="F572" s="75" t="s">
        <v>23</v>
      </c>
    </row>
    <row r="573" spans="1:6" x14ac:dyDescent="0.3">
      <c r="A573" s="75" t="s">
        <v>1687</v>
      </c>
      <c r="B573" s="75" t="s">
        <v>1688</v>
      </c>
      <c r="C573" s="75" t="s">
        <v>1689</v>
      </c>
      <c r="D573" s="75">
        <v>1996</v>
      </c>
      <c r="E573" s="75" t="s">
        <v>31</v>
      </c>
      <c r="F573" s="75" t="s">
        <v>36</v>
      </c>
    </row>
    <row r="574" spans="1:6" x14ac:dyDescent="0.3">
      <c r="A574" s="75" t="s">
        <v>1690</v>
      </c>
      <c r="B574" s="75" t="s">
        <v>1691</v>
      </c>
      <c r="C574" s="75" t="s">
        <v>1692</v>
      </c>
      <c r="D574" s="75">
        <v>2015</v>
      </c>
      <c r="E574" s="75" t="s">
        <v>70</v>
      </c>
      <c r="F574" s="75" t="s">
        <v>1693</v>
      </c>
    </row>
    <row r="575" spans="1:6" x14ac:dyDescent="0.3">
      <c r="A575" s="75" t="s">
        <v>1694</v>
      </c>
      <c r="B575" s="75" t="s">
        <v>1691</v>
      </c>
      <c r="C575" s="75" t="s">
        <v>13</v>
      </c>
      <c r="D575" s="75">
        <v>2015</v>
      </c>
      <c r="E575" s="75" t="s">
        <v>70</v>
      </c>
      <c r="F575" s="75" t="s">
        <v>1693</v>
      </c>
    </row>
    <row r="576" spans="1:6" x14ac:dyDescent="0.3">
      <c r="A576" s="75" t="s">
        <v>1695</v>
      </c>
      <c r="B576" s="75" t="s">
        <v>1696</v>
      </c>
      <c r="C576" s="75" t="s">
        <v>1697</v>
      </c>
      <c r="D576" s="75" t="s">
        <v>13</v>
      </c>
      <c r="E576" s="75" t="s">
        <v>70</v>
      </c>
      <c r="F576" s="75" t="s">
        <v>71</v>
      </c>
    </row>
    <row r="577" spans="1:6" x14ac:dyDescent="0.3">
      <c r="A577" s="75" t="s">
        <v>1698</v>
      </c>
      <c r="B577" s="75" t="s">
        <v>1699</v>
      </c>
      <c r="C577" s="75" t="s">
        <v>1700</v>
      </c>
      <c r="D577" s="75" t="s">
        <v>13</v>
      </c>
      <c r="E577" s="75" t="s">
        <v>70</v>
      </c>
      <c r="F577" s="75" t="s">
        <v>71</v>
      </c>
    </row>
    <row r="578" spans="1:6" x14ac:dyDescent="0.3">
      <c r="A578" s="75" t="s">
        <v>1701</v>
      </c>
      <c r="B578" s="75" t="s">
        <v>1702</v>
      </c>
      <c r="C578" s="75" t="s">
        <v>1703</v>
      </c>
      <c r="D578" s="75" t="s">
        <v>13</v>
      </c>
      <c r="E578" s="75" t="s">
        <v>8</v>
      </c>
      <c r="F578" s="75" t="s">
        <v>27</v>
      </c>
    </row>
    <row r="579" spans="1:6" x14ac:dyDescent="0.3">
      <c r="A579" s="75" t="s">
        <v>1704</v>
      </c>
      <c r="B579" s="75" t="s">
        <v>1705</v>
      </c>
      <c r="C579" s="75" t="s">
        <v>1706</v>
      </c>
      <c r="D579" s="75">
        <v>2012</v>
      </c>
      <c r="E579" s="75" t="s">
        <v>70</v>
      </c>
      <c r="F579" s="75" t="s">
        <v>71</v>
      </c>
    </row>
    <row r="580" spans="1:6" x14ac:dyDescent="0.3">
      <c r="A580" s="75" t="s">
        <v>1707</v>
      </c>
      <c r="B580" s="75" t="s">
        <v>1708</v>
      </c>
      <c r="C580" s="75" t="s">
        <v>1709</v>
      </c>
      <c r="D580" s="75" t="s">
        <v>13</v>
      </c>
      <c r="E580" s="75" t="s">
        <v>8</v>
      </c>
      <c r="F580" s="75" t="s">
        <v>27</v>
      </c>
    </row>
    <row r="581" spans="1:6" x14ac:dyDescent="0.3">
      <c r="A581" s="75" t="s">
        <v>1710</v>
      </c>
      <c r="B581" s="75" t="s">
        <v>1711</v>
      </c>
      <c r="C581" s="75" t="s">
        <v>1712</v>
      </c>
      <c r="D581" s="75" t="s">
        <v>13</v>
      </c>
      <c r="E581" s="75" t="s">
        <v>348</v>
      </c>
      <c r="F581" s="75" t="s">
        <v>1059</v>
      </c>
    </row>
    <row r="582" spans="1:6" x14ac:dyDescent="0.3">
      <c r="A582" s="75" t="s">
        <v>1713</v>
      </c>
      <c r="B582" s="75" t="s">
        <v>1714</v>
      </c>
      <c r="C582" s="75" t="s">
        <v>1715</v>
      </c>
      <c r="D582" s="75" t="s">
        <v>13</v>
      </c>
      <c r="E582" s="75" t="s">
        <v>70</v>
      </c>
      <c r="F582" s="75" t="s">
        <v>671</v>
      </c>
    </row>
    <row r="583" spans="1:6" x14ac:dyDescent="0.3">
      <c r="A583" s="75" t="s">
        <v>1716</v>
      </c>
      <c r="B583" s="75" t="s">
        <v>1717</v>
      </c>
      <c r="C583" s="75" t="s">
        <v>1718</v>
      </c>
      <c r="D583" s="75">
        <v>2015</v>
      </c>
      <c r="E583" s="75" t="s">
        <v>70</v>
      </c>
      <c r="F583" s="75" t="s">
        <v>71</v>
      </c>
    </row>
    <row r="584" spans="1:6" x14ac:dyDescent="0.3">
      <c r="A584" s="75" t="s">
        <v>1719</v>
      </c>
      <c r="B584" s="75" t="s">
        <v>1720</v>
      </c>
      <c r="C584" s="75" t="s">
        <v>1721</v>
      </c>
      <c r="D584" s="75">
        <v>1997</v>
      </c>
      <c r="E584" s="75" t="s">
        <v>18</v>
      </c>
      <c r="F584" s="75" t="s">
        <v>762</v>
      </c>
    </row>
    <row r="585" spans="1:6" x14ac:dyDescent="0.3">
      <c r="A585" s="75" t="s">
        <v>1722</v>
      </c>
      <c r="B585" s="75" t="s">
        <v>1723</v>
      </c>
      <c r="C585" s="75" t="s">
        <v>1724</v>
      </c>
      <c r="D585" s="75">
        <v>2013</v>
      </c>
      <c r="E585" s="75" t="s">
        <v>70</v>
      </c>
      <c r="F585" s="75" t="s">
        <v>71</v>
      </c>
    </row>
    <row r="586" spans="1:6" x14ac:dyDescent="0.3">
      <c r="A586" s="75" t="s">
        <v>1725</v>
      </c>
      <c r="B586" s="75" t="s">
        <v>1726</v>
      </c>
      <c r="C586" s="75" t="s">
        <v>1727</v>
      </c>
      <c r="D586" s="75" t="s">
        <v>13</v>
      </c>
      <c r="E586" s="75" t="s">
        <v>58</v>
      </c>
      <c r="F586" s="75" t="s">
        <v>1728</v>
      </c>
    </row>
    <row r="587" spans="1:6" x14ac:dyDescent="0.3">
      <c r="A587" s="75" t="s">
        <v>1729</v>
      </c>
      <c r="B587" s="75" t="s">
        <v>1730</v>
      </c>
      <c r="C587" s="75" t="s">
        <v>1731</v>
      </c>
      <c r="D587" s="75" t="s">
        <v>13</v>
      </c>
      <c r="E587" s="75" t="s">
        <v>18</v>
      </c>
      <c r="F587" s="75" t="s">
        <v>1732</v>
      </c>
    </row>
    <row r="588" spans="1:6" x14ac:dyDescent="0.3">
      <c r="A588" s="75" t="s">
        <v>1733</v>
      </c>
      <c r="B588" s="75" t="s">
        <v>1734</v>
      </c>
      <c r="C588" s="75" t="s">
        <v>1735</v>
      </c>
      <c r="D588" s="75" t="s">
        <v>13</v>
      </c>
      <c r="E588" s="75" t="s">
        <v>53</v>
      </c>
      <c r="F588" s="75" t="s">
        <v>193</v>
      </c>
    </row>
    <row r="589" spans="1:6" x14ac:dyDescent="0.3">
      <c r="A589" s="75" t="s">
        <v>1736</v>
      </c>
      <c r="B589" s="75" t="s">
        <v>1737</v>
      </c>
      <c r="C589" s="75" t="s">
        <v>1738</v>
      </c>
      <c r="D589" s="75" t="s">
        <v>13</v>
      </c>
      <c r="E589" s="75" t="s">
        <v>70</v>
      </c>
      <c r="F589" s="75" t="s">
        <v>118</v>
      </c>
    </row>
    <row r="590" spans="1:6" x14ac:dyDescent="0.3">
      <c r="A590" s="75" t="s">
        <v>1739</v>
      </c>
      <c r="B590" s="75" t="s">
        <v>1740</v>
      </c>
      <c r="C590" s="75" t="s">
        <v>1741</v>
      </c>
      <c r="D590" s="75" t="s">
        <v>13</v>
      </c>
      <c r="E590" s="75" t="s">
        <v>53</v>
      </c>
      <c r="F590" s="75" t="s">
        <v>1368</v>
      </c>
    </row>
    <row r="591" spans="1:6" x14ac:dyDescent="0.3">
      <c r="A591" s="75" t="s">
        <v>1742</v>
      </c>
      <c r="B591" s="75" t="s">
        <v>1743</v>
      </c>
      <c r="C591" s="75" t="s">
        <v>1744</v>
      </c>
      <c r="D591" s="75">
        <v>2013</v>
      </c>
      <c r="E591" s="75" t="s">
        <v>8</v>
      </c>
      <c r="F591" s="75" t="s">
        <v>27</v>
      </c>
    </row>
    <row r="592" spans="1:6" x14ac:dyDescent="0.3">
      <c r="A592" s="75" t="s">
        <v>1745</v>
      </c>
      <c r="B592" s="75" t="s">
        <v>1746</v>
      </c>
      <c r="C592" s="75" t="s">
        <v>1747</v>
      </c>
      <c r="D592" s="75">
        <v>2015</v>
      </c>
      <c r="E592" s="75" t="s">
        <v>96</v>
      </c>
      <c r="F592" s="75" t="s">
        <v>76</v>
      </c>
    </row>
    <row r="593" spans="1:6" x14ac:dyDescent="0.3">
      <c r="A593" s="75" t="s">
        <v>1748</v>
      </c>
      <c r="B593" s="75" t="s">
        <v>1749</v>
      </c>
      <c r="C593" s="75" t="s">
        <v>1750</v>
      </c>
      <c r="D593" s="75">
        <v>2004</v>
      </c>
      <c r="E593" s="75" t="s">
        <v>8</v>
      </c>
      <c r="F593" s="75" t="s">
        <v>1093</v>
      </c>
    </row>
    <row r="594" spans="1:6" x14ac:dyDescent="0.3">
      <c r="A594" s="75" t="s">
        <v>1751</v>
      </c>
      <c r="B594" s="75" t="s">
        <v>1752</v>
      </c>
      <c r="C594" s="75" t="s">
        <v>1753</v>
      </c>
      <c r="D594" s="75" t="s">
        <v>13</v>
      </c>
      <c r="E594" s="75" t="s">
        <v>8</v>
      </c>
      <c r="F594" s="75" t="s">
        <v>1261</v>
      </c>
    </row>
    <row r="595" spans="1:6" x14ac:dyDescent="0.3">
      <c r="A595" s="75" t="s">
        <v>1754</v>
      </c>
      <c r="B595" s="75" t="s">
        <v>1755</v>
      </c>
      <c r="C595" s="75" t="s">
        <v>1756</v>
      </c>
      <c r="D595" s="75" t="s">
        <v>13</v>
      </c>
      <c r="E595" s="75" t="s">
        <v>31</v>
      </c>
      <c r="F595" s="75" t="s">
        <v>36</v>
      </c>
    </row>
    <row r="596" spans="1:6" x14ac:dyDescent="0.3">
      <c r="A596" s="75" t="s">
        <v>1757</v>
      </c>
      <c r="B596" s="75" t="s">
        <v>1758</v>
      </c>
      <c r="C596" s="75" t="s">
        <v>13</v>
      </c>
      <c r="D596" s="75">
        <v>2017</v>
      </c>
      <c r="E596" s="75" t="s">
        <v>18</v>
      </c>
      <c r="F596" s="75" t="s">
        <v>1032</v>
      </c>
    </row>
    <row r="597" spans="1:6" x14ac:dyDescent="0.3">
      <c r="A597" s="75" t="s">
        <v>1759</v>
      </c>
      <c r="B597" s="75" t="s">
        <v>1760</v>
      </c>
      <c r="C597" s="75" t="s">
        <v>1761</v>
      </c>
      <c r="D597" s="75" t="s">
        <v>13</v>
      </c>
      <c r="E597" s="75" t="s">
        <v>518</v>
      </c>
      <c r="F597" s="75" t="s">
        <v>1762</v>
      </c>
    </row>
    <row r="598" spans="1:6" x14ac:dyDescent="0.3">
      <c r="A598" s="75" t="s">
        <v>1763</v>
      </c>
      <c r="B598" s="75" t="s">
        <v>1764</v>
      </c>
      <c r="C598" s="75" t="s">
        <v>1765</v>
      </c>
      <c r="D598" s="75">
        <v>2014</v>
      </c>
      <c r="E598" s="75" t="s">
        <v>8</v>
      </c>
      <c r="F598" s="75" t="s">
        <v>1766</v>
      </c>
    </row>
    <row r="599" spans="1:6" x14ac:dyDescent="0.3">
      <c r="A599" s="75" t="s">
        <v>1767</v>
      </c>
      <c r="B599" s="75" t="s">
        <v>1768</v>
      </c>
      <c r="C599" s="75" t="s">
        <v>1769</v>
      </c>
      <c r="D599" s="75">
        <v>2010</v>
      </c>
      <c r="E599" s="75" t="s">
        <v>18</v>
      </c>
      <c r="F599" s="75" t="s">
        <v>1361</v>
      </c>
    </row>
    <row r="600" spans="1:6" x14ac:dyDescent="0.3">
      <c r="A600" s="75" t="s">
        <v>1770</v>
      </c>
      <c r="B600" s="75" t="s">
        <v>1771</v>
      </c>
      <c r="C600" s="75" t="s">
        <v>1772</v>
      </c>
      <c r="D600" s="75" t="s">
        <v>13</v>
      </c>
      <c r="E600" s="75" t="s">
        <v>58</v>
      </c>
      <c r="F600" s="75" t="s">
        <v>1773</v>
      </c>
    </row>
    <row r="601" spans="1:6" x14ac:dyDescent="0.3">
      <c r="A601" s="75" t="s">
        <v>1774</v>
      </c>
      <c r="B601" s="75" t="s">
        <v>1775</v>
      </c>
      <c r="C601" s="75" t="s">
        <v>1776</v>
      </c>
      <c r="D601" s="75" t="s">
        <v>13</v>
      </c>
      <c r="E601" s="75" t="s">
        <v>96</v>
      </c>
      <c r="F601" s="75" t="s">
        <v>76</v>
      </c>
    </row>
    <row r="602" spans="1:6" x14ac:dyDescent="0.3">
      <c r="A602" s="75" t="s">
        <v>1777</v>
      </c>
      <c r="B602" s="75" t="s">
        <v>1778</v>
      </c>
      <c r="C602" s="75" t="s">
        <v>1779</v>
      </c>
      <c r="D602" s="75">
        <v>2005</v>
      </c>
      <c r="E602" s="75" t="s">
        <v>13</v>
      </c>
      <c r="F602" s="75" t="s">
        <v>13</v>
      </c>
    </row>
    <row r="603" spans="1:6" x14ac:dyDescent="0.3">
      <c r="A603" s="75" t="s">
        <v>1780</v>
      </c>
      <c r="B603" s="75" t="s">
        <v>1781</v>
      </c>
      <c r="C603" s="75" t="s">
        <v>1782</v>
      </c>
      <c r="D603" s="75" t="s">
        <v>13</v>
      </c>
      <c r="E603" s="75" t="s">
        <v>53</v>
      </c>
      <c r="F603" s="75" t="s">
        <v>1642</v>
      </c>
    </row>
    <row r="604" spans="1:6" x14ac:dyDescent="0.3">
      <c r="A604" s="75" t="s">
        <v>1783</v>
      </c>
      <c r="B604" s="75" t="s">
        <v>1784</v>
      </c>
      <c r="C604" s="75" t="s">
        <v>1785</v>
      </c>
      <c r="D604" s="75">
        <v>2010</v>
      </c>
      <c r="E604" s="75" t="s">
        <v>31</v>
      </c>
      <c r="F604" s="75" t="s">
        <v>161</v>
      </c>
    </row>
    <row r="605" spans="1:6" x14ac:dyDescent="0.3">
      <c r="A605" s="75" t="s">
        <v>1786</v>
      </c>
      <c r="B605" s="75" t="s">
        <v>1787</v>
      </c>
      <c r="C605" s="75" t="s">
        <v>1788</v>
      </c>
      <c r="D605" s="75" t="s">
        <v>13</v>
      </c>
      <c r="E605" s="75" t="s">
        <v>31</v>
      </c>
      <c r="F605" s="75" t="s">
        <v>32</v>
      </c>
    </row>
    <row r="606" spans="1:6" x14ac:dyDescent="0.3">
      <c r="A606" s="75" t="s">
        <v>1789</v>
      </c>
      <c r="B606" s="75" t="s">
        <v>1790</v>
      </c>
      <c r="C606" s="75" t="s">
        <v>1791</v>
      </c>
      <c r="D606" s="75" t="s">
        <v>13</v>
      </c>
      <c r="E606" s="75" t="s">
        <v>31</v>
      </c>
      <c r="F606" s="75" t="s">
        <v>92</v>
      </c>
    </row>
    <row r="607" spans="1:6" x14ac:dyDescent="0.3">
      <c r="A607" s="75" t="s">
        <v>1792</v>
      </c>
      <c r="B607" s="75" t="s">
        <v>1793</v>
      </c>
      <c r="C607" s="75" t="s">
        <v>371</v>
      </c>
      <c r="D607" s="75" t="s">
        <v>13</v>
      </c>
      <c r="E607" s="75" t="s">
        <v>518</v>
      </c>
      <c r="F607" s="75" t="s">
        <v>1762</v>
      </c>
    </row>
    <row r="608" spans="1:6" x14ac:dyDescent="0.3">
      <c r="A608" s="75" t="s">
        <v>1794</v>
      </c>
      <c r="B608" s="75" t="s">
        <v>1795</v>
      </c>
      <c r="C608" s="75" t="s">
        <v>13</v>
      </c>
      <c r="D608" s="75" t="s">
        <v>13</v>
      </c>
      <c r="E608" s="75" t="s">
        <v>18</v>
      </c>
      <c r="F608" s="75" t="s">
        <v>349</v>
      </c>
    </row>
    <row r="609" spans="1:6" x14ac:dyDescent="0.3">
      <c r="A609" s="75" t="s">
        <v>1796</v>
      </c>
      <c r="B609" s="75" t="s">
        <v>1795</v>
      </c>
      <c r="C609" s="75" t="s">
        <v>1797</v>
      </c>
      <c r="D609" s="75" t="s">
        <v>13</v>
      </c>
      <c r="E609" s="75" t="s">
        <v>18</v>
      </c>
      <c r="F609" s="75" t="s">
        <v>349</v>
      </c>
    </row>
    <row r="610" spans="1:6" x14ac:dyDescent="0.3">
      <c r="A610" s="75" t="s">
        <v>1798</v>
      </c>
      <c r="B610" s="75" t="s">
        <v>1795</v>
      </c>
      <c r="C610" s="75" t="s">
        <v>1799</v>
      </c>
      <c r="D610" s="75" t="s">
        <v>13</v>
      </c>
      <c r="E610" s="75" t="s">
        <v>18</v>
      </c>
      <c r="F610" s="75" t="s">
        <v>349</v>
      </c>
    </row>
    <row r="611" spans="1:6" x14ac:dyDescent="0.3">
      <c r="A611" s="75" t="s">
        <v>1800</v>
      </c>
      <c r="B611" s="75" t="s">
        <v>1795</v>
      </c>
      <c r="C611" s="75" t="s">
        <v>1801</v>
      </c>
      <c r="D611" s="75" t="s">
        <v>13</v>
      </c>
      <c r="E611" s="75" t="s">
        <v>18</v>
      </c>
      <c r="F611" s="75" t="s">
        <v>349</v>
      </c>
    </row>
    <row r="612" spans="1:6" x14ac:dyDescent="0.3">
      <c r="A612" s="75" t="s">
        <v>1802</v>
      </c>
      <c r="B612" s="75" t="s">
        <v>1795</v>
      </c>
      <c r="C612" s="75" t="s">
        <v>1803</v>
      </c>
      <c r="D612" s="75" t="s">
        <v>13</v>
      </c>
      <c r="E612" s="75" t="s">
        <v>18</v>
      </c>
      <c r="F612" s="75" t="s">
        <v>349</v>
      </c>
    </row>
    <row r="613" spans="1:6" x14ac:dyDescent="0.3">
      <c r="A613" s="75" t="s">
        <v>1804</v>
      </c>
      <c r="B613" s="75" t="s">
        <v>1805</v>
      </c>
      <c r="C613" s="75" t="s">
        <v>1806</v>
      </c>
      <c r="D613" s="75" t="s">
        <v>13</v>
      </c>
      <c r="E613" s="75" t="s">
        <v>18</v>
      </c>
      <c r="F613" s="75" t="s">
        <v>379</v>
      </c>
    </row>
    <row r="614" spans="1:6" x14ac:dyDescent="0.3">
      <c r="A614" s="75" t="s">
        <v>1807</v>
      </c>
      <c r="B614" s="75" t="s">
        <v>1808</v>
      </c>
      <c r="C614" s="75" t="s">
        <v>1809</v>
      </c>
      <c r="D614" s="75">
        <v>2012</v>
      </c>
      <c r="E614" s="75" t="s">
        <v>18</v>
      </c>
      <c r="F614" s="75" t="s">
        <v>729</v>
      </c>
    </row>
    <row r="615" spans="1:6" x14ac:dyDescent="0.3">
      <c r="A615" s="75" t="s">
        <v>1810</v>
      </c>
      <c r="B615" s="75" t="s">
        <v>1811</v>
      </c>
      <c r="C615" s="75" t="s">
        <v>1812</v>
      </c>
      <c r="D615" s="75">
        <v>2015</v>
      </c>
      <c r="E615" s="75" t="s">
        <v>70</v>
      </c>
      <c r="F615" s="75" t="s">
        <v>118</v>
      </c>
    </row>
    <row r="616" spans="1:6" x14ac:dyDescent="0.3">
      <c r="A616" s="75" t="s">
        <v>1813</v>
      </c>
      <c r="B616" s="75" t="s">
        <v>1814</v>
      </c>
      <c r="C616" s="75" t="s">
        <v>1815</v>
      </c>
      <c r="D616" s="75" t="s">
        <v>13</v>
      </c>
      <c r="E616" s="75" t="s">
        <v>18</v>
      </c>
      <c r="F616" s="75" t="s">
        <v>266</v>
      </c>
    </row>
    <row r="617" spans="1:6" x14ac:dyDescent="0.3">
      <c r="A617" s="75" t="s">
        <v>1816</v>
      </c>
      <c r="B617" s="75" t="s">
        <v>1817</v>
      </c>
      <c r="C617" s="75" t="s">
        <v>1818</v>
      </c>
      <c r="D617" s="75" t="s">
        <v>13</v>
      </c>
      <c r="E617" s="75" t="s">
        <v>96</v>
      </c>
      <c r="F617" s="75" t="s">
        <v>1420</v>
      </c>
    </row>
    <row r="618" spans="1:6" x14ac:dyDescent="0.3">
      <c r="A618" s="75" t="s">
        <v>1819</v>
      </c>
      <c r="B618" s="75" t="s">
        <v>1820</v>
      </c>
      <c r="C618" s="75" t="s">
        <v>1821</v>
      </c>
      <c r="D618" s="75" t="s">
        <v>13</v>
      </c>
      <c r="E618" s="75" t="s">
        <v>8</v>
      </c>
      <c r="F618" s="75" t="s">
        <v>9</v>
      </c>
    </row>
    <row r="619" spans="1:6" x14ac:dyDescent="0.3">
      <c r="A619" s="75" t="s">
        <v>1822</v>
      </c>
      <c r="B619" s="75" t="s">
        <v>1823</v>
      </c>
      <c r="C619" s="75" t="s">
        <v>1824</v>
      </c>
      <c r="D619" s="75" t="s">
        <v>13</v>
      </c>
      <c r="E619" s="75" t="s">
        <v>18</v>
      </c>
      <c r="F619" s="75" t="s">
        <v>1825</v>
      </c>
    </row>
    <row r="620" spans="1:6" x14ac:dyDescent="0.3">
      <c r="A620" s="75" t="s">
        <v>1826</v>
      </c>
      <c r="B620" s="75" t="s">
        <v>1827</v>
      </c>
      <c r="C620" s="75" t="s">
        <v>1828</v>
      </c>
      <c r="D620" s="75">
        <v>1983</v>
      </c>
      <c r="E620" s="75" t="s">
        <v>348</v>
      </c>
      <c r="F620" s="75" t="s">
        <v>1059</v>
      </c>
    </row>
    <row r="621" spans="1:6" x14ac:dyDescent="0.3">
      <c r="A621" s="75" t="s">
        <v>1829</v>
      </c>
      <c r="B621" s="75" t="s">
        <v>1830</v>
      </c>
      <c r="C621" s="75" t="s">
        <v>1831</v>
      </c>
      <c r="D621" s="75">
        <v>1989</v>
      </c>
      <c r="E621" s="75" t="s">
        <v>31</v>
      </c>
      <c r="F621" s="75" t="s">
        <v>92</v>
      </c>
    </row>
    <row r="622" spans="1:6" x14ac:dyDescent="0.3">
      <c r="A622" s="75" t="s">
        <v>1832</v>
      </c>
      <c r="B622" s="75" t="s">
        <v>1833</v>
      </c>
      <c r="C622" s="75" t="s">
        <v>1834</v>
      </c>
      <c r="D622" s="75">
        <v>1990</v>
      </c>
      <c r="E622" s="75" t="s">
        <v>31</v>
      </c>
      <c r="F622" s="75" t="s">
        <v>395</v>
      </c>
    </row>
    <row r="623" spans="1:6" x14ac:dyDescent="0.3">
      <c r="A623" s="75" t="s">
        <v>1835</v>
      </c>
      <c r="B623" s="75" t="s">
        <v>1836</v>
      </c>
      <c r="C623" s="75" t="s">
        <v>1837</v>
      </c>
      <c r="D623" s="75">
        <v>2005</v>
      </c>
      <c r="E623" s="75" t="s">
        <v>18</v>
      </c>
      <c r="F623" s="75" t="s">
        <v>762</v>
      </c>
    </row>
    <row r="624" spans="1:6" x14ac:dyDescent="0.3">
      <c r="A624" s="75" t="s">
        <v>1838</v>
      </c>
      <c r="B624" s="75" t="s">
        <v>1839</v>
      </c>
      <c r="C624" s="75" t="s">
        <v>1840</v>
      </c>
      <c r="D624" s="75" t="s">
        <v>13</v>
      </c>
      <c r="E624" s="75" t="s">
        <v>70</v>
      </c>
      <c r="F624" s="75" t="s">
        <v>71</v>
      </c>
    </row>
    <row r="625" spans="1:6" x14ac:dyDescent="0.3">
      <c r="A625" s="75" t="s">
        <v>1841</v>
      </c>
      <c r="B625" s="75" t="s">
        <v>1839</v>
      </c>
      <c r="C625" s="75" t="s">
        <v>13</v>
      </c>
      <c r="D625" s="75" t="s">
        <v>13</v>
      </c>
      <c r="E625" s="75" t="s">
        <v>70</v>
      </c>
      <c r="F625" s="75" t="s">
        <v>71</v>
      </c>
    </row>
    <row r="626" spans="1:6" x14ac:dyDescent="0.3">
      <c r="A626" s="75" t="s">
        <v>1842</v>
      </c>
      <c r="B626" s="75" t="s">
        <v>1843</v>
      </c>
      <c r="C626" s="75" t="s">
        <v>1844</v>
      </c>
      <c r="D626" s="75" t="s">
        <v>13</v>
      </c>
      <c r="E626" s="75" t="s">
        <v>8</v>
      </c>
      <c r="F626" s="75" t="s">
        <v>27</v>
      </c>
    </row>
    <row r="627" spans="1:6" x14ac:dyDescent="0.3">
      <c r="A627" s="75" t="s">
        <v>1845</v>
      </c>
      <c r="B627" s="75" t="s">
        <v>1846</v>
      </c>
      <c r="C627" s="75" t="s">
        <v>1847</v>
      </c>
      <c r="D627" s="75" t="s">
        <v>13</v>
      </c>
      <c r="E627" s="75" t="s">
        <v>8</v>
      </c>
      <c r="F627" s="75" t="s">
        <v>23</v>
      </c>
    </row>
    <row r="628" spans="1:6" x14ac:dyDescent="0.3">
      <c r="A628" s="75" t="s">
        <v>1848</v>
      </c>
      <c r="B628" s="75" t="s">
        <v>1849</v>
      </c>
      <c r="C628" s="75" t="s">
        <v>1850</v>
      </c>
      <c r="D628" s="75" t="s">
        <v>13</v>
      </c>
      <c r="E628" s="75" t="s">
        <v>8</v>
      </c>
      <c r="F628" s="75" t="s">
        <v>27</v>
      </c>
    </row>
    <row r="629" spans="1:6" x14ac:dyDescent="0.3">
      <c r="A629" s="75" t="s">
        <v>1851</v>
      </c>
      <c r="B629" s="75" t="s">
        <v>1852</v>
      </c>
      <c r="C629" s="75" t="s">
        <v>1853</v>
      </c>
      <c r="D629" s="75" t="s">
        <v>13</v>
      </c>
      <c r="E629" s="75" t="s">
        <v>8</v>
      </c>
      <c r="F629" s="75" t="s">
        <v>27</v>
      </c>
    </row>
    <row r="630" spans="1:6" x14ac:dyDescent="0.3">
      <c r="A630" s="75" t="s">
        <v>1854</v>
      </c>
      <c r="B630" s="75" t="s">
        <v>1855</v>
      </c>
      <c r="C630" s="75" t="s">
        <v>1856</v>
      </c>
      <c r="D630" s="75">
        <v>1995</v>
      </c>
      <c r="E630" s="75" t="s">
        <v>31</v>
      </c>
      <c r="F630" s="75" t="s">
        <v>36</v>
      </c>
    </row>
    <row r="631" spans="1:6" x14ac:dyDescent="0.3">
      <c r="A631" s="75" t="s">
        <v>1857</v>
      </c>
      <c r="B631" s="75" t="s">
        <v>1858</v>
      </c>
      <c r="C631" s="75" t="s">
        <v>1430</v>
      </c>
      <c r="D631" s="75" t="s">
        <v>13</v>
      </c>
      <c r="E631" s="75" t="s">
        <v>8</v>
      </c>
      <c r="F631" s="75" t="s">
        <v>27</v>
      </c>
    </row>
    <row r="632" spans="1:6" x14ac:dyDescent="0.3">
      <c r="A632" s="75" t="s">
        <v>1859</v>
      </c>
      <c r="B632" s="75" t="s">
        <v>1860</v>
      </c>
      <c r="C632" s="75" t="s">
        <v>1861</v>
      </c>
      <c r="D632" s="75" t="s">
        <v>13</v>
      </c>
      <c r="E632" s="75" t="s">
        <v>8</v>
      </c>
      <c r="F632" s="75" t="s">
        <v>27</v>
      </c>
    </row>
    <row r="633" spans="1:6" x14ac:dyDescent="0.3">
      <c r="A633" s="75" t="s">
        <v>1862</v>
      </c>
      <c r="B633" s="75" t="s">
        <v>1860</v>
      </c>
      <c r="C633" s="75" t="s">
        <v>13</v>
      </c>
      <c r="D633" s="75" t="s">
        <v>13</v>
      </c>
      <c r="E633" s="75" t="s">
        <v>8</v>
      </c>
      <c r="F633" s="75" t="s">
        <v>27</v>
      </c>
    </row>
    <row r="634" spans="1:6" x14ac:dyDescent="0.3">
      <c r="A634" s="75" t="s">
        <v>1863</v>
      </c>
      <c r="B634" s="75" t="s">
        <v>1864</v>
      </c>
      <c r="C634" s="75" t="s">
        <v>1865</v>
      </c>
      <c r="D634" s="75" t="s">
        <v>13</v>
      </c>
      <c r="E634" s="75" t="s">
        <v>53</v>
      </c>
      <c r="F634" s="75" t="s">
        <v>1569</v>
      </c>
    </row>
    <row r="635" spans="1:6" x14ac:dyDescent="0.3">
      <c r="A635" s="75" t="s">
        <v>1866</v>
      </c>
      <c r="B635" s="75" t="s">
        <v>1867</v>
      </c>
      <c r="C635" s="75" t="s">
        <v>1868</v>
      </c>
      <c r="D635" s="75">
        <v>2007</v>
      </c>
      <c r="E635" s="75" t="s">
        <v>44</v>
      </c>
      <c r="F635" s="75" t="s">
        <v>702</v>
      </c>
    </row>
    <row r="636" spans="1:6" x14ac:dyDescent="0.3">
      <c r="A636" s="75" t="s">
        <v>1869</v>
      </c>
      <c r="B636" s="75" t="s">
        <v>1870</v>
      </c>
      <c r="C636" s="75" t="s">
        <v>1871</v>
      </c>
      <c r="D636" s="75" t="s">
        <v>13</v>
      </c>
      <c r="E636" s="75" t="s">
        <v>31</v>
      </c>
      <c r="F636" s="75" t="s">
        <v>63</v>
      </c>
    </row>
    <row r="637" spans="1:6" x14ac:dyDescent="0.3">
      <c r="A637" s="75" t="s">
        <v>1872</v>
      </c>
      <c r="B637" s="75" t="s">
        <v>1873</v>
      </c>
      <c r="C637" s="75" t="s">
        <v>13</v>
      </c>
      <c r="D637" s="75" t="s">
        <v>13</v>
      </c>
      <c r="E637" s="75" t="s">
        <v>13</v>
      </c>
      <c r="F637" s="75" t="s">
        <v>13</v>
      </c>
    </row>
    <row r="638" spans="1:6" x14ac:dyDescent="0.3">
      <c r="A638" s="75" t="s">
        <v>1874</v>
      </c>
      <c r="B638" s="75" t="s">
        <v>1875</v>
      </c>
      <c r="C638" s="75" t="s">
        <v>13</v>
      </c>
      <c r="D638" s="75" t="s">
        <v>13</v>
      </c>
      <c r="E638" s="75" t="s">
        <v>13</v>
      </c>
      <c r="F638" s="75" t="s">
        <v>13</v>
      </c>
    </row>
    <row r="639" spans="1:6" x14ac:dyDescent="0.3">
      <c r="A639" s="75" t="s">
        <v>1876</v>
      </c>
      <c r="B639" s="75" t="s">
        <v>1877</v>
      </c>
      <c r="C639" s="75" t="s">
        <v>13</v>
      </c>
      <c r="D639" s="75" t="s">
        <v>13</v>
      </c>
      <c r="E639" s="75" t="s">
        <v>13</v>
      </c>
      <c r="F639" s="75" t="s">
        <v>13</v>
      </c>
    </row>
    <row r="640" spans="1:6" x14ac:dyDescent="0.3">
      <c r="A640" s="75" t="s">
        <v>1878</v>
      </c>
      <c r="B640" s="75" t="s">
        <v>1879</v>
      </c>
      <c r="C640" s="75" t="s">
        <v>1880</v>
      </c>
      <c r="D640" s="75" t="s">
        <v>13</v>
      </c>
      <c r="E640" s="75" t="s">
        <v>44</v>
      </c>
      <c r="F640" s="75" t="s">
        <v>49</v>
      </c>
    </row>
    <row r="641" spans="1:6" x14ac:dyDescent="0.3">
      <c r="A641" s="75" t="s">
        <v>1881</v>
      </c>
      <c r="B641" s="75" t="s">
        <v>1882</v>
      </c>
      <c r="C641" s="75" t="s">
        <v>1883</v>
      </c>
      <c r="D641" s="75" t="s">
        <v>13</v>
      </c>
      <c r="E641" s="75" t="s">
        <v>44</v>
      </c>
      <c r="F641" s="75" t="s">
        <v>49</v>
      </c>
    </row>
    <row r="642" spans="1:6" x14ac:dyDescent="0.3">
      <c r="A642" s="75" t="s">
        <v>1884</v>
      </c>
      <c r="B642" s="75" t="s">
        <v>1885</v>
      </c>
      <c r="C642" s="75" t="s">
        <v>1886</v>
      </c>
      <c r="D642" s="75">
        <v>2016</v>
      </c>
      <c r="E642" s="75" t="s">
        <v>70</v>
      </c>
      <c r="F642" s="75" t="s">
        <v>71</v>
      </c>
    </row>
    <row r="643" spans="1:6" x14ac:dyDescent="0.3">
      <c r="A643" s="75" t="s">
        <v>1887</v>
      </c>
      <c r="B643" s="75" t="s">
        <v>1888</v>
      </c>
      <c r="C643" s="75" t="s">
        <v>1889</v>
      </c>
      <c r="D643" s="75">
        <v>2012</v>
      </c>
      <c r="E643" s="75" t="s">
        <v>53</v>
      </c>
      <c r="F643" s="75" t="s">
        <v>63</v>
      </c>
    </row>
    <row r="644" spans="1:6" x14ac:dyDescent="0.3">
      <c r="A644" s="75" t="s">
        <v>1890</v>
      </c>
      <c r="B644" s="75" t="s">
        <v>1888</v>
      </c>
      <c r="C644" s="75" t="s">
        <v>13</v>
      </c>
      <c r="D644" s="75" t="s">
        <v>13</v>
      </c>
      <c r="E644" s="75" t="s">
        <v>53</v>
      </c>
      <c r="F644" s="75" t="s">
        <v>63</v>
      </c>
    </row>
    <row r="645" spans="1:6" x14ac:dyDescent="0.3">
      <c r="A645" s="75" t="s">
        <v>1891</v>
      </c>
      <c r="B645" s="75" t="s">
        <v>1892</v>
      </c>
      <c r="C645" s="75" t="s">
        <v>1893</v>
      </c>
      <c r="D645" s="75">
        <v>2017</v>
      </c>
      <c r="E645" s="75" t="s">
        <v>70</v>
      </c>
      <c r="F645" s="75" t="s">
        <v>71</v>
      </c>
    </row>
    <row r="646" spans="1:6" x14ac:dyDescent="0.3">
      <c r="A646" s="75" t="s">
        <v>1894</v>
      </c>
      <c r="B646" s="75" t="s">
        <v>1895</v>
      </c>
      <c r="C646" s="75" t="s">
        <v>1896</v>
      </c>
      <c r="D646" s="75">
        <v>2006</v>
      </c>
      <c r="E646" s="75" t="s">
        <v>70</v>
      </c>
      <c r="F646" s="75" t="s">
        <v>326</v>
      </c>
    </row>
    <row r="647" spans="1:6" x14ac:dyDescent="0.3">
      <c r="A647" s="75" t="s">
        <v>1897</v>
      </c>
      <c r="B647" s="75" t="s">
        <v>1898</v>
      </c>
      <c r="C647" s="75" t="s">
        <v>1899</v>
      </c>
      <c r="D647" s="75" t="s">
        <v>13</v>
      </c>
      <c r="E647" s="75" t="s">
        <v>8</v>
      </c>
      <c r="F647" s="75" t="s">
        <v>23</v>
      </c>
    </row>
    <row r="648" spans="1:6" x14ac:dyDescent="0.3">
      <c r="A648" s="75" t="s">
        <v>1900</v>
      </c>
      <c r="B648" s="75" t="s">
        <v>1901</v>
      </c>
      <c r="C648" s="75" t="s">
        <v>1902</v>
      </c>
      <c r="D648" s="75">
        <v>2011</v>
      </c>
      <c r="E648" s="75" t="s">
        <v>70</v>
      </c>
      <c r="F648" s="75" t="s">
        <v>71</v>
      </c>
    </row>
    <row r="649" spans="1:6" x14ac:dyDescent="0.3">
      <c r="A649" s="75" t="s">
        <v>1903</v>
      </c>
      <c r="B649" s="75" t="s">
        <v>1904</v>
      </c>
      <c r="C649" s="75" t="s">
        <v>1905</v>
      </c>
      <c r="D649" s="75">
        <v>2014</v>
      </c>
      <c r="E649" s="75" t="s">
        <v>13</v>
      </c>
      <c r="F649" s="75" t="s">
        <v>13</v>
      </c>
    </row>
    <row r="650" spans="1:6" x14ac:dyDescent="0.3">
      <c r="A650" s="75" t="s">
        <v>1906</v>
      </c>
      <c r="B650" s="75" t="s">
        <v>1907</v>
      </c>
      <c r="C650" s="75" t="s">
        <v>1908</v>
      </c>
      <c r="D650" s="75">
        <v>2002</v>
      </c>
      <c r="E650" s="75" t="s">
        <v>8</v>
      </c>
      <c r="F650" s="75" t="s">
        <v>1093</v>
      </c>
    </row>
    <row r="651" spans="1:6" x14ac:dyDescent="0.3">
      <c r="A651" s="75" t="s">
        <v>1909</v>
      </c>
      <c r="B651" s="75" t="s">
        <v>1910</v>
      </c>
      <c r="C651" s="75" t="s">
        <v>1911</v>
      </c>
      <c r="D651" s="75" t="s">
        <v>13</v>
      </c>
      <c r="E651" s="75" t="s">
        <v>8</v>
      </c>
      <c r="F651" s="75" t="s">
        <v>27</v>
      </c>
    </row>
    <row r="652" spans="1:6" x14ac:dyDescent="0.3">
      <c r="A652" s="75" t="s">
        <v>1912</v>
      </c>
      <c r="B652" s="75" t="s">
        <v>1913</v>
      </c>
      <c r="C652" s="75" t="s">
        <v>1914</v>
      </c>
      <c r="D652" s="75">
        <v>2014</v>
      </c>
      <c r="E652" s="75" t="s">
        <v>8</v>
      </c>
      <c r="F652" s="75" t="s">
        <v>23</v>
      </c>
    </row>
    <row r="653" spans="1:6" x14ac:dyDescent="0.3">
      <c r="A653" s="75" t="s">
        <v>1915</v>
      </c>
      <c r="B653" s="75" t="s">
        <v>1916</v>
      </c>
      <c r="C653" s="75" t="s">
        <v>1917</v>
      </c>
      <c r="D653" s="75">
        <v>1998</v>
      </c>
      <c r="E653" s="75" t="s">
        <v>8</v>
      </c>
      <c r="F653" s="75" t="s">
        <v>27</v>
      </c>
    </row>
    <row r="654" spans="1:6" x14ac:dyDescent="0.3">
      <c r="A654" s="75" t="s">
        <v>1918</v>
      </c>
      <c r="B654" s="75" t="s">
        <v>1919</v>
      </c>
      <c r="C654" s="75" t="s">
        <v>1920</v>
      </c>
      <c r="D654" s="75">
        <v>1972</v>
      </c>
      <c r="E654" s="75" t="s">
        <v>348</v>
      </c>
      <c r="F654" s="75" t="s">
        <v>1598</v>
      </c>
    </row>
    <row r="655" spans="1:6" x14ac:dyDescent="0.3">
      <c r="A655" s="75" t="s">
        <v>1921</v>
      </c>
      <c r="B655" s="75" t="s">
        <v>1922</v>
      </c>
      <c r="C655" s="75" t="s">
        <v>1923</v>
      </c>
      <c r="D655" s="75" t="s">
        <v>13</v>
      </c>
      <c r="E655" s="75" t="s">
        <v>53</v>
      </c>
      <c r="F655" s="75" t="s">
        <v>63</v>
      </c>
    </row>
    <row r="656" spans="1:6" x14ac:dyDescent="0.3">
      <c r="A656" s="75" t="s">
        <v>1924</v>
      </c>
      <c r="B656" s="75" t="s">
        <v>1925</v>
      </c>
      <c r="C656" s="75" t="s">
        <v>1926</v>
      </c>
      <c r="D656" s="75">
        <v>2010</v>
      </c>
      <c r="E656" s="75" t="s">
        <v>58</v>
      </c>
      <c r="F656" s="75" t="s">
        <v>59</v>
      </c>
    </row>
    <row r="657" spans="1:6" x14ac:dyDescent="0.3">
      <c r="A657" s="75" t="s">
        <v>1927</v>
      </c>
      <c r="B657" s="75" t="s">
        <v>1928</v>
      </c>
      <c r="C657" s="75" t="s">
        <v>1929</v>
      </c>
      <c r="D657" s="75">
        <v>2017</v>
      </c>
      <c r="E657" s="75" t="s">
        <v>70</v>
      </c>
      <c r="F657" s="75" t="s">
        <v>80</v>
      </c>
    </row>
    <row r="658" spans="1:6" x14ac:dyDescent="0.3">
      <c r="A658" s="75" t="s">
        <v>1930</v>
      </c>
      <c r="B658" s="75" t="s">
        <v>1931</v>
      </c>
      <c r="C658" s="75" t="s">
        <v>1932</v>
      </c>
      <c r="D658" s="75" t="s">
        <v>13</v>
      </c>
      <c r="E658" s="75" t="s">
        <v>8</v>
      </c>
      <c r="F658" s="75" t="s">
        <v>23</v>
      </c>
    </row>
    <row r="659" spans="1:6" x14ac:dyDescent="0.3">
      <c r="A659" s="75" t="s">
        <v>1933</v>
      </c>
      <c r="B659" s="75" t="s">
        <v>1934</v>
      </c>
      <c r="C659" s="75" t="s">
        <v>1935</v>
      </c>
      <c r="D659" s="75">
        <v>2005</v>
      </c>
      <c r="E659" s="75" t="s">
        <v>348</v>
      </c>
      <c r="F659" s="75" t="s">
        <v>1936</v>
      </c>
    </row>
    <row r="660" spans="1:6" x14ac:dyDescent="0.3">
      <c r="A660" s="75" t="s">
        <v>1937</v>
      </c>
      <c r="B660" s="75" t="s">
        <v>1938</v>
      </c>
      <c r="C660" s="75" t="s">
        <v>1939</v>
      </c>
      <c r="D660" s="75" t="s">
        <v>13</v>
      </c>
      <c r="E660" s="75" t="s">
        <v>18</v>
      </c>
      <c r="F660" s="75" t="s">
        <v>49</v>
      </c>
    </row>
    <row r="661" spans="1:6" x14ac:dyDescent="0.3">
      <c r="A661" s="75" t="s">
        <v>1940</v>
      </c>
      <c r="B661" s="75" t="s">
        <v>1941</v>
      </c>
      <c r="C661" s="75" t="s">
        <v>1942</v>
      </c>
      <c r="D661" s="75" t="s">
        <v>13</v>
      </c>
      <c r="E661" s="75" t="s">
        <v>70</v>
      </c>
      <c r="F661" s="75" t="s">
        <v>671</v>
      </c>
    </row>
    <row r="662" spans="1:6" x14ac:dyDescent="0.3">
      <c r="A662" s="75" t="s">
        <v>1943</v>
      </c>
      <c r="B662" s="75" t="s">
        <v>1944</v>
      </c>
      <c r="C662" s="75" t="s">
        <v>1945</v>
      </c>
      <c r="D662" s="75" t="s">
        <v>13</v>
      </c>
      <c r="E662" s="75" t="s">
        <v>18</v>
      </c>
      <c r="F662" s="75" t="s">
        <v>295</v>
      </c>
    </row>
    <row r="663" spans="1:6" x14ac:dyDescent="0.3">
      <c r="A663" s="75" t="s">
        <v>1946</v>
      </c>
      <c r="B663" s="75" t="s">
        <v>1947</v>
      </c>
      <c r="C663" s="75" t="s">
        <v>1948</v>
      </c>
      <c r="D663" s="75">
        <v>1989</v>
      </c>
      <c r="E663" s="75" t="s">
        <v>53</v>
      </c>
      <c r="F663" s="75" t="s">
        <v>63</v>
      </c>
    </row>
    <row r="664" spans="1:6" x14ac:dyDescent="0.3">
      <c r="A664" s="75" t="s">
        <v>1949</v>
      </c>
      <c r="B664" s="75" t="s">
        <v>1950</v>
      </c>
      <c r="C664" s="75" t="s">
        <v>1951</v>
      </c>
      <c r="D664" s="75">
        <v>1998</v>
      </c>
      <c r="E664" s="75" t="s">
        <v>31</v>
      </c>
      <c r="F664" s="75" t="s">
        <v>161</v>
      </c>
    </row>
    <row r="665" spans="1:6" x14ac:dyDescent="0.3">
      <c r="A665" s="75" t="s">
        <v>1952</v>
      </c>
      <c r="B665" s="75" t="s">
        <v>1953</v>
      </c>
      <c r="C665" s="75" t="s">
        <v>1954</v>
      </c>
      <c r="D665" s="75" t="s">
        <v>13</v>
      </c>
      <c r="E665" s="75" t="s">
        <v>53</v>
      </c>
      <c r="F665" s="75" t="s">
        <v>111</v>
      </c>
    </row>
    <row r="666" spans="1:6" x14ac:dyDescent="0.3">
      <c r="A666" s="75" t="s">
        <v>1955</v>
      </c>
      <c r="B666" s="75" t="s">
        <v>1956</v>
      </c>
      <c r="C666" s="75" t="s">
        <v>1957</v>
      </c>
      <c r="D666" s="75">
        <v>2014</v>
      </c>
      <c r="E666" s="75" t="s">
        <v>70</v>
      </c>
      <c r="F666" s="75" t="s">
        <v>118</v>
      </c>
    </row>
    <row r="667" spans="1:6" x14ac:dyDescent="0.3">
      <c r="A667" s="75" t="s">
        <v>1958</v>
      </c>
      <c r="B667" s="75" t="s">
        <v>1959</v>
      </c>
      <c r="C667" s="75" t="s">
        <v>1960</v>
      </c>
      <c r="D667" s="75" t="s">
        <v>13</v>
      </c>
      <c r="E667" s="75" t="s">
        <v>53</v>
      </c>
      <c r="F667" s="75" t="s">
        <v>229</v>
      </c>
    </row>
    <row r="668" spans="1:6" x14ac:dyDescent="0.3">
      <c r="A668" s="75" t="s">
        <v>1961</v>
      </c>
      <c r="B668" s="75" t="s">
        <v>1962</v>
      </c>
      <c r="C668" s="75" t="s">
        <v>1963</v>
      </c>
      <c r="D668" s="75">
        <v>1999</v>
      </c>
      <c r="E668" s="75" t="s">
        <v>96</v>
      </c>
      <c r="F668" s="75" t="s">
        <v>76</v>
      </c>
    </row>
    <row r="669" spans="1:6" x14ac:dyDescent="0.3">
      <c r="A669" s="75" t="s">
        <v>1964</v>
      </c>
      <c r="B669" s="75" t="s">
        <v>1965</v>
      </c>
      <c r="C669" s="75" t="s">
        <v>1966</v>
      </c>
      <c r="D669" s="75">
        <v>2015</v>
      </c>
      <c r="E669" s="75" t="s">
        <v>70</v>
      </c>
      <c r="F669" s="75" t="s">
        <v>71</v>
      </c>
    </row>
    <row r="670" spans="1:6" x14ac:dyDescent="0.3">
      <c r="A670" s="75" t="s">
        <v>1967</v>
      </c>
      <c r="B670" s="75" t="s">
        <v>1968</v>
      </c>
      <c r="C670" s="75" t="s">
        <v>1233</v>
      </c>
      <c r="D670" s="75" t="s">
        <v>13</v>
      </c>
      <c r="E670" s="75" t="s">
        <v>8</v>
      </c>
      <c r="F670" s="75" t="s">
        <v>1261</v>
      </c>
    </row>
    <row r="671" spans="1:6" x14ac:dyDescent="0.3">
      <c r="A671" s="75" t="s">
        <v>1969</v>
      </c>
      <c r="B671" s="75" t="s">
        <v>1970</v>
      </c>
      <c r="C671" s="75" t="s">
        <v>1971</v>
      </c>
      <c r="D671" s="75" t="s">
        <v>13</v>
      </c>
      <c r="E671" s="75" t="s">
        <v>8</v>
      </c>
      <c r="F671" s="75" t="s">
        <v>27</v>
      </c>
    </row>
    <row r="672" spans="1:6" x14ac:dyDescent="0.3">
      <c r="A672" s="75" t="s">
        <v>1972</v>
      </c>
      <c r="B672" s="75" t="s">
        <v>1973</v>
      </c>
      <c r="C672" s="75" t="s">
        <v>1974</v>
      </c>
      <c r="D672" s="75">
        <v>1992</v>
      </c>
      <c r="E672" s="75" t="s">
        <v>8</v>
      </c>
      <c r="F672" s="75" t="s">
        <v>27</v>
      </c>
    </row>
    <row r="673" spans="1:6" x14ac:dyDescent="0.3">
      <c r="A673" s="75" t="s">
        <v>1975</v>
      </c>
      <c r="B673" s="75" t="s">
        <v>1976</v>
      </c>
      <c r="C673" s="75" t="s">
        <v>1612</v>
      </c>
      <c r="D673" s="75">
        <v>1998</v>
      </c>
      <c r="E673" s="75" t="s">
        <v>348</v>
      </c>
      <c r="F673" s="75" t="s">
        <v>1059</v>
      </c>
    </row>
    <row r="674" spans="1:6" x14ac:dyDescent="0.3">
      <c r="A674" s="75" t="s">
        <v>1977</v>
      </c>
      <c r="B674" s="75" t="s">
        <v>1978</v>
      </c>
      <c r="C674" s="75" t="s">
        <v>1979</v>
      </c>
      <c r="D674" s="75">
        <v>1996</v>
      </c>
      <c r="E674" s="75" t="s">
        <v>53</v>
      </c>
      <c r="F674" s="75" t="s">
        <v>790</v>
      </c>
    </row>
    <row r="675" spans="1:6" x14ac:dyDescent="0.3">
      <c r="A675" s="75" t="s">
        <v>1980</v>
      </c>
      <c r="B675" s="75" t="s">
        <v>1981</v>
      </c>
      <c r="C675" s="75" t="s">
        <v>1982</v>
      </c>
      <c r="D675" s="75" t="s">
        <v>13</v>
      </c>
      <c r="E675" s="75" t="s">
        <v>70</v>
      </c>
      <c r="F675" s="75" t="s">
        <v>1375</v>
      </c>
    </row>
    <row r="676" spans="1:6" x14ac:dyDescent="0.3">
      <c r="A676" s="75" t="s">
        <v>1983</v>
      </c>
      <c r="B676" s="75" t="s">
        <v>1981</v>
      </c>
      <c r="C676" s="75" t="s">
        <v>13</v>
      </c>
      <c r="D676" s="75" t="s">
        <v>13</v>
      </c>
      <c r="E676" s="75" t="s">
        <v>70</v>
      </c>
      <c r="F676" s="75" t="s">
        <v>1375</v>
      </c>
    </row>
    <row r="677" spans="1:6" x14ac:dyDescent="0.3">
      <c r="A677" s="75" t="s">
        <v>1984</v>
      </c>
      <c r="B677" s="75" t="s">
        <v>1985</v>
      </c>
      <c r="C677" s="75" t="s">
        <v>1986</v>
      </c>
      <c r="D677" s="75" t="s">
        <v>13</v>
      </c>
      <c r="E677" s="75" t="s">
        <v>18</v>
      </c>
      <c r="F677" s="75" t="s">
        <v>461</v>
      </c>
    </row>
    <row r="678" spans="1:6" x14ac:dyDescent="0.3">
      <c r="A678" s="75" t="s">
        <v>1987</v>
      </c>
      <c r="B678" s="75" t="s">
        <v>1988</v>
      </c>
      <c r="C678" s="75" t="s">
        <v>1989</v>
      </c>
      <c r="D678" s="75" t="s">
        <v>13</v>
      </c>
      <c r="E678" s="75" t="s">
        <v>8</v>
      </c>
      <c r="F678" s="75" t="s">
        <v>27</v>
      </c>
    </row>
    <row r="679" spans="1:6" x14ac:dyDescent="0.3">
      <c r="A679" s="75" t="s">
        <v>1990</v>
      </c>
      <c r="B679" s="75" t="s">
        <v>1988</v>
      </c>
      <c r="C679" s="75" t="s">
        <v>1991</v>
      </c>
      <c r="D679" s="75" t="s">
        <v>13</v>
      </c>
      <c r="E679" s="75" t="s">
        <v>8</v>
      </c>
      <c r="F679" s="75" t="s">
        <v>27</v>
      </c>
    </row>
    <row r="680" spans="1:6" x14ac:dyDescent="0.3">
      <c r="A680" s="75" t="s">
        <v>1992</v>
      </c>
      <c r="B680" s="75" t="s">
        <v>1993</v>
      </c>
      <c r="C680" s="75" t="s">
        <v>1994</v>
      </c>
      <c r="D680" s="75" t="s">
        <v>13</v>
      </c>
      <c r="E680" s="75" t="s">
        <v>8</v>
      </c>
      <c r="F680" s="75" t="s">
        <v>27</v>
      </c>
    </row>
    <row r="681" spans="1:6" x14ac:dyDescent="0.3">
      <c r="A681" s="75" t="s">
        <v>1995</v>
      </c>
      <c r="B681" s="75" t="s">
        <v>1996</v>
      </c>
      <c r="C681" s="75" t="s">
        <v>1997</v>
      </c>
      <c r="D681" s="75" t="s">
        <v>13</v>
      </c>
      <c r="E681" s="75" t="s">
        <v>31</v>
      </c>
      <c r="F681" s="75" t="s">
        <v>36</v>
      </c>
    </row>
    <row r="682" spans="1:6" x14ac:dyDescent="0.3">
      <c r="A682" s="75" t="s">
        <v>1998</v>
      </c>
      <c r="B682" s="75" t="s">
        <v>1996</v>
      </c>
      <c r="C682" s="75" t="s">
        <v>1999</v>
      </c>
      <c r="D682" s="75" t="s">
        <v>13</v>
      </c>
      <c r="E682" s="75" t="s">
        <v>31</v>
      </c>
      <c r="F682" s="75" t="s">
        <v>36</v>
      </c>
    </row>
    <row r="683" spans="1:6" x14ac:dyDescent="0.3">
      <c r="A683" s="75" t="s">
        <v>2000</v>
      </c>
      <c r="B683" s="75" t="s">
        <v>2001</v>
      </c>
      <c r="C683" s="75" t="s">
        <v>2002</v>
      </c>
      <c r="D683" s="75">
        <v>2004</v>
      </c>
      <c r="E683" s="75" t="s">
        <v>53</v>
      </c>
      <c r="F683" s="75" t="s">
        <v>193</v>
      </c>
    </row>
    <row r="684" spans="1:6" x14ac:dyDescent="0.3">
      <c r="A684" s="75" t="s">
        <v>2003</v>
      </c>
      <c r="B684" s="75" t="s">
        <v>2004</v>
      </c>
      <c r="C684" s="75" t="s">
        <v>2005</v>
      </c>
      <c r="D684" s="75">
        <v>2013</v>
      </c>
      <c r="E684" s="75" t="s">
        <v>31</v>
      </c>
      <c r="F684" s="75" t="s">
        <v>291</v>
      </c>
    </row>
    <row r="685" spans="1:6" x14ac:dyDescent="0.3">
      <c r="A685" s="75" t="s">
        <v>2006</v>
      </c>
      <c r="B685" s="75" t="s">
        <v>2007</v>
      </c>
      <c r="C685" s="75" t="s">
        <v>2008</v>
      </c>
      <c r="D685" s="75" t="s">
        <v>13</v>
      </c>
      <c r="E685" s="75" t="s">
        <v>44</v>
      </c>
      <c r="F685" s="75" t="s">
        <v>49</v>
      </c>
    </row>
    <row r="686" spans="1:6" x14ac:dyDescent="0.3">
      <c r="A686" s="75" t="s">
        <v>2009</v>
      </c>
      <c r="B686" s="75" t="s">
        <v>2010</v>
      </c>
      <c r="C686" s="75" t="s">
        <v>2011</v>
      </c>
      <c r="D686" s="75" t="s">
        <v>13</v>
      </c>
      <c r="E686" s="75" t="s">
        <v>8</v>
      </c>
      <c r="F686" s="75" t="s">
        <v>27</v>
      </c>
    </row>
    <row r="687" spans="1:6" x14ac:dyDescent="0.3">
      <c r="A687" s="75" t="s">
        <v>2012</v>
      </c>
      <c r="B687" s="75" t="s">
        <v>2013</v>
      </c>
      <c r="C687" s="75" t="s">
        <v>2014</v>
      </c>
      <c r="D687" s="75">
        <v>2017</v>
      </c>
      <c r="E687" s="75" t="s">
        <v>8</v>
      </c>
      <c r="F687" s="75" t="s">
        <v>23</v>
      </c>
    </row>
    <row r="688" spans="1:6" x14ac:dyDescent="0.3">
      <c r="A688" s="75" t="s">
        <v>2015</v>
      </c>
      <c r="B688" s="75" t="s">
        <v>2016</v>
      </c>
      <c r="C688" s="75" t="s">
        <v>13</v>
      </c>
      <c r="D688" s="75" t="s">
        <v>13</v>
      </c>
      <c r="E688" s="75" t="s">
        <v>70</v>
      </c>
      <c r="F688" s="75" t="s">
        <v>1375</v>
      </c>
    </row>
    <row r="689" spans="1:6" x14ac:dyDescent="0.3">
      <c r="A689" s="75" t="s">
        <v>2017</v>
      </c>
      <c r="B689" s="75" t="s">
        <v>2018</v>
      </c>
      <c r="C689" s="75" t="s">
        <v>2019</v>
      </c>
      <c r="D689" s="75" t="s">
        <v>13</v>
      </c>
      <c r="E689" s="75" t="s">
        <v>8</v>
      </c>
      <c r="F689" s="75" t="s">
        <v>27</v>
      </c>
    </row>
    <row r="690" spans="1:6" x14ac:dyDescent="0.3">
      <c r="A690" s="75" t="s">
        <v>2020</v>
      </c>
      <c r="B690" s="75" t="s">
        <v>2021</v>
      </c>
      <c r="C690" s="75" t="s">
        <v>2022</v>
      </c>
      <c r="D690" s="75" t="s">
        <v>13</v>
      </c>
      <c r="E690" s="75" t="s">
        <v>8</v>
      </c>
      <c r="F690" s="75" t="s">
        <v>27</v>
      </c>
    </row>
    <row r="691" spans="1:6" x14ac:dyDescent="0.3">
      <c r="A691" s="75" t="s">
        <v>2023</v>
      </c>
      <c r="B691" s="75" t="s">
        <v>2024</v>
      </c>
      <c r="C691" s="75" t="s">
        <v>2025</v>
      </c>
      <c r="D691" s="75">
        <v>2006</v>
      </c>
      <c r="E691" s="75" t="s">
        <v>31</v>
      </c>
      <c r="F691" s="75" t="s">
        <v>36</v>
      </c>
    </row>
    <row r="692" spans="1:6" x14ac:dyDescent="0.3">
      <c r="A692" s="75" t="s">
        <v>2026</v>
      </c>
      <c r="B692" s="75" t="s">
        <v>2027</v>
      </c>
      <c r="C692" s="75" t="s">
        <v>2028</v>
      </c>
      <c r="D692" s="75">
        <v>2000</v>
      </c>
      <c r="E692" s="75" t="s">
        <v>70</v>
      </c>
      <c r="F692" s="75" t="s">
        <v>118</v>
      </c>
    </row>
    <row r="693" spans="1:6" x14ac:dyDescent="0.3">
      <c r="A693" s="75" t="s">
        <v>2029</v>
      </c>
      <c r="B693" s="75" t="s">
        <v>2030</v>
      </c>
      <c r="C693" s="75" t="s">
        <v>2031</v>
      </c>
      <c r="D693" s="75">
        <v>2002</v>
      </c>
      <c r="E693" s="75" t="s">
        <v>31</v>
      </c>
      <c r="F693" s="75" t="s">
        <v>161</v>
      </c>
    </row>
    <row r="694" spans="1:6" x14ac:dyDescent="0.3">
      <c r="A694" s="75" t="s">
        <v>2032</v>
      </c>
      <c r="B694" s="75" t="s">
        <v>2033</v>
      </c>
      <c r="C694" s="75" t="s">
        <v>2034</v>
      </c>
      <c r="D694" s="75" t="s">
        <v>13</v>
      </c>
      <c r="E694" s="75" t="s">
        <v>31</v>
      </c>
      <c r="F694" s="75" t="s">
        <v>161</v>
      </c>
    </row>
    <row r="695" spans="1:6" x14ac:dyDescent="0.3">
      <c r="A695" s="75" t="s">
        <v>2035</v>
      </c>
      <c r="B695" s="75" t="s">
        <v>2036</v>
      </c>
      <c r="C695" s="75" t="s">
        <v>2037</v>
      </c>
      <c r="D695" s="75">
        <v>2004</v>
      </c>
      <c r="E695" s="75" t="s">
        <v>53</v>
      </c>
      <c r="F695" s="75" t="s">
        <v>54</v>
      </c>
    </row>
    <row r="696" spans="1:6" x14ac:dyDescent="0.3">
      <c r="A696" s="75" t="s">
        <v>2038</v>
      </c>
      <c r="B696" s="75" t="s">
        <v>2039</v>
      </c>
      <c r="C696" s="75" t="s">
        <v>2040</v>
      </c>
      <c r="D696" s="75" t="s">
        <v>13</v>
      </c>
      <c r="E696" s="75" t="s">
        <v>31</v>
      </c>
      <c r="F696" s="75" t="s">
        <v>291</v>
      </c>
    </row>
    <row r="697" spans="1:6" x14ac:dyDescent="0.3">
      <c r="A697" s="75" t="s">
        <v>2041</v>
      </c>
      <c r="B697" s="75" t="s">
        <v>2042</v>
      </c>
      <c r="C697" s="75" t="s">
        <v>2043</v>
      </c>
      <c r="D697" s="75">
        <v>2013</v>
      </c>
      <c r="E697" s="75" t="s">
        <v>70</v>
      </c>
      <c r="F697" s="75" t="s">
        <v>71</v>
      </c>
    </row>
    <row r="698" spans="1:6" x14ac:dyDescent="0.3">
      <c r="A698" s="75" t="s">
        <v>2044</v>
      </c>
      <c r="B698" s="75" t="s">
        <v>2045</v>
      </c>
      <c r="C698" s="75" t="s">
        <v>2046</v>
      </c>
      <c r="D698" s="75">
        <v>2014</v>
      </c>
      <c r="E698" s="75" t="s">
        <v>70</v>
      </c>
      <c r="F698" s="75" t="s">
        <v>71</v>
      </c>
    </row>
    <row r="699" spans="1:6" x14ac:dyDescent="0.3">
      <c r="A699" s="75" t="s">
        <v>2047</v>
      </c>
      <c r="B699" s="75" t="s">
        <v>2048</v>
      </c>
      <c r="C699" s="75" t="s">
        <v>2049</v>
      </c>
      <c r="D699" s="75" t="s">
        <v>13</v>
      </c>
      <c r="E699" s="75" t="s">
        <v>70</v>
      </c>
      <c r="F699" s="75" t="s">
        <v>71</v>
      </c>
    </row>
    <row r="700" spans="1:6" x14ac:dyDescent="0.3">
      <c r="A700" s="75" t="s">
        <v>2050</v>
      </c>
      <c r="B700" s="75" t="s">
        <v>2051</v>
      </c>
      <c r="C700" s="75" t="s">
        <v>2052</v>
      </c>
      <c r="D700" s="75" t="s">
        <v>13</v>
      </c>
      <c r="E700" s="75" t="s">
        <v>31</v>
      </c>
      <c r="F700" s="75" t="s">
        <v>626</v>
      </c>
    </row>
    <row r="701" spans="1:6" x14ac:dyDescent="0.3">
      <c r="A701" s="75" t="s">
        <v>2053</v>
      </c>
      <c r="B701" s="75" t="s">
        <v>2054</v>
      </c>
      <c r="C701" s="75" t="s">
        <v>2055</v>
      </c>
      <c r="D701" s="75" t="s">
        <v>13</v>
      </c>
      <c r="E701" s="75" t="s">
        <v>18</v>
      </c>
      <c r="F701" s="75" t="s">
        <v>266</v>
      </c>
    </row>
    <row r="702" spans="1:6" x14ac:dyDescent="0.3">
      <c r="A702" s="75" t="s">
        <v>2056</v>
      </c>
      <c r="B702" s="75" t="s">
        <v>2057</v>
      </c>
      <c r="C702" s="75" t="s">
        <v>2058</v>
      </c>
      <c r="D702" s="75">
        <v>2015</v>
      </c>
      <c r="E702" s="75" t="s">
        <v>70</v>
      </c>
      <c r="F702" s="75" t="s">
        <v>353</v>
      </c>
    </row>
    <row r="703" spans="1:6" x14ac:dyDescent="0.3">
      <c r="A703" s="75" t="s">
        <v>2059</v>
      </c>
      <c r="B703" s="75" t="s">
        <v>2060</v>
      </c>
      <c r="C703" s="75" t="s">
        <v>2061</v>
      </c>
      <c r="D703" s="75">
        <v>2015</v>
      </c>
      <c r="E703" s="75" t="s">
        <v>8</v>
      </c>
      <c r="F703" s="75" t="s">
        <v>9</v>
      </c>
    </row>
    <row r="704" spans="1:6" x14ac:dyDescent="0.3">
      <c r="A704" s="75" t="s">
        <v>2062</v>
      </c>
      <c r="B704" s="75" t="s">
        <v>2063</v>
      </c>
      <c r="C704" s="75" t="s">
        <v>287</v>
      </c>
      <c r="D704" s="75">
        <v>1987</v>
      </c>
      <c r="E704" s="75" t="s">
        <v>70</v>
      </c>
      <c r="F704" s="75" t="s">
        <v>671</v>
      </c>
    </row>
    <row r="705" spans="1:6" x14ac:dyDescent="0.3">
      <c r="A705" s="75" t="s">
        <v>2064</v>
      </c>
      <c r="B705" s="75" t="s">
        <v>2065</v>
      </c>
      <c r="C705" s="75" t="s">
        <v>2066</v>
      </c>
      <c r="D705" s="75" t="s">
        <v>13</v>
      </c>
      <c r="E705" s="75" t="s">
        <v>44</v>
      </c>
      <c r="F705" s="75" t="s">
        <v>222</v>
      </c>
    </row>
    <row r="706" spans="1:6" x14ac:dyDescent="0.3">
      <c r="A706" s="75" t="s">
        <v>2067</v>
      </c>
      <c r="B706" s="75" t="s">
        <v>2068</v>
      </c>
      <c r="C706" s="75" t="s">
        <v>2069</v>
      </c>
      <c r="D706" s="75" t="s">
        <v>13</v>
      </c>
      <c r="E706" s="75" t="s">
        <v>8</v>
      </c>
      <c r="F706" s="75" t="s">
        <v>27</v>
      </c>
    </row>
    <row r="707" spans="1:6" x14ac:dyDescent="0.3">
      <c r="A707" s="75" t="s">
        <v>2070</v>
      </c>
      <c r="B707" s="75" t="s">
        <v>2071</v>
      </c>
      <c r="C707" s="75" t="s">
        <v>2072</v>
      </c>
      <c r="D707" s="75">
        <v>2014</v>
      </c>
      <c r="E707" s="75" t="s">
        <v>31</v>
      </c>
      <c r="F707" s="75" t="s">
        <v>36</v>
      </c>
    </row>
    <row r="708" spans="1:6" x14ac:dyDescent="0.3">
      <c r="A708" s="75" t="s">
        <v>2073</v>
      </c>
      <c r="B708" s="75" t="s">
        <v>2074</v>
      </c>
      <c r="C708" s="75" t="s">
        <v>2075</v>
      </c>
      <c r="D708" s="75">
        <v>2003</v>
      </c>
      <c r="E708" s="75" t="s">
        <v>18</v>
      </c>
      <c r="F708" s="75" t="s">
        <v>1825</v>
      </c>
    </row>
    <row r="709" spans="1:6" x14ac:dyDescent="0.3">
      <c r="A709" s="75" t="s">
        <v>2076</v>
      </c>
      <c r="B709" s="75" t="s">
        <v>2077</v>
      </c>
      <c r="C709" s="75" t="s">
        <v>2078</v>
      </c>
      <c r="D709" s="75">
        <v>2005</v>
      </c>
      <c r="E709" s="75" t="s">
        <v>44</v>
      </c>
      <c r="F709" s="75" t="s">
        <v>49</v>
      </c>
    </row>
    <row r="710" spans="1:6" x14ac:dyDescent="0.3">
      <c r="A710" s="75" t="s">
        <v>2079</v>
      </c>
      <c r="B710" s="75" t="s">
        <v>2080</v>
      </c>
      <c r="C710" s="75" t="s">
        <v>2081</v>
      </c>
      <c r="D710" s="75" t="s">
        <v>13</v>
      </c>
      <c r="E710" s="75" t="s">
        <v>44</v>
      </c>
      <c r="F710" s="75" t="s">
        <v>222</v>
      </c>
    </row>
    <row r="711" spans="1:6" x14ac:dyDescent="0.3">
      <c r="A711" s="75" t="s">
        <v>2082</v>
      </c>
      <c r="B711" s="75" t="s">
        <v>2083</v>
      </c>
      <c r="C711" s="75" t="s">
        <v>13</v>
      </c>
      <c r="D711" s="75">
        <v>2017</v>
      </c>
      <c r="E711" s="75" t="s">
        <v>8</v>
      </c>
      <c r="F711" s="75" t="s">
        <v>76</v>
      </c>
    </row>
    <row r="712" spans="1:6" x14ac:dyDescent="0.3">
      <c r="A712" s="75" t="s">
        <v>2084</v>
      </c>
      <c r="B712" s="75" t="s">
        <v>2085</v>
      </c>
      <c r="C712" s="75" t="s">
        <v>2086</v>
      </c>
      <c r="D712" s="75">
        <v>1992</v>
      </c>
      <c r="E712" s="75" t="s">
        <v>8</v>
      </c>
      <c r="F712" s="75" t="s">
        <v>478</v>
      </c>
    </row>
    <row r="713" spans="1:6" x14ac:dyDescent="0.3">
      <c r="A713" s="75" t="s">
        <v>2087</v>
      </c>
      <c r="B713" s="75" t="s">
        <v>2088</v>
      </c>
      <c r="C713" s="75" t="s">
        <v>2089</v>
      </c>
      <c r="D713" s="75">
        <v>2014</v>
      </c>
      <c r="E713" s="75" t="s">
        <v>70</v>
      </c>
      <c r="F713" s="75" t="s">
        <v>71</v>
      </c>
    </row>
    <row r="714" spans="1:6" x14ac:dyDescent="0.3">
      <c r="A714" s="75" t="s">
        <v>2090</v>
      </c>
      <c r="B714" s="75" t="s">
        <v>2091</v>
      </c>
      <c r="C714" s="75" t="s">
        <v>2092</v>
      </c>
      <c r="D714" s="75" t="s">
        <v>13</v>
      </c>
      <c r="E714" s="75" t="s">
        <v>70</v>
      </c>
      <c r="F714" s="75" t="s">
        <v>71</v>
      </c>
    </row>
    <row r="715" spans="1:6" x14ac:dyDescent="0.3">
      <c r="A715" s="75" t="s">
        <v>2093</v>
      </c>
      <c r="B715" s="75" t="s">
        <v>2094</v>
      </c>
      <c r="C715" s="75" t="s">
        <v>2095</v>
      </c>
      <c r="D715" s="75">
        <v>2013</v>
      </c>
      <c r="E715" s="75" t="s">
        <v>53</v>
      </c>
      <c r="F715" s="75" t="s">
        <v>229</v>
      </c>
    </row>
    <row r="716" spans="1:6" x14ac:dyDescent="0.3">
      <c r="A716" s="75" t="s">
        <v>2096</v>
      </c>
      <c r="B716" s="75" t="s">
        <v>2097</v>
      </c>
      <c r="C716" s="75" t="s">
        <v>2098</v>
      </c>
      <c r="D716" s="75">
        <v>1994</v>
      </c>
      <c r="E716" s="75" t="s">
        <v>518</v>
      </c>
      <c r="F716" s="75" t="s">
        <v>527</v>
      </c>
    </row>
    <row r="717" spans="1:6" x14ac:dyDescent="0.3">
      <c r="A717" s="75" t="s">
        <v>2099</v>
      </c>
      <c r="B717" s="75" t="s">
        <v>2100</v>
      </c>
      <c r="C717" s="75" t="s">
        <v>2101</v>
      </c>
      <c r="D717" s="75" t="s">
        <v>13</v>
      </c>
      <c r="E717" s="75" t="s">
        <v>70</v>
      </c>
      <c r="F717" s="75" t="s">
        <v>71</v>
      </c>
    </row>
    <row r="718" spans="1:6" x14ac:dyDescent="0.3">
      <c r="A718" s="75" t="s">
        <v>2102</v>
      </c>
      <c r="B718" s="75" t="s">
        <v>2103</v>
      </c>
      <c r="C718" s="75" t="s">
        <v>844</v>
      </c>
      <c r="D718" s="75">
        <v>2004</v>
      </c>
      <c r="E718" s="75" t="s">
        <v>70</v>
      </c>
      <c r="F718" s="75" t="s">
        <v>71</v>
      </c>
    </row>
    <row r="719" spans="1:6" x14ac:dyDescent="0.3">
      <c r="A719" s="75" t="s">
        <v>2104</v>
      </c>
      <c r="B719" s="75" t="s">
        <v>2105</v>
      </c>
      <c r="C719" s="75" t="s">
        <v>1238</v>
      </c>
      <c r="D719" s="75" t="s">
        <v>13</v>
      </c>
      <c r="E719" s="75" t="s">
        <v>348</v>
      </c>
      <c r="F719" s="75" t="s">
        <v>1936</v>
      </c>
    </row>
    <row r="720" spans="1:6" x14ac:dyDescent="0.3">
      <c r="A720" s="75" t="s">
        <v>2106</v>
      </c>
      <c r="B720" s="75" t="s">
        <v>2107</v>
      </c>
      <c r="C720" s="75" t="s">
        <v>2108</v>
      </c>
      <c r="D720" s="75">
        <v>2014</v>
      </c>
      <c r="E720" s="75" t="s">
        <v>70</v>
      </c>
      <c r="F720" s="75" t="s">
        <v>71</v>
      </c>
    </row>
    <row r="721" spans="1:6" x14ac:dyDescent="0.3">
      <c r="A721" s="75" t="s">
        <v>2109</v>
      </c>
      <c r="B721" s="75" t="s">
        <v>2110</v>
      </c>
      <c r="C721" s="75" t="s">
        <v>1442</v>
      </c>
      <c r="D721" s="75">
        <v>2011</v>
      </c>
      <c r="E721" s="75" t="s">
        <v>31</v>
      </c>
      <c r="F721" s="75" t="s">
        <v>36</v>
      </c>
    </row>
    <row r="722" spans="1:6" x14ac:dyDescent="0.3">
      <c r="A722" s="75" t="s">
        <v>2111</v>
      </c>
      <c r="B722" s="75" t="s">
        <v>2112</v>
      </c>
      <c r="C722" s="75" t="s">
        <v>2113</v>
      </c>
      <c r="D722" s="75" t="s">
        <v>13</v>
      </c>
      <c r="E722" s="75" t="s">
        <v>8</v>
      </c>
      <c r="F722" s="75" t="s">
        <v>718</v>
      </c>
    </row>
    <row r="723" spans="1:6" x14ac:dyDescent="0.3">
      <c r="A723" s="75" t="s">
        <v>2114</v>
      </c>
      <c r="B723" s="75" t="s">
        <v>2115</v>
      </c>
      <c r="C723" s="75" t="s">
        <v>2116</v>
      </c>
      <c r="D723" s="75">
        <v>2016</v>
      </c>
      <c r="E723" s="75" t="s">
        <v>70</v>
      </c>
      <c r="F723" s="75" t="s">
        <v>71</v>
      </c>
    </row>
    <row r="724" spans="1:6" x14ac:dyDescent="0.3">
      <c r="A724" s="75" t="s">
        <v>2117</v>
      </c>
      <c r="B724" s="75" t="s">
        <v>2118</v>
      </c>
      <c r="C724" s="75" t="s">
        <v>2119</v>
      </c>
      <c r="D724" s="75">
        <v>1998</v>
      </c>
      <c r="E724" s="75" t="s">
        <v>96</v>
      </c>
      <c r="F724" s="75" t="s">
        <v>76</v>
      </c>
    </row>
    <row r="725" spans="1:6" x14ac:dyDescent="0.3">
      <c r="A725" s="75" t="s">
        <v>2120</v>
      </c>
      <c r="B725" s="75" t="s">
        <v>2121</v>
      </c>
      <c r="C725" s="75" t="s">
        <v>2122</v>
      </c>
      <c r="D725" s="75" t="s">
        <v>13</v>
      </c>
      <c r="E725" s="75" t="s">
        <v>18</v>
      </c>
      <c r="F725" s="75" t="s">
        <v>2123</v>
      </c>
    </row>
    <row r="726" spans="1:6" x14ac:dyDescent="0.3">
      <c r="A726" s="75" t="s">
        <v>2124</v>
      </c>
      <c r="B726" s="75" t="s">
        <v>2125</v>
      </c>
      <c r="C726" s="75" t="s">
        <v>2126</v>
      </c>
      <c r="D726" s="75" t="s">
        <v>13</v>
      </c>
      <c r="E726" s="75" t="s">
        <v>31</v>
      </c>
      <c r="F726" s="75" t="s">
        <v>36</v>
      </c>
    </row>
    <row r="727" spans="1:6" x14ac:dyDescent="0.3">
      <c r="A727" s="75" t="s">
        <v>2127</v>
      </c>
      <c r="B727" s="75" t="s">
        <v>2128</v>
      </c>
      <c r="C727" s="75" t="s">
        <v>2129</v>
      </c>
      <c r="D727" s="75">
        <v>2015</v>
      </c>
      <c r="E727" s="75" t="s">
        <v>8</v>
      </c>
      <c r="F727" s="75" t="s">
        <v>27</v>
      </c>
    </row>
    <row r="728" spans="1:6" x14ac:dyDescent="0.3">
      <c r="A728" s="75" t="s">
        <v>2130</v>
      </c>
      <c r="B728" s="75" t="s">
        <v>2131</v>
      </c>
      <c r="C728" s="75" t="s">
        <v>2132</v>
      </c>
      <c r="D728" s="75">
        <v>2016</v>
      </c>
      <c r="E728" s="75" t="s">
        <v>31</v>
      </c>
      <c r="F728" s="75" t="s">
        <v>36</v>
      </c>
    </row>
    <row r="729" spans="1:6" x14ac:dyDescent="0.3">
      <c r="A729" s="75" t="s">
        <v>2133</v>
      </c>
      <c r="B729" s="75" t="s">
        <v>2134</v>
      </c>
      <c r="C729" s="75" t="s">
        <v>2135</v>
      </c>
      <c r="D729" s="75">
        <v>1994</v>
      </c>
      <c r="E729" s="75" t="s">
        <v>283</v>
      </c>
      <c r="F729" s="75" t="s">
        <v>694</v>
      </c>
    </row>
    <row r="730" spans="1:6" x14ac:dyDescent="0.3">
      <c r="A730" s="75" t="s">
        <v>2136</v>
      </c>
      <c r="B730" s="75" t="s">
        <v>2137</v>
      </c>
      <c r="C730" s="75" t="s">
        <v>2138</v>
      </c>
      <c r="D730" s="75" t="s">
        <v>13</v>
      </c>
      <c r="E730" s="75" t="s">
        <v>8</v>
      </c>
      <c r="F730" s="75" t="s">
        <v>1093</v>
      </c>
    </row>
    <row r="731" spans="1:6" x14ac:dyDescent="0.3">
      <c r="A731" s="75" t="s">
        <v>2139</v>
      </c>
      <c r="B731" s="75" t="s">
        <v>2137</v>
      </c>
      <c r="C731" s="75" t="s">
        <v>13</v>
      </c>
      <c r="D731" s="75" t="s">
        <v>13</v>
      </c>
      <c r="E731" s="75" t="s">
        <v>8</v>
      </c>
      <c r="F731" s="75" t="s">
        <v>1093</v>
      </c>
    </row>
    <row r="732" spans="1:6" x14ac:dyDescent="0.3">
      <c r="A732" s="75" t="s">
        <v>2140</v>
      </c>
      <c r="B732" s="75" t="s">
        <v>2141</v>
      </c>
      <c r="C732" s="75" t="s">
        <v>2142</v>
      </c>
      <c r="D732" s="75">
        <v>2015</v>
      </c>
      <c r="E732" s="75" t="s">
        <v>8</v>
      </c>
      <c r="F732" s="75" t="s">
        <v>787</v>
      </c>
    </row>
    <row r="733" spans="1:6" x14ac:dyDescent="0.3">
      <c r="A733" s="75" t="s">
        <v>2143</v>
      </c>
      <c r="B733" s="75" t="s">
        <v>2144</v>
      </c>
      <c r="C733" s="75" t="s">
        <v>2145</v>
      </c>
      <c r="D733" s="75" t="s">
        <v>13</v>
      </c>
      <c r="E733" s="75" t="s">
        <v>53</v>
      </c>
      <c r="F733" s="75" t="s">
        <v>1368</v>
      </c>
    </row>
    <row r="734" spans="1:6" x14ac:dyDescent="0.3">
      <c r="A734" s="75" t="s">
        <v>2146</v>
      </c>
      <c r="B734" s="75" t="s">
        <v>2147</v>
      </c>
      <c r="C734" s="75" t="s">
        <v>2148</v>
      </c>
      <c r="D734" s="75">
        <v>1998</v>
      </c>
      <c r="E734" s="75" t="s">
        <v>96</v>
      </c>
      <c r="F734" s="75" t="s">
        <v>434</v>
      </c>
    </row>
    <row r="735" spans="1:6" x14ac:dyDescent="0.3">
      <c r="A735" s="75" t="s">
        <v>2149</v>
      </c>
      <c r="B735" s="75" t="s">
        <v>2150</v>
      </c>
      <c r="C735" s="75" t="s">
        <v>1092</v>
      </c>
      <c r="D735" s="75">
        <v>1981</v>
      </c>
      <c r="E735" s="75" t="s">
        <v>18</v>
      </c>
      <c r="F735" s="75" t="s">
        <v>729</v>
      </c>
    </row>
    <row r="736" spans="1:6" x14ac:dyDescent="0.3">
      <c r="A736" s="75" t="s">
        <v>2151</v>
      </c>
      <c r="B736" s="75" t="s">
        <v>2152</v>
      </c>
      <c r="C736" s="75" t="s">
        <v>2153</v>
      </c>
      <c r="D736" s="75" t="s">
        <v>13</v>
      </c>
      <c r="E736" s="75" t="s">
        <v>348</v>
      </c>
      <c r="F736" s="75" t="s">
        <v>1598</v>
      </c>
    </row>
    <row r="737" spans="1:6" x14ac:dyDescent="0.3">
      <c r="A737" s="75" t="s">
        <v>2154</v>
      </c>
      <c r="B737" s="75" t="s">
        <v>2155</v>
      </c>
      <c r="C737" s="75" t="s">
        <v>2156</v>
      </c>
      <c r="D737" s="75" t="s">
        <v>13</v>
      </c>
      <c r="E737" s="75" t="s">
        <v>31</v>
      </c>
      <c r="F737" s="75" t="s">
        <v>626</v>
      </c>
    </row>
    <row r="738" spans="1:6" x14ac:dyDescent="0.3">
      <c r="A738" s="75" t="s">
        <v>2157</v>
      </c>
      <c r="B738" s="75" t="s">
        <v>2158</v>
      </c>
      <c r="C738" s="75" t="s">
        <v>2159</v>
      </c>
      <c r="D738" s="75">
        <v>1992</v>
      </c>
      <c r="E738" s="75" t="s">
        <v>8</v>
      </c>
      <c r="F738" s="75" t="s">
        <v>478</v>
      </c>
    </row>
    <row r="739" spans="1:6" x14ac:dyDescent="0.3">
      <c r="A739" s="75" t="s">
        <v>2160</v>
      </c>
      <c r="B739" s="75" t="s">
        <v>2161</v>
      </c>
      <c r="C739" s="75" t="s">
        <v>13</v>
      </c>
      <c r="D739" s="75" t="s">
        <v>13</v>
      </c>
      <c r="E739" s="75" t="s">
        <v>8</v>
      </c>
      <c r="F739" s="75" t="s">
        <v>1093</v>
      </c>
    </row>
    <row r="740" spans="1:6" x14ac:dyDescent="0.3">
      <c r="A740" s="75" t="s">
        <v>2162</v>
      </c>
      <c r="B740" s="75" t="s">
        <v>2163</v>
      </c>
      <c r="C740" s="75" t="s">
        <v>2164</v>
      </c>
      <c r="D740" s="75">
        <v>1993</v>
      </c>
      <c r="E740" s="75" t="s">
        <v>31</v>
      </c>
      <c r="F740" s="75" t="s">
        <v>92</v>
      </c>
    </row>
    <row r="741" spans="1:6" x14ac:dyDescent="0.3">
      <c r="A741" s="75" t="s">
        <v>2165</v>
      </c>
      <c r="B741" s="75" t="s">
        <v>2166</v>
      </c>
      <c r="C741" s="75" t="s">
        <v>2167</v>
      </c>
      <c r="D741" s="75">
        <v>1997</v>
      </c>
      <c r="E741" s="75" t="s">
        <v>8</v>
      </c>
      <c r="F741" s="75" t="s">
        <v>1261</v>
      </c>
    </row>
    <row r="742" spans="1:6" x14ac:dyDescent="0.3">
      <c r="A742" s="75" t="s">
        <v>2168</v>
      </c>
      <c r="B742" s="75" t="s">
        <v>2169</v>
      </c>
      <c r="C742" s="75" t="s">
        <v>2170</v>
      </c>
      <c r="D742" s="75">
        <v>2016</v>
      </c>
      <c r="E742" s="75" t="s">
        <v>70</v>
      </c>
      <c r="F742" s="75" t="s">
        <v>118</v>
      </c>
    </row>
    <row r="743" spans="1:6" x14ac:dyDescent="0.3">
      <c r="A743" s="75" t="s">
        <v>2171</v>
      </c>
      <c r="B743" s="75" t="s">
        <v>2172</v>
      </c>
      <c r="C743" s="75" t="s">
        <v>2173</v>
      </c>
      <c r="D743" s="75">
        <v>2013</v>
      </c>
      <c r="E743" s="75" t="s">
        <v>31</v>
      </c>
      <c r="F743" s="75" t="s">
        <v>295</v>
      </c>
    </row>
    <row r="744" spans="1:6" x14ac:dyDescent="0.3">
      <c r="A744" s="75" t="s">
        <v>2174</v>
      </c>
      <c r="B744" s="75" t="s">
        <v>2175</v>
      </c>
      <c r="C744" s="75" t="s">
        <v>2176</v>
      </c>
      <c r="D744" s="75">
        <v>2006</v>
      </c>
      <c r="E744" s="75" t="s">
        <v>348</v>
      </c>
      <c r="F744" s="75" t="s">
        <v>2177</v>
      </c>
    </row>
    <row r="745" spans="1:6" x14ac:dyDescent="0.3">
      <c r="A745" s="75" t="s">
        <v>2178</v>
      </c>
      <c r="B745" s="75" t="s">
        <v>2179</v>
      </c>
      <c r="C745" s="75" t="s">
        <v>2180</v>
      </c>
      <c r="D745" s="75">
        <v>2001</v>
      </c>
      <c r="E745" s="75" t="s">
        <v>31</v>
      </c>
      <c r="F745" s="75" t="s">
        <v>1032</v>
      </c>
    </row>
    <row r="746" spans="1:6" x14ac:dyDescent="0.3">
      <c r="A746" s="75" t="s">
        <v>2181</v>
      </c>
      <c r="B746" s="75" t="s">
        <v>2182</v>
      </c>
      <c r="C746" s="75" t="s">
        <v>2183</v>
      </c>
      <c r="D746" s="75">
        <v>1999</v>
      </c>
      <c r="E746" s="75" t="s">
        <v>31</v>
      </c>
      <c r="F746" s="75" t="s">
        <v>798</v>
      </c>
    </row>
    <row r="747" spans="1:6" x14ac:dyDescent="0.3">
      <c r="A747" s="75" t="s">
        <v>2184</v>
      </c>
      <c r="B747" s="75" t="s">
        <v>2185</v>
      </c>
      <c r="C747" s="75" t="s">
        <v>2186</v>
      </c>
      <c r="D747" s="75" t="s">
        <v>13</v>
      </c>
      <c r="E747" s="75" t="s">
        <v>58</v>
      </c>
      <c r="F747" s="75" t="s">
        <v>2187</v>
      </c>
    </row>
    <row r="748" spans="1:6" x14ac:dyDescent="0.3">
      <c r="A748" s="75" t="s">
        <v>2188</v>
      </c>
      <c r="B748" s="75" t="s">
        <v>2189</v>
      </c>
      <c r="C748" s="75" t="s">
        <v>2190</v>
      </c>
      <c r="D748" s="75" t="s">
        <v>13</v>
      </c>
      <c r="E748" s="75" t="s">
        <v>283</v>
      </c>
      <c r="F748" s="75" t="s">
        <v>1345</v>
      </c>
    </row>
    <row r="749" spans="1:6" x14ac:dyDescent="0.3">
      <c r="A749" s="75" t="s">
        <v>2191</v>
      </c>
      <c r="B749" s="75" t="s">
        <v>2189</v>
      </c>
      <c r="C749" s="75" t="s">
        <v>13</v>
      </c>
      <c r="D749" s="75" t="s">
        <v>13</v>
      </c>
      <c r="E749" s="75" t="s">
        <v>283</v>
      </c>
      <c r="F749" s="75" t="s">
        <v>1345</v>
      </c>
    </row>
    <row r="750" spans="1:6" x14ac:dyDescent="0.3">
      <c r="A750" s="75" t="s">
        <v>2192</v>
      </c>
      <c r="B750" s="75" t="s">
        <v>2193</v>
      </c>
      <c r="C750" s="75" t="s">
        <v>620</v>
      </c>
      <c r="D750" s="75">
        <v>1996</v>
      </c>
      <c r="E750" s="75" t="s">
        <v>31</v>
      </c>
      <c r="F750" s="75" t="s">
        <v>161</v>
      </c>
    </row>
    <row r="751" spans="1:6" x14ac:dyDescent="0.3">
      <c r="A751" s="75" t="s">
        <v>2194</v>
      </c>
      <c r="B751" s="75" t="s">
        <v>2195</v>
      </c>
      <c r="C751" s="75" t="s">
        <v>2196</v>
      </c>
      <c r="D751" s="75">
        <v>2011</v>
      </c>
      <c r="E751" s="75" t="s">
        <v>84</v>
      </c>
      <c r="F751" s="75" t="s">
        <v>2197</v>
      </c>
    </row>
    <row r="752" spans="1:6" x14ac:dyDescent="0.3">
      <c r="A752" s="75" t="s">
        <v>2198</v>
      </c>
      <c r="B752" s="75" t="s">
        <v>2199</v>
      </c>
      <c r="C752" s="75" t="s">
        <v>2200</v>
      </c>
      <c r="D752" s="75">
        <v>1982</v>
      </c>
      <c r="E752" s="75" t="s">
        <v>31</v>
      </c>
      <c r="F752" s="75" t="s">
        <v>161</v>
      </c>
    </row>
    <row r="753" spans="1:6" x14ac:dyDescent="0.3">
      <c r="A753" s="75" t="s">
        <v>2201</v>
      </c>
      <c r="B753" s="75" t="s">
        <v>2202</v>
      </c>
      <c r="C753" s="75" t="s">
        <v>2203</v>
      </c>
      <c r="D753" s="75" t="s">
        <v>13</v>
      </c>
      <c r="E753" s="75" t="s">
        <v>58</v>
      </c>
      <c r="F753" s="75" t="s">
        <v>630</v>
      </c>
    </row>
    <row r="754" spans="1:6" x14ac:dyDescent="0.3">
      <c r="A754" s="75" t="s">
        <v>2204</v>
      </c>
      <c r="B754" s="75" t="s">
        <v>2205</v>
      </c>
      <c r="C754" s="75" t="s">
        <v>2206</v>
      </c>
      <c r="D754" s="75" t="s">
        <v>13</v>
      </c>
      <c r="E754" s="75" t="s">
        <v>283</v>
      </c>
      <c r="F754" s="75" t="s">
        <v>508</v>
      </c>
    </row>
    <row r="755" spans="1:6" x14ac:dyDescent="0.3">
      <c r="A755" s="75" t="s">
        <v>2207</v>
      </c>
      <c r="B755" s="75" t="s">
        <v>2208</v>
      </c>
      <c r="C755" s="75" t="s">
        <v>2209</v>
      </c>
      <c r="D755" s="75">
        <v>1997</v>
      </c>
      <c r="E755" s="75" t="s">
        <v>70</v>
      </c>
      <c r="F755" s="75" t="s">
        <v>71</v>
      </c>
    </row>
    <row r="756" spans="1:6" x14ac:dyDescent="0.3">
      <c r="A756" s="75" t="s">
        <v>2210</v>
      </c>
      <c r="B756" s="75" t="s">
        <v>2211</v>
      </c>
      <c r="C756" s="75" t="s">
        <v>2212</v>
      </c>
      <c r="D756" s="75">
        <v>1997</v>
      </c>
      <c r="E756" s="75" t="s">
        <v>58</v>
      </c>
      <c r="F756" s="75" t="s">
        <v>1762</v>
      </c>
    </row>
    <row r="757" spans="1:6" x14ac:dyDescent="0.3">
      <c r="A757" s="75" t="s">
        <v>2213</v>
      </c>
      <c r="B757" s="75" t="s">
        <v>2214</v>
      </c>
      <c r="C757" s="75" t="s">
        <v>2215</v>
      </c>
      <c r="D757" s="75">
        <v>2003</v>
      </c>
      <c r="E757" s="75" t="s">
        <v>96</v>
      </c>
      <c r="F757" s="75" t="s">
        <v>76</v>
      </c>
    </row>
    <row r="758" spans="1:6" x14ac:dyDescent="0.3">
      <c r="A758" s="75" t="s">
        <v>2216</v>
      </c>
      <c r="B758" s="75" t="s">
        <v>2217</v>
      </c>
      <c r="C758" s="75" t="s">
        <v>2218</v>
      </c>
      <c r="D758" s="75" t="s">
        <v>13</v>
      </c>
      <c r="E758" s="75" t="s">
        <v>8</v>
      </c>
      <c r="F758" s="75" t="s">
        <v>27</v>
      </c>
    </row>
    <row r="759" spans="1:6" x14ac:dyDescent="0.3">
      <c r="A759" s="75" t="s">
        <v>2219</v>
      </c>
      <c r="B759" s="75" t="s">
        <v>2220</v>
      </c>
      <c r="C759" s="75" t="s">
        <v>2221</v>
      </c>
      <c r="D759" s="75" t="s">
        <v>13</v>
      </c>
      <c r="E759" s="75" t="s">
        <v>348</v>
      </c>
      <c r="F759" s="75" t="s">
        <v>1427</v>
      </c>
    </row>
    <row r="760" spans="1:6" x14ac:dyDescent="0.3">
      <c r="A760" s="75" t="s">
        <v>2222</v>
      </c>
      <c r="B760" s="75" t="s">
        <v>2223</v>
      </c>
      <c r="C760" s="75" t="s">
        <v>2224</v>
      </c>
      <c r="D760" s="75">
        <v>2009</v>
      </c>
      <c r="E760" s="75" t="s">
        <v>70</v>
      </c>
      <c r="F760" s="75" t="s">
        <v>71</v>
      </c>
    </row>
    <row r="761" spans="1:6" x14ac:dyDescent="0.3">
      <c r="A761" s="75" t="s">
        <v>2225</v>
      </c>
      <c r="B761" s="75" t="s">
        <v>2226</v>
      </c>
      <c r="C761" s="75" t="s">
        <v>2227</v>
      </c>
      <c r="D761" s="75">
        <v>1998</v>
      </c>
      <c r="E761" s="75" t="s">
        <v>18</v>
      </c>
      <c r="F761" s="75" t="s">
        <v>1055</v>
      </c>
    </row>
    <row r="762" spans="1:6" x14ac:dyDescent="0.3">
      <c r="A762" s="75" t="s">
        <v>2228</v>
      </c>
      <c r="B762" s="75" t="s">
        <v>2229</v>
      </c>
      <c r="C762" s="75" t="s">
        <v>2230</v>
      </c>
      <c r="D762" s="75" t="s">
        <v>13</v>
      </c>
      <c r="E762" s="75" t="s">
        <v>70</v>
      </c>
      <c r="F762" s="75" t="s">
        <v>118</v>
      </c>
    </row>
    <row r="763" spans="1:6" x14ac:dyDescent="0.3">
      <c r="A763" s="75" t="s">
        <v>2231</v>
      </c>
      <c r="B763" s="75" t="s">
        <v>2232</v>
      </c>
      <c r="C763" s="75" t="s">
        <v>2233</v>
      </c>
      <c r="D763" s="75">
        <v>2004</v>
      </c>
      <c r="E763" s="75" t="s">
        <v>70</v>
      </c>
      <c r="F763" s="75" t="s">
        <v>671</v>
      </c>
    </row>
    <row r="764" spans="1:6" x14ac:dyDescent="0.3">
      <c r="A764" s="75" t="s">
        <v>2234</v>
      </c>
      <c r="B764" s="75" t="s">
        <v>2235</v>
      </c>
      <c r="C764" s="75" t="s">
        <v>35</v>
      </c>
      <c r="D764" s="75" t="s">
        <v>13</v>
      </c>
      <c r="E764" s="75" t="s">
        <v>8</v>
      </c>
      <c r="F764" s="75" t="s">
        <v>27</v>
      </c>
    </row>
    <row r="765" spans="1:6" x14ac:dyDescent="0.3">
      <c r="A765" s="75" t="s">
        <v>2236</v>
      </c>
      <c r="B765" s="75" t="s">
        <v>2237</v>
      </c>
      <c r="C765" s="75" t="s">
        <v>2238</v>
      </c>
      <c r="D765" s="75" t="s">
        <v>13</v>
      </c>
      <c r="E765" s="75" t="s">
        <v>31</v>
      </c>
      <c r="F765" s="75" t="s">
        <v>63</v>
      </c>
    </row>
    <row r="766" spans="1:6" x14ac:dyDescent="0.3">
      <c r="A766" s="75" t="s">
        <v>2239</v>
      </c>
      <c r="B766" s="75" t="s">
        <v>2240</v>
      </c>
      <c r="C766" s="75" t="s">
        <v>2241</v>
      </c>
      <c r="D766" s="75" t="s">
        <v>13</v>
      </c>
      <c r="E766" s="75" t="s">
        <v>518</v>
      </c>
      <c r="F766" s="75" t="s">
        <v>1762</v>
      </c>
    </row>
    <row r="767" spans="1:6" x14ac:dyDescent="0.3">
      <c r="A767" s="75" t="s">
        <v>2242</v>
      </c>
      <c r="B767" s="75" t="s">
        <v>2243</v>
      </c>
      <c r="C767" s="75" t="s">
        <v>1492</v>
      </c>
      <c r="D767" s="75">
        <v>2014</v>
      </c>
      <c r="E767" s="75" t="s">
        <v>31</v>
      </c>
      <c r="F767" s="75" t="s">
        <v>36</v>
      </c>
    </row>
    <row r="768" spans="1:6" x14ac:dyDescent="0.3">
      <c r="A768" s="75" t="s">
        <v>2244</v>
      </c>
      <c r="B768" s="75" t="s">
        <v>2245</v>
      </c>
      <c r="C768" s="75" t="s">
        <v>2246</v>
      </c>
      <c r="D768" s="75">
        <v>1987</v>
      </c>
      <c r="E768" s="75" t="s">
        <v>53</v>
      </c>
      <c r="F768" s="75" t="s">
        <v>1427</v>
      </c>
    </row>
    <row r="769" spans="1:6" x14ac:dyDescent="0.3">
      <c r="A769" s="75" t="s">
        <v>2247</v>
      </c>
      <c r="B769" s="75" t="s">
        <v>2248</v>
      </c>
      <c r="C769" s="75" t="s">
        <v>2249</v>
      </c>
      <c r="D769" s="75" t="s">
        <v>13</v>
      </c>
      <c r="E769" s="75" t="s">
        <v>70</v>
      </c>
      <c r="F769" s="75" t="s">
        <v>71</v>
      </c>
    </row>
    <row r="770" spans="1:6" x14ac:dyDescent="0.3">
      <c r="A770" s="75" t="s">
        <v>2250</v>
      </c>
      <c r="B770" s="75" t="s">
        <v>2248</v>
      </c>
      <c r="C770" s="75" t="s">
        <v>2251</v>
      </c>
      <c r="D770" s="75" t="s">
        <v>13</v>
      </c>
      <c r="E770" s="75" t="s">
        <v>70</v>
      </c>
      <c r="F770" s="75" t="s">
        <v>71</v>
      </c>
    </row>
    <row r="771" spans="1:6" x14ac:dyDescent="0.3">
      <c r="A771" s="75" t="s">
        <v>2252</v>
      </c>
      <c r="B771" s="75" t="s">
        <v>2253</v>
      </c>
      <c r="C771" s="75" t="s">
        <v>2254</v>
      </c>
      <c r="D771" s="75" t="s">
        <v>13</v>
      </c>
      <c r="E771" s="75" t="s">
        <v>70</v>
      </c>
      <c r="F771" s="75" t="s">
        <v>71</v>
      </c>
    </row>
    <row r="772" spans="1:6" x14ac:dyDescent="0.3">
      <c r="A772" s="75" t="s">
        <v>2255</v>
      </c>
      <c r="B772" s="75" t="s">
        <v>2256</v>
      </c>
      <c r="C772" s="75" t="s">
        <v>2257</v>
      </c>
      <c r="D772" s="75">
        <v>1986</v>
      </c>
      <c r="E772" s="75" t="s">
        <v>31</v>
      </c>
      <c r="F772" s="75" t="s">
        <v>92</v>
      </c>
    </row>
    <row r="773" spans="1:6" x14ac:dyDescent="0.3">
      <c r="A773" s="75" t="s">
        <v>2258</v>
      </c>
      <c r="B773" s="75" t="s">
        <v>2259</v>
      </c>
      <c r="C773" s="75" t="s">
        <v>2260</v>
      </c>
      <c r="D773" s="75" t="s">
        <v>13</v>
      </c>
      <c r="E773" s="75" t="s">
        <v>31</v>
      </c>
      <c r="F773" s="75" t="s">
        <v>36</v>
      </c>
    </row>
    <row r="774" spans="1:6" x14ac:dyDescent="0.3">
      <c r="A774" s="75" t="s">
        <v>2261</v>
      </c>
      <c r="B774" s="75" t="s">
        <v>2262</v>
      </c>
      <c r="C774" s="75" t="s">
        <v>2263</v>
      </c>
      <c r="D774" s="75">
        <v>2013</v>
      </c>
      <c r="E774" s="75" t="s">
        <v>18</v>
      </c>
      <c r="F774" s="75" t="s">
        <v>266</v>
      </c>
    </row>
    <row r="775" spans="1:6" x14ac:dyDescent="0.3">
      <c r="A775" s="75" t="s">
        <v>2264</v>
      </c>
      <c r="B775" s="75" t="s">
        <v>2265</v>
      </c>
      <c r="C775" s="75" t="s">
        <v>2266</v>
      </c>
      <c r="D775" s="75">
        <v>2004</v>
      </c>
      <c r="E775" s="75" t="s">
        <v>70</v>
      </c>
      <c r="F775" s="75" t="s">
        <v>71</v>
      </c>
    </row>
    <row r="776" spans="1:6" x14ac:dyDescent="0.3">
      <c r="A776" s="75" t="s">
        <v>2267</v>
      </c>
      <c r="B776" s="75" t="s">
        <v>2268</v>
      </c>
      <c r="C776" s="75" t="s">
        <v>2269</v>
      </c>
      <c r="D776" s="75">
        <v>2015</v>
      </c>
      <c r="E776" s="75" t="s">
        <v>70</v>
      </c>
      <c r="F776" s="75" t="s">
        <v>71</v>
      </c>
    </row>
    <row r="777" spans="1:6" x14ac:dyDescent="0.3">
      <c r="A777" s="75" t="s">
        <v>2270</v>
      </c>
      <c r="B777" s="75" t="s">
        <v>2271</v>
      </c>
      <c r="C777" s="75" t="s">
        <v>2272</v>
      </c>
      <c r="D777" s="75" t="s">
        <v>13</v>
      </c>
      <c r="E777" s="75" t="s">
        <v>70</v>
      </c>
      <c r="F777" s="75" t="s">
        <v>80</v>
      </c>
    </row>
    <row r="778" spans="1:6" x14ac:dyDescent="0.3">
      <c r="A778" s="75" t="s">
        <v>2273</v>
      </c>
      <c r="B778" s="75" t="s">
        <v>2271</v>
      </c>
      <c r="C778" s="75" t="s">
        <v>13</v>
      </c>
      <c r="D778" s="75" t="s">
        <v>13</v>
      </c>
      <c r="E778" s="75" t="s">
        <v>70</v>
      </c>
      <c r="F778" s="75" t="s">
        <v>80</v>
      </c>
    </row>
    <row r="779" spans="1:6" x14ac:dyDescent="0.3">
      <c r="A779" s="75" t="s">
        <v>2274</v>
      </c>
      <c r="B779" s="75" t="s">
        <v>2275</v>
      </c>
      <c r="C779" s="75" t="s">
        <v>2276</v>
      </c>
      <c r="D779" s="75" t="s">
        <v>13</v>
      </c>
      <c r="E779" s="75" t="s">
        <v>70</v>
      </c>
      <c r="F779" s="75" t="s">
        <v>80</v>
      </c>
    </row>
    <row r="780" spans="1:6" x14ac:dyDescent="0.3">
      <c r="A780" s="75" t="s">
        <v>2277</v>
      </c>
      <c r="B780" s="75" t="s">
        <v>2278</v>
      </c>
      <c r="C780" s="75" t="s">
        <v>2279</v>
      </c>
      <c r="D780" s="75">
        <v>1986</v>
      </c>
      <c r="E780" s="75" t="s">
        <v>70</v>
      </c>
      <c r="F780" s="75" t="s">
        <v>118</v>
      </c>
    </row>
    <row r="781" spans="1:6" x14ac:dyDescent="0.3">
      <c r="A781" s="75" t="s">
        <v>2280</v>
      </c>
      <c r="B781" s="75" t="s">
        <v>2281</v>
      </c>
      <c r="C781" s="75" t="s">
        <v>2282</v>
      </c>
      <c r="D781" s="75" t="s">
        <v>13</v>
      </c>
      <c r="E781" s="75" t="s">
        <v>18</v>
      </c>
      <c r="F781" s="75" t="s">
        <v>2283</v>
      </c>
    </row>
    <row r="782" spans="1:6" x14ac:dyDescent="0.3">
      <c r="A782" s="75" t="s">
        <v>2284</v>
      </c>
      <c r="B782" s="75" t="s">
        <v>2285</v>
      </c>
      <c r="C782" s="75" t="s">
        <v>2286</v>
      </c>
      <c r="D782" s="75">
        <v>1994</v>
      </c>
      <c r="E782" s="75" t="s">
        <v>518</v>
      </c>
      <c r="F782" s="75" t="s">
        <v>2287</v>
      </c>
    </row>
    <row r="783" spans="1:6" x14ac:dyDescent="0.3">
      <c r="A783" s="75" t="s">
        <v>2288</v>
      </c>
      <c r="B783" s="75" t="s">
        <v>2289</v>
      </c>
      <c r="C783" s="76">
        <v>474669.93</v>
      </c>
      <c r="D783" s="75">
        <v>2014</v>
      </c>
      <c r="E783" s="75" t="s">
        <v>70</v>
      </c>
      <c r="F783" s="75" t="s">
        <v>71</v>
      </c>
    </row>
    <row r="784" spans="1:6" x14ac:dyDescent="0.3">
      <c r="A784" s="75" t="s">
        <v>2290</v>
      </c>
      <c r="B784" s="75" t="s">
        <v>2291</v>
      </c>
      <c r="C784" s="75" t="s">
        <v>2292</v>
      </c>
      <c r="D784" s="75" t="s">
        <v>13</v>
      </c>
      <c r="E784" s="75" t="s">
        <v>70</v>
      </c>
      <c r="F784" s="75" t="s">
        <v>80</v>
      </c>
    </row>
    <row r="785" spans="1:6" x14ac:dyDescent="0.3">
      <c r="A785" s="75" t="s">
        <v>2293</v>
      </c>
      <c r="B785" s="75" t="s">
        <v>2291</v>
      </c>
      <c r="C785" s="75" t="s">
        <v>13</v>
      </c>
      <c r="D785" s="75" t="s">
        <v>13</v>
      </c>
      <c r="E785" s="75" t="s">
        <v>70</v>
      </c>
      <c r="F785" s="75" t="s">
        <v>80</v>
      </c>
    </row>
    <row r="786" spans="1:6" x14ac:dyDescent="0.3">
      <c r="A786" s="75" t="s">
        <v>2294</v>
      </c>
      <c r="B786" s="75" t="s">
        <v>2295</v>
      </c>
      <c r="C786" s="75" t="s">
        <v>2296</v>
      </c>
      <c r="D786" s="75" t="s">
        <v>13</v>
      </c>
      <c r="E786" s="75" t="s">
        <v>44</v>
      </c>
      <c r="F786" s="75" t="s">
        <v>49</v>
      </c>
    </row>
    <row r="787" spans="1:6" x14ac:dyDescent="0.3">
      <c r="A787" s="75" t="s">
        <v>2297</v>
      </c>
      <c r="B787" s="75" t="s">
        <v>2298</v>
      </c>
      <c r="C787" s="75" t="s">
        <v>2299</v>
      </c>
      <c r="D787" s="75">
        <v>2015</v>
      </c>
      <c r="E787" s="75" t="s">
        <v>18</v>
      </c>
      <c r="F787" s="75" t="s">
        <v>845</v>
      </c>
    </row>
    <row r="788" spans="1:6" x14ac:dyDescent="0.3">
      <c r="A788" s="75" t="s">
        <v>2300</v>
      </c>
      <c r="B788" s="75" t="s">
        <v>2298</v>
      </c>
      <c r="C788" s="75" t="s">
        <v>13</v>
      </c>
      <c r="D788" s="75">
        <v>2015</v>
      </c>
      <c r="E788" s="75" t="s">
        <v>18</v>
      </c>
      <c r="F788" s="75" t="s">
        <v>845</v>
      </c>
    </row>
    <row r="789" spans="1:6" x14ac:dyDescent="0.3">
      <c r="A789" s="75" t="s">
        <v>2301</v>
      </c>
      <c r="B789" s="75" t="s">
        <v>2302</v>
      </c>
      <c r="C789" s="75" t="s">
        <v>2303</v>
      </c>
      <c r="D789" s="75">
        <v>1981</v>
      </c>
      <c r="E789" s="75" t="s">
        <v>53</v>
      </c>
      <c r="F789" s="75" t="s">
        <v>229</v>
      </c>
    </row>
    <row r="790" spans="1:6" x14ac:dyDescent="0.3">
      <c r="A790" s="75" t="s">
        <v>2304</v>
      </c>
      <c r="B790" s="75" t="s">
        <v>2305</v>
      </c>
      <c r="C790" s="75" t="s">
        <v>2306</v>
      </c>
      <c r="D790" s="75">
        <v>1992</v>
      </c>
      <c r="E790" s="75" t="s">
        <v>31</v>
      </c>
      <c r="F790" s="75" t="s">
        <v>36</v>
      </c>
    </row>
    <row r="791" spans="1:6" x14ac:dyDescent="0.3">
      <c r="A791" s="75" t="s">
        <v>2307</v>
      </c>
      <c r="B791" s="75" t="s">
        <v>2308</v>
      </c>
      <c r="C791" s="75" t="s">
        <v>1738</v>
      </c>
      <c r="D791" s="75">
        <v>2014</v>
      </c>
      <c r="E791" s="75" t="s">
        <v>18</v>
      </c>
      <c r="F791" s="75" t="s">
        <v>729</v>
      </c>
    </row>
    <row r="792" spans="1:6" x14ac:dyDescent="0.3">
      <c r="A792" s="75" t="s">
        <v>2309</v>
      </c>
      <c r="B792" s="75" t="s">
        <v>2310</v>
      </c>
      <c r="C792" s="75" t="s">
        <v>2311</v>
      </c>
      <c r="D792" s="75">
        <v>2015</v>
      </c>
      <c r="E792" s="75" t="s">
        <v>348</v>
      </c>
      <c r="F792" s="75" t="s">
        <v>2312</v>
      </c>
    </row>
    <row r="793" spans="1:6" x14ac:dyDescent="0.3">
      <c r="A793" s="75" t="s">
        <v>2313</v>
      </c>
      <c r="B793" s="75" t="s">
        <v>2314</v>
      </c>
      <c r="C793" s="75" t="s">
        <v>13</v>
      </c>
      <c r="D793" s="75" t="s">
        <v>13</v>
      </c>
      <c r="E793" s="75" t="s">
        <v>13</v>
      </c>
      <c r="F793" s="75" t="s">
        <v>13</v>
      </c>
    </row>
    <row r="794" spans="1:6" x14ac:dyDescent="0.3">
      <c r="A794" s="75" t="s">
        <v>2315</v>
      </c>
      <c r="B794" s="75" t="s">
        <v>2316</v>
      </c>
      <c r="C794" s="75" t="s">
        <v>13</v>
      </c>
      <c r="D794" s="75" t="s">
        <v>13</v>
      </c>
      <c r="E794" s="75" t="s">
        <v>13</v>
      </c>
      <c r="F794" s="75" t="s">
        <v>13</v>
      </c>
    </row>
    <row r="795" spans="1:6" x14ac:dyDescent="0.3">
      <c r="A795" s="75" t="s">
        <v>2317</v>
      </c>
      <c r="B795" s="75" t="s">
        <v>2318</v>
      </c>
      <c r="C795" s="75" t="s">
        <v>13</v>
      </c>
      <c r="D795" s="75" t="s">
        <v>13</v>
      </c>
      <c r="E795" s="75" t="s">
        <v>13</v>
      </c>
      <c r="F795" s="75" t="s">
        <v>13</v>
      </c>
    </row>
    <row r="796" spans="1:6" x14ac:dyDescent="0.3">
      <c r="A796" s="75" t="s">
        <v>2319</v>
      </c>
      <c r="B796" s="75" t="s">
        <v>2320</v>
      </c>
      <c r="C796" s="75" t="s">
        <v>2321</v>
      </c>
      <c r="D796" s="75" t="s">
        <v>13</v>
      </c>
      <c r="E796" s="75" t="s">
        <v>84</v>
      </c>
      <c r="F796" s="75" t="s">
        <v>85</v>
      </c>
    </row>
    <row r="797" spans="1:6" x14ac:dyDescent="0.3">
      <c r="A797" s="75" t="s">
        <v>2322</v>
      </c>
      <c r="B797" s="75" t="s">
        <v>2323</v>
      </c>
      <c r="C797" s="75" t="s">
        <v>2324</v>
      </c>
      <c r="D797" s="75">
        <v>2014</v>
      </c>
      <c r="E797" s="75" t="s">
        <v>70</v>
      </c>
      <c r="F797" s="75" t="s">
        <v>118</v>
      </c>
    </row>
    <row r="798" spans="1:6" x14ac:dyDescent="0.3">
      <c r="A798" s="75" t="s">
        <v>2325</v>
      </c>
      <c r="B798" s="75" t="s">
        <v>2326</v>
      </c>
      <c r="C798" s="75" t="s">
        <v>2327</v>
      </c>
      <c r="D798" s="75">
        <v>2012</v>
      </c>
      <c r="E798" s="75" t="s">
        <v>18</v>
      </c>
      <c r="F798" s="75" t="s">
        <v>729</v>
      </c>
    </row>
    <row r="799" spans="1:6" x14ac:dyDescent="0.3">
      <c r="A799" s="75" t="s">
        <v>2328</v>
      </c>
      <c r="B799" s="75" t="s">
        <v>2329</v>
      </c>
      <c r="C799" s="75" t="s">
        <v>2330</v>
      </c>
      <c r="D799" s="75">
        <v>2014</v>
      </c>
      <c r="E799" s="75" t="s">
        <v>18</v>
      </c>
      <c r="F799" s="75" t="s">
        <v>729</v>
      </c>
    </row>
    <row r="800" spans="1:6" x14ac:dyDescent="0.3">
      <c r="A800" s="75" t="s">
        <v>2331</v>
      </c>
      <c r="B800" s="75" t="s">
        <v>2329</v>
      </c>
      <c r="C800" s="75" t="s">
        <v>13</v>
      </c>
      <c r="D800" s="75">
        <v>2014</v>
      </c>
      <c r="E800" s="75" t="s">
        <v>18</v>
      </c>
      <c r="F800" s="75" t="s">
        <v>729</v>
      </c>
    </row>
    <row r="801" spans="1:6" x14ac:dyDescent="0.3">
      <c r="A801" s="75" t="s">
        <v>2332</v>
      </c>
      <c r="B801" s="75" t="s">
        <v>2333</v>
      </c>
      <c r="C801" s="75" t="s">
        <v>2334</v>
      </c>
      <c r="D801" s="75">
        <v>2000</v>
      </c>
      <c r="E801" s="75" t="s">
        <v>70</v>
      </c>
      <c r="F801" s="75" t="s">
        <v>80</v>
      </c>
    </row>
    <row r="802" spans="1:6" x14ac:dyDescent="0.3">
      <c r="A802" s="75" t="s">
        <v>2335</v>
      </c>
      <c r="B802" s="75" t="s">
        <v>2336</v>
      </c>
      <c r="C802" s="75" t="s">
        <v>2337</v>
      </c>
      <c r="D802" s="75" t="s">
        <v>13</v>
      </c>
      <c r="E802" s="75" t="s">
        <v>70</v>
      </c>
      <c r="F802" s="75" t="s">
        <v>71</v>
      </c>
    </row>
    <row r="803" spans="1:6" x14ac:dyDescent="0.3">
      <c r="A803" s="75" t="s">
        <v>2338</v>
      </c>
      <c r="B803" s="75" t="s">
        <v>2339</v>
      </c>
      <c r="C803" s="75" t="s">
        <v>2340</v>
      </c>
      <c r="D803" s="75">
        <v>1981</v>
      </c>
      <c r="E803" s="75" t="s">
        <v>44</v>
      </c>
      <c r="F803" s="75" t="s">
        <v>85</v>
      </c>
    </row>
    <row r="804" spans="1:6" x14ac:dyDescent="0.3">
      <c r="A804" s="75" t="s">
        <v>2341</v>
      </c>
      <c r="B804" s="75" t="s">
        <v>2342</v>
      </c>
      <c r="C804" s="75" t="s">
        <v>2343</v>
      </c>
      <c r="D804" s="75" t="s">
        <v>13</v>
      </c>
      <c r="E804" s="75" t="s">
        <v>58</v>
      </c>
      <c r="F804" s="75" t="s">
        <v>59</v>
      </c>
    </row>
    <row r="805" spans="1:6" x14ac:dyDescent="0.3">
      <c r="A805" s="75" t="s">
        <v>2344</v>
      </c>
      <c r="B805" s="75" t="s">
        <v>2342</v>
      </c>
      <c r="C805" s="75" t="s">
        <v>13</v>
      </c>
      <c r="D805" s="75">
        <v>2013</v>
      </c>
      <c r="E805" s="75" t="s">
        <v>58</v>
      </c>
      <c r="F805" s="75" t="s">
        <v>59</v>
      </c>
    </row>
    <row r="806" spans="1:6" x14ac:dyDescent="0.3">
      <c r="A806" s="75" t="s">
        <v>2345</v>
      </c>
      <c r="B806" s="75" t="s">
        <v>2346</v>
      </c>
      <c r="C806" s="75" t="s">
        <v>2347</v>
      </c>
      <c r="D806" s="75" t="s">
        <v>13</v>
      </c>
      <c r="E806" s="75" t="s">
        <v>18</v>
      </c>
      <c r="F806" s="75" t="s">
        <v>729</v>
      </c>
    </row>
    <row r="807" spans="1:6" x14ac:dyDescent="0.3">
      <c r="A807" s="75" t="s">
        <v>2348</v>
      </c>
      <c r="B807" s="75" t="s">
        <v>2349</v>
      </c>
      <c r="C807" s="75" t="s">
        <v>2350</v>
      </c>
      <c r="D807" s="75">
        <v>1987</v>
      </c>
      <c r="E807" s="75" t="s">
        <v>70</v>
      </c>
      <c r="F807" s="75" t="s">
        <v>80</v>
      </c>
    </row>
    <row r="808" spans="1:6" x14ac:dyDescent="0.3">
      <c r="A808" s="75" t="s">
        <v>2351</v>
      </c>
      <c r="B808" s="75" t="s">
        <v>2352</v>
      </c>
      <c r="C808" s="75" t="s">
        <v>2353</v>
      </c>
      <c r="D808" s="75" t="s">
        <v>13</v>
      </c>
      <c r="E808" s="75" t="s">
        <v>70</v>
      </c>
      <c r="F808" s="75" t="s">
        <v>71</v>
      </c>
    </row>
    <row r="809" spans="1:6" x14ac:dyDescent="0.3">
      <c r="A809" s="75" t="s">
        <v>2354</v>
      </c>
      <c r="B809" s="75" t="s">
        <v>2355</v>
      </c>
      <c r="C809" s="75" t="s">
        <v>2356</v>
      </c>
      <c r="D809" s="75">
        <v>2014</v>
      </c>
      <c r="E809" s="75" t="s">
        <v>70</v>
      </c>
      <c r="F809" s="75" t="s">
        <v>71</v>
      </c>
    </row>
    <row r="810" spans="1:6" x14ac:dyDescent="0.3">
      <c r="A810" s="75" t="s">
        <v>2357</v>
      </c>
      <c r="B810" s="75" t="s">
        <v>2358</v>
      </c>
      <c r="C810" s="75" t="s">
        <v>2359</v>
      </c>
      <c r="D810" s="75" t="s">
        <v>13</v>
      </c>
      <c r="E810" s="75" t="s">
        <v>18</v>
      </c>
      <c r="F810" s="75" t="s">
        <v>762</v>
      </c>
    </row>
    <row r="811" spans="1:6" x14ac:dyDescent="0.3">
      <c r="A811" s="75" t="s">
        <v>2360</v>
      </c>
      <c r="B811" s="75" t="s">
        <v>2361</v>
      </c>
      <c r="C811" s="75" t="s">
        <v>2362</v>
      </c>
      <c r="D811" s="75" t="s">
        <v>13</v>
      </c>
      <c r="E811" s="75" t="s">
        <v>18</v>
      </c>
      <c r="F811" s="75" t="s">
        <v>762</v>
      </c>
    </row>
    <row r="812" spans="1:6" x14ac:dyDescent="0.3">
      <c r="A812" s="75" t="s">
        <v>2363</v>
      </c>
      <c r="B812" s="75" t="s">
        <v>2364</v>
      </c>
      <c r="C812" s="75" t="s">
        <v>2365</v>
      </c>
      <c r="D812" s="75">
        <v>1995</v>
      </c>
      <c r="E812" s="75" t="s">
        <v>348</v>
      </c>
      <c r="F812" s="75" t="s">
        <v>2366</v>
      </c>
    </row>
    <row r="813" spans="1:6" x14ac:dyDescent="0.3">
      <c r="A813" s="75" t="s">
        <v>2367</v>
      </c>
      <c r="B813" s="75" t="s">
        <v>2368</v>
      </c>
      <c r="C813" s="75" t="s">
        <v>2369</v>
      </c>
      <c r="D813" s="75" t="s">
        <v>13</v>
      </c>
      <c r="E813" s="75" t="s">
        <v>31</v>
      </c>
      <c r="F813" s="75" t="s">
        <v>36</v>
      </c>
    </row>
    <row r="814" spans="1:6" x14ac:dyDescent="0.3">
      <c r="A814" s="75" t="s">
        <v>2370</v>
      </c>
      <c r="B814" s="75" t="s">
        <v>2371</v>
      </c>
      <c r="C814" s="75" t="s">
        <v>2372</v>
      </c>
      <c r="D814" s="75">
        <v>2005</v>
      </c>
      <c r="E814" s="75" t="s">
        <v>70</v>
      </c>
      <c r="F814" s="75" t="s">
        <v>80</v>
      </c>
    </row>
    <row r="815" spans="1:6" x14ac:dyDescent="0.3">
      <c r="A815" s="75" t="s">
        <v>2373</v>
      </c>
      <c r="B815" s="75" t="s">
        <v>2374</v>
      </c>
      <c r="C815" s="75" t="s">
        <v>2375</v>
      </c>
      <c r="D815" s="75" t="s">
        <v>13</v>
      </c>
      <c r="E815" s="75" t="s">
        <v>70</v>
      </c>
      <c r="F815" s="75" t="s">
        <v>80</v>
      </c>
    </row>
    <row r="816" spans="1:6" x14ac:dyDescent="0.3">
      <c r="A816" s="75" t="s">
        <v>2376</v>
      </c>
      <c r="B816" s="75" t="s">
        <v>2377</v>
      </c>
      <c r="C816" s="75" t="s">
        <v>2378</v>
      </c>
      <c r="D816" s="75" t="s">
        <v>13</v>
      </c>
      <c r="E816" s="75" t="s">
        <v>13</v>
      </c>
      <c r="F816" s="75" t="s">
        <v>13</v>
      </c>
    </row>
    <row r="817" spans="1:6" x14ac:dyDescent="0.3">
      <c r="A817" s="75" t="s">
        <v>2379</v>
      </c>
      <c r="B817" s="75" t="s">
        <v>2380</v>
      </c>
      <c r="C817" s="75" t="s">
        <v>2381</v>
      </c>
      <c r="D817" s="75" t="s">
        <v>13</v>
      </c>
      <c r="E817" s="75" t="s">
        <v>8</v>
      </c>
      <c r="F817" s="75" t="s">
        <v>2382</v>
      </c>
    </row>
    <row r="818" spans="1:6" x14ac:dyDescent="0.3">
      <c r="A818" s="75" t="s">
        <v>2383</v>
      </c>
      <c r="B818" s="75" t="s">
        <v>2384</v>
      </c>
      <c r="C818" s="75" t="s">
        <v>2385</v>
      </c>
      <c r="D818" s="75">
        <v>2012</v>
      </c>
      <c r="E818" s="75" t="s">
        <v>84</v>
      </c>
      <c r="F818" s="75" t="s">
        <v>85</v>
      </c>
    </row>
    <row r="819" spans="1:6" x14ac:dyDescent="0.3">
      <c r="A819" s="75" t="s">
        <v>2386</v>
      </c>
      <c r="B819" s="75" t="s">
        <v>2387</v>
      </c>
      <c r="C819" s="76">
        <v>21646.9</v>
      </c>
      <c r="D819" s="75" t="s">
        <v>13</v>
      </c>
      <c r="E819" s="75" t="s">
        <v>283</v>
      </c>
      <c r="F819" s="75" t="s">
        <v>1449</v>
      </c>
    </row>
    <row r="820" spans="1:6" x14ac:dyDescent="0.3">
      <c r="A820" s="75" t="s">
        <v>2388</v>
      </c>
      <c r="B820" s="75" t="s">
        <v>2389</v>
      </c>
      <c r="C820" s="75" t="s">
        <v>2390</v>
      </c>
      <c r="D820" s="75">
        <v>2014</v>
      </c>
      <c r="E820" s="75" t="s">
        <v>70</v>
      </c>
      <c r="F820" s="75" t="s">
        <v>71</v>
      </c>
    </row>
    <row r="821" spans="1:6" x14ac:dyDescent="0.3">
      <c r="A821" s="75" t="s">
        <v>2391</v>
      </c>
      <c r="B821" s="75" t="s">
        <v>2392</v>
      </c>
      <c r="C821" s="75" t="s">
        <v>2393</v>
      </c>
      <c r="D821" s="75" t="s">
        <v>13</v>
      </c>
      <c r="E821" s="75" t="s">
        <v>348</v>
      </c>
      <c r="F821" s="75" t="s">
        <v>1059</v>
      </c>
    </row>
    <row r="822" spans="1:6" x14ac:dyDescent="0.3">
      <c r="A822" s="75" t="s">
        <v>2394</v>
      </c>
      <c r="B822" s="75" t="s">
        <v>2395</v>
      </c>
      <c r="C822" s="75" t="s">
        <v>2396</v>
      </c>
      <c r="D822" s="75" t="s">
        <v>13</v>
      </c>
      <c r="E822" s="75" t="s">
        <v>70</v>
      </c>
      <c r="F822" s="75" t="s">
        <v>71</v>
      </c>
    </row>
    <row r="823" spans="1:6" x14ac:dyDescent="0.3">
      <c r="A823" s="75" t="s">
        <v>2397</v>
      </c>
      <c r="B823" s="75" t="s">
        <v>2398</v>
      </c>
      <c r="C823" s="75" t="s">
        <v>2399</v>
      </c>
      <c r="D823" s="75">
        <v>1989</v>
      </c>
      <c r="E823" s="75" t="s">
        <v>31</v>
      </c>
      <c r="F823" s="75" t="s">
        <v>395</v>
      </c>
    </row>
    <row r="824" spans="1:6" x14ac:dyDescent="0.3">
      <c r="A824" s="75" t="s">
        <v>2400</v>
      </c>
      <c r="B824" s="75" t="s">
        <v>2401</v>
      </c>
      <c r="C824" s="75" t="s">
        <v>2402</v>
      </c>
      <c r="D824" s="75" t="s">
        <v>13</v>
      </c>
      <c r="E824" s="75" t="s">
        <v>31</v>
      </c>
      <c r="F824" s="75" t="s">
        <v>49</v>
      </c>
    </row>
    <row r="825" spans="1:6" x14ac:dyDescent="0.3">
      <c r="A825" s="75" t="s">
        <v>2403</v>
      </c>
      <c r="B825" s="75" t="s">
        <v>2404</v>
      </c>
      <c r="C825" s="75" t="s">
        <v>2405</v>
      </c>
      <c r="D825" s="75" t="s">
        <v>13</v>
      </c>
      <c r="E825" s="75" t="s">
        <v>31</v>
      </c>
      <c r="F825" s="75" t="s">
        <v>161</v>
      </c>
    </row>
    <row r="826" spans="1:6" x14ac:dyDescent="0.3">
      <c r="A826" s="75" t="s">
        <v>2406</v>
      </c>
      <c r="B826" s="75" t="s">
        <v>2407</v>
      </c>
      <c r="C826" s="75" t="s">
        <v>2408</v>
      </c>
      <c r="D826" s="75">
        <v>2004</v>
      </c>
      <c r="E826" s="75" t="s">
        <v>70</v>
      </c>
      <c r="F826" s="75" t="s">
        <v>671</v>
      </c>
    </row>
    <row r="827" spans="1:6" x14ac:dyDescent="0.3">
      <c r="A827" s="75" t="s">
        <v>2409</v>
      </c>
      <c r="B827" s="75" t="s">
        <v>2410</v>
      </c>
      <c r="C827" s="75" t="s">
        <v>2411</v>
      </c>
      <c r="D827" s="75" t="s">
        <v>13</v>
      </c>
      <c r="E827" s="75" t="s">
        <v>31</v>
      </c>
      <c r="F827" s="75" t="s">
        <v>291</v>
      </c>
    </row>
    <row r="828" spans="1:6" x14ac:dyDescent="0.3">
      <c r="A828" s="75" t="s">
        <v>2412</v>
      </c>
      <c r="B828" s="75" t="s">
        <v>2413</v>
      </c>
      <c r="C828" s="75" t="s">
        <v>2414</v>
      </c>
      <c r="D828" s="75" t="s">
        <v>13</v>
      </c>
      <c r="E828" s="75" t="s">
        <v>96</v>
      </c>
      <c r="F828" s="75" t="s">
        <v>97</v>
      </c>
    </row>
    <row r="829" spans="1:6" x14ac:dyDescent="0.3">
      <c r="A829" s="75" t="s">
        <v>2415</v>
      </c>
      <c r="B829" s="75" t="s">
        <v>2416</v>
      </c>
      <c r="C829" s="75" t="s">
        <v>2417</v>
      </c>
      <c r="D829" s="75" t="s">
        <v>13</v>
      </c>
      <c r="E829" s="75" t="s">
        <v>8</v>
      </c>
      <c r="F829" s="75" t="s">
        <v>23</v>
      </c>
    </row>
    <row r="830" spans="1:6" x14ac:dyDescent="0.3">
      <c r="A830" s="75" t="s">
        <v>2418</v>
      </c>
      <c r="B830" s="75" t="s">
        <v>2419</v>
      </c>
      <c r="C830" s="75" t="s">
        <v>2420</v>
      </c>
      <c r="D830" s="75">
        <v>2015</v>
      </c>
      <c r="E830" s="75" t="s">
        <v>70</v>
      </c>
      <c r="F830" s="75" t="s">
        <v>118</v>
      </c>
    </row>
    <row r="831" spans="1:6" x14ac:dyDescent="0.3">
      <c r="A831" s="75" t="s">
        <v>2421</v>
      </c>
      <c r="B831" s="75" t="s">
        <v>2422</v>
      </c>
      <c r="C831" s="75" t="s">
        <v>437</v>
      </c>
      <c r="D831" s="75" t="s">
        <v>13</v>
      </c>
      <c r="E831" s="75" t="s">
        <v>31</v>
      </c>
      <c r="F831" s="75" t="s">
        <v>92</v>
      </c>
    </row>
    <row r="832" spans="1:6" x14ac:dyDescent="0.3">
      <c r="A832" s="75" t="s">
        <v>2423</v>
      </c>
      <c r="B832" s="75" t="s">
        <v>2424</v>
      </c>
      <c r="C832" s="75" t="s">
        <v>2425</v>
      </c>
      <c r="D832" s="75" t="s">
        <v>13</v>
      </c>
      <c r="E832" s="75" t="s">
        <v>18</v>
      </c>
      <c r="F832" s="75" t="s">
        <v>461</v>
      </c>
    </row>
    <row r="833" spans="1:6" x14ac:dyDescent="0.3">
      <c r="A833" s="75" t="s">
        <v>2426</v>
      </c>
      <c r="B833" s="75" t="s">
        <v>2424</v>
      </c>
      <c r="C833" s="75" t="s">
        <v>2427</v>
      </c>
      <c r="D833" s="75" t="s">
        <v>13</v>
      </c>
      <c r="E833" s="75" t="s">
        <v>18</v>
      </c>
      <c r="F833" s="75" t="s">
        <v>461</v>
      </c>
    </row>
    <row r="834" spans="1:6" x14ac:dyDescent="0.3">
      <c r="A834" s="75" t="s">
        <v>2428</v>
      </c>
      <c r="B834" s="75" t="s">
        <v>2424</v>
      </c>
      <c r="C834" s="75" t="s">
        <v>2429</v>
      </c>
      <c r="D834" s="75" t="s">
        <v>13</v>
      </c>
      <c r="E834" s="75" t="s">
        <v>18</v>
      </c>
      <c r="F834" s="75" t="s">
        <v>461</v>
      </c>
    </row>
    <row r="835" spans="1:6" x14ac:dyDescent="0.3">
      <c r="A835" s="75" t="s">
        <v>2430</v>
      </c>
      <c r="B835" s="75" t="s">
        <v>2431</v>
      </c>
      <c r="C835" s="75" t="s">
        <v>2432</v>
      </c>
      <c r="D835" s="75">
        <v>1995</v>
      </c>
      <c r="E835" s="75" t="s">
        <v>18</v>
      </c>
      <c r="F835" s="75" t="s">
        <v>461</v>
      </c>
    </row>
    <row r="836" spans="1:6" x14ac:dyDescent="0.3">
      <c r="A836" s="75" t="s">
        <v>2433</v>
      </c>
      <c r="B836" s="75" t="s">
        <v>2434</v>
      </c>
      <c r="C836" s="75" t="s">
        <v>2435</v>
      </c>
      <c r="D836" s="75" t="s">
        <v>13</v>
      </c>
      <c r="E836" s="75" t="s">
        <v>70</v>
      </c>
      <c r="F836" s="75" t="s">
        <v>1375</v>
      </c>
    </row>
    <row r="837" spans="1:6" x14ac:dyDescent="0.3">
      <c r="A837" s="75" t="s">
        <v>2436</v>
      </c>
      <c r="B837" s="75" t="s">
        <v>2437</v>
      </c>
      <c r="C837" s="75" t="s">
        <v>2438</v>
      </c>
      <c r="D837" s="75" t="s">
        <v>13</v>
      </c>
      <c r="E837" s="75" t="s">
        <v>18</v>
      </c>
      <c r="F837" s="75" t="s">
        <v>729</v>
      </c>
    </row>
    <row r="838" spans="1:6" x14ac:dyDescent="0.3">
      <c r="A838" s="75" t="s">
        <v>2439</v>
      </c>
      <c r="B838" s="75" t="s">
        <v>2440</v>
      </c>
      <c r="C838" s="75" t="s">
        <v>2441</v>
      </c>
      <c r="D838" s="75" t="s">
        <v>13</v>
      </c>
      <c r="E838" s="75" t="s">
        <v>31</v>
      </c>
      <c r="F838" s="75" t="s">
        <v>1032</v>
      </c>
    </row>
    <row r="839" spans="1:6" x14ac:dyDescent="0.3">
      <c r="A839" s="75" t="s">
        <v>2442</v>
      </c>
      <c r="B839" s="75" t="s">
        <v>2443</v>
      </c>
      <c r="C839" s="75" t="s">
        <v>2444</v>
      </c>
      <c r="D839" s="75" t="s">
        <v>13</v>
      </c>
      <c r="E839" s="75" t="s">
        <v>53</v>
      </c>
      <c r="F839" s="75" t="s">
        <v>353</v>
      </c>
    </row>
    <row r="840" spans="1:6" x14ac:dyDescent="0.3">
      <c r="A840" s="75" t="s">
        <v>2445</v>
      </c>
      <c r="B840" s="75" t="s">
        <v>2446</v>
      </c>
      <c r="C840" s="75" t="s">
        <v>2447</v>
      </c>
      <c r="D840" s="75" t="s">
        <v>13</v>
      </c>
      <c r="E840" s="75" t="s">
        <v>8</v>
      </c>
      <c r="F840" s="75" t="s">
        <v>27</v>
      </c>
    </row>
    <row r="841" spans="1:6" x14ac:dyDescent="0.3">
      <c r="A841" s="75" t="s">
        <v>2448</v>
      </c>
      <c r="B841" s="75" t="s">
        <v>2449</v>
      </c>
      <c r="C841" s="75" t="s">
        <v>2450</v>
      </c>
      <c r="D841" s="75">
        <v>1995</v>
      </c>
      <c r="E841" s="75" t="s">
        <v>18</v>
      </c>
      <c r="F841" s="75" t="s">
        <v>2123</v>
      </c>
    </row>
    <row r="842" spans="1:6" x14ac:dyDescent="0.3">
      <c r="A842" s="75" t="s">
        <v>2451</v>
      </c>
      <c r="B842" s="75" t="s">
        <v>2452</v>
      </c>
      <c r="C842" s="75" t="s">
        <v>2453</v>
      </c>
      <c r="D842" s="75" t="s">
        <v>13</v>
      </c>
      <c r="E842" s="75" t="s">
        <v>8</v>
      </c>
      <c r="F842" s="75" t="s">
        <v>9</v>
      </c>
    </row>
    <row r="843" spans="1:6" x14ac:dyDescent="0.3">
      <c r="A843" s="75" t="s">
        <v>2454</v>
      </c>
      <c r="B843" s="75" t="s">
        <v>2452</v>
      </c>
      <c r="C843" s="75" t="s">
        <v>2455</v>
      </c>
      <c r="D843" s="75">
        <v>1986</v>
      </c>
      <c r="E843" s="75" t="s">
        <v>8</v>
      </c>
      <c r="F843" s="75" t="s">
        <v>9</v>
      </c>
    </row>
    <row r="844" spans="1:6" x14ac:dyDescent="0.3">
      <c r="A844" s="75" t="s">
        <v>2456</v>
      </c>
      <c r="B844" s="75" t="s">
        <v>2457</v>
      </c>
      <c r="C844" s="75" t="s">
        <v>2458</v>
      </c>
      <c r="D844" s="75" t="s">
        <v>13</v>
      </c>
      <c r="E844" s="75" t="s">
        <v>84</v>
      </c>
      <c r="F844" s="75" t="s">
        <v>85</v>
      </c>
    </row>
    <row r="845" spans="1:6" x14ac:dyDescent="0.3">
      <c r="A845" s="75" t="s">
        <v>2459</v>
      </c>
      <c r="B845" s="75" t="s">
        <v>2460</v>
      </c>
      <c r="C845" s="75" t="s">
        <v>2461</v>
      </c>
      <c r="D845" s="75" t="s">
        <v>13</v>
      </c>
      <c r="E845" s="75" t="s">
        <v>53</v>
      </c>
      <c r="F845" s="75" t="s">
        <v>193</v>
      </c>
    </row>
    <row r="846" spans="1:6" x14ac:dyDescent="0.3">
      <c r="A846" s="75" t="s">
        <v>2462</v>
      </c>
      <c r="B846" s="75" t="s">
        <v>2463</v>
      </c>
      <c r="C846" s="75" t="s">
        <v>2464</v>
      </c>
      <c r="D846" s="75">
        <v>2015</v>
      </c>
      <c r="E846" s="75" t="s">
        <v>8</v>
      </c>
      <c r="F846" s="75" t="s">
        <v>76</v>
      </c>
    </row>
    <row r="847" spans="1:6" x14ac:dyDescent="0.3">
      <c r="A847" s="75" t="s">
        <v>2465</v>
      </c>
      <c r="B847" s="75" t="s">
        <v>2463</v>
      </c>
      <c r="C847" s="75" t="s">
        <v>13</v>
      </c>
      <c r="D847" s="75">
        <v>2015</v>
      </c>
      <c r="E847" s="75" t="s">
        <v>8</v>
      </c>
      <c r="F847" s="75" t="s">
        <v>76</v>
      </c>
    </row>
    <row r="848" spans="1:6" x14ac:dyDescent="0.3">
      <c r="A848" s="75" t="s">
        <v>2466</v>
      </c>
      <c r="B848" s="75" t="s">
        <v>2463</v>
      </c>
      <c r="C848" s="75" t="s">
        <v>13</v>
      </c>
      <c r="D848" s="75">
        <v>2015</v>
      </c>
      <c r="E848" s="75" t="s">
        <v>8</v>
      </c>
      <c r="F848" s="75" t="s">
        <v>76</v>
      </c>
    </row>
    <row r="849" spans="1:6" x14ac:dyDescent="0.3">
      <c r="A849" s="75" t="s">
        <v>2467</v>
      </c>
      <c r="B849" s="75" t="s">
        <v>2468</v>
      </c>
      <c r="C849" s="75" t="s">
        <v>2469</v>
      </c>
      <c r="D849" s="75">
        <v>2017</v>
      </c>
      <c r="E849" s="75" t="s">
        <v>70</v>
      </c>
      <c r="F849" s="75" t="s">
        <v>71</v>
      </c>
    </row>
    <row r="850" spans="1:6" x14ac:dyDescent="0.3">
      <c r="A850" s="75" t="s">
        <v>2470</v>
      </c>
      <c r="B850" s="75" t="s">
        <v>2471</v>
      </c>
      <c r="C850" s="75" t="s">
        <v>2472</v>
      </c>
      <c r="D850" s="75">
        <v>2005</v>
      </c>
      <c r="E850" s="75" t="s">
        <v>283</v>
      </c>
      <c r="F850" s="75" t="s">
        <v>1449</v>
      </c>
    </row>
    <row r="851" spans="1:6" x14ac:dyDescent="0.3">
      <c r="A851" s="75" t="s">
        <v>2473</v>
      </c>
      <c r="B851" s="75" t="s">
        <v>2474</v>
      </c>
      <c r="C851" s="75" t="s">
        <v>2475</v>
      </c>
      <c r="D851" s="75">
        <v>1994</v>
      </c>
      <c r="E851" s="75" t="s">
        <v>31</v>
      </c>
      <c r="F851" s="75" t="s">
        <v>92</v>
      </c>
    </row>
    <row r="852" spans="1:6" x14ac:dyDescent="0.3">
      <c r="A852" s="75" t="s">
        <v>2476</v>
      </c>
      <c r="B852" s="75" t="s">
        <v>2477</v>
      </c>
      <c r="C852" s="75" t="s">
        <v>2478</v>
      </c>
      <c r="D852" s="75">
        <v>2015</v>
      </c>
      <c r="E852" s="75" t="s">
        <v>18</v>
      </c>
      <c r="F852" s="75" t="s">
        <v>762</v>
      </c>
    </row>
    <row r="853" spans="1:6" x14ac:dyDescent="0.3">
      <c r="A853" s="75" t="s">
        <v>2479</v>
      </c>
      <c r="B853" s="75" t="s">
        <v>2480</v>
      </c>
      <c r="C853" s="75" t="s">
        <v>2481</v>
      </c>
      <c r="D853" s="75">
        <v>2011</v>
      </c>
      <c r="E853" s="75" t="s">
        <v>18</v>
      </c>
      <c r="F853" s="75" t="s">
        <v>729</v>
      </c>
    </row>
    <row r="854" spans="1:6" x14ac:dyDescent="0.3">
      <c r="A854" s="75" t="s">
        <v>2482</v>
      </c>
      <c r="B854" s="75" t="s">
        <v>2483</v>
      </c>
      <c r="C854" s="75" t="s">
        <v>2484</v>
      </c>
      <c r="D854" s="75">
        <v>2000</v>
      </c>
      <c r="E854" s="75" t="s">
        <v>70</v>
      </c>
      <c r="F854" s="75" t="s">
        <v>71</v>
      </c>
    </row>
    <row r="855" spans="1:6" x14ac:dyDescent="0.3">
      <c r="A855" s="75" t="s">
        <v>2485</v>
      </c>
      <c r="B855" s="75" t="s">
        <v>2486</v>
      </c>
      <c r="C855" s="75" t="s">
        <v>2487</v>
      </c>
      <c r="D855" s="75" t="s">
        <v>13</v>
      </c>
      <c r="E855" s="75" t="s">
        <v>53</v>
      </c>
      <c r="F855" s="75" t="s">
        <v>63</v>
      </c>
    </row>
    <row r="856" spans="1:6" x14ac:dyDescent="0.3">
      <c r="A856" s="75" t="s">
        <v>2488</v>
      </c>
      <c r="B856" s="75" t="s">
        <v>2489</v>
      </c>
      <c r="C856" s="75" t="s">
        <v>2490</v>
      </c>
      <c r="D856" s="75" t="s">
        <v>13</v>
      </c>
      <c r="E856" s="75" t="s">
        <v>53</v>
      </c>
      <c r="F856" s="75" t="s">
        <v>63</v>
      </c>
    </row>
    <row r="857" spans="1:6" x14ac:dyDescent="0.3">
      <c r="A857" s="75" t="s">
        <v>2491</v>
      </c>
      <c r="B857" s="75" t="s">
        <v>2492</v>
      </c>
      <c r="C857" s="75" t="s">
        <v>2493</v>
      </c>
      <c r="D857" s="75" t="s">
        <v>13</v>
      </c>
      <c r="E857" s="75" t="s">
        <v>70</v>
      </c>
      <c r="F857" s="75" t="s">
        <v>671</v>
      </c>
    </row>
    <row r="858" spans="1:6" x14ac:dyDescent="0.3">
      <c r="A858" s="75" t="s">
        <v>2494</v>
      </c>
      <c r="B858" s="75" t="s">
        <v>2495</v>
      </c>
      <c r="C858" s="75" t="s">
        <v>1367</v>
      </c>
      <c r="D858" s="75">
        <v>2004</v>
      </c>
      <c r="E858" s="75" t="s">
        <v>70</v>
      </c>
      <c r="F858" s="75" t="s">
        <v>71</v>
      </c>
    </row>
    <row r="859" spans="1:6" x14ac:dyDescent="0.3">
      <c r="A859" s="75" t="s">
        <v>2496</v>
      </c>
      <c r="B859" s="75" t="s">
        <v>2497</v>
      </c>
      <c r="C859" s="75" t="s">
        <v>2498</v>
      </c>
      <c r="D859" s="75" t="s">
        <v>13</v>
      </c>
      <c r="E859" s="75" t="s">
        <v>8</v>
      </c>
      <c r="F859" s="75" t="s">
        <v>23</v>
      </c>
    </row>
    <row r="860" spans="1:6" x14ac:dyDescent="0.3">
      <c r="A860" s="75" t="s">
        <v>2499</v>
      </c>
      <c r="B860" s="75" t="s">
        <v>2500</v>
      </c>
      <c r="C860" s="75" t="s">
        <v>2501</v>
      </c>
      <c r="D860" s="75" t="s">
        <v>13</v>
      </c>
      <c r="E860" s="75" t="s">
        <v>8</v>
      </c>
      <c r="F860" s="75" t="s">
        <v>27</v>
      </c>
    </row>
    <row r="861" spans="1:6" x14ac:dyDescent="0.3">
      <c r="A861" s="75" t="s">
        <v>2502</v>
      </c>
      <c r="B861" s="75" t="s">
        <v>2503</v>
      </c>
      <c r="C861" s="75" t="s">
        <v>2504</v>
      </c>
      <c r="D861" s="75" t="s">
        <v>13</v>
      </c>
      <c r="E861" s="75" t="s">
        <v>8</v>
      </c>
      <c r="F861" s="75" t="s">
        <v>27</v>
      </c>
    </row>
    <row r="862" spans="1:6" x14ac:dyDescent="0.3">
      <c r="A862" s="75" t="s">
        <v>2505</v>
      </c>
      <c r="B862" s="75" t="s">
        <v>2506</v>
      </c>
      <c r="C862" s="75" t="s">
        <v>2507</v>
      </c>
      <c r="D862" s="75" t="s">
        <v>13</v>
      </c>
      <c r="E862" s="75" t="s">
        <v>283</v>
      </c>
      <c r="F862" s="75" t="s">
        <v>1449</v>
      </c>
    </row>
    <row r="863" spans="1:6" x14ac:dyDescent="0.3">
      <c r="A863" s="75" t="s">
        <v>2508</v>
      </c>
      <c r="B863" s="75" t="s">
        <v>2509</v>
      </c>
      <c r="C863" s="75" t="s">
        <v>2510</v>
      </c>
      <c r="D863" s="75">
        <v>2017</v>
      </c>
      <c r="E863" s="75" t="s">
        <v>8</v>
      </c>
      <c r="F863" s="75" t="s">
        <v>23</v>
      </c>
    </row>
    <row r="864" spans="1:6" x14ac:dyDescent="0.3">
      <c r="A864" s="75" t="s">
        <v>2511</v>
      </c>
      <c r="B864" s="75" t="s">
        <v>2512</v>
      </c>
      <c r="C864" s="75" t="s">
        <v>2513</v>
      </c>
      <c r="D864" s="75">
        <v>2014</v>
      </c>
      <c r="E864" s="75" t="s">
        <v>70</v>
      </c>
      <c r="F864" s="75" t="s">
        <v>71</v>
      </c>
    </row>
    <row r="865" spans="1:6" x14ac:dyDescent="0.3">
      <c r="A865" s="75" t="s">
        <v>2514</v>
      </c>
      <c r="B865" s="75" t="s">
        <v>2515</v>
      </c>
      <c r="C865" s="75" t="s">
        <v>2516</v>
      </c>
      <c r="D865" s="75" t="s">
        <v>13</v>
      </c>
      <c r="E865" s="75" t="s">
        <v>8</v>
      </c>
      <c r="F865" s="75" t="s">
        <v>27</v>
      </c>
    </row>
    <row r="866" spans="1:6" x14ac:dyDescent="0.3">
      <c r="A866" s="75" t="s">
        <v>2517</v>
      </c>
      <c r="B866" s="75" t="s">
        <v>2518</v>
      </c>
      <c r="C866" s="75" t="s">
        <v>2519</v>
      </c>
      <c r="D866" s="75">
        <v>2015</v>
      </c>
      <c r="E866" s="75" t="s">
        <v>53</v>
      </c>
      <c r="F866" s="75" t="s">
        <v>2520</v>
      </c>
    </row>
    <row r="867" spans="1:6" x14ac:dyDescent="0.3">
      <c r="A867" s="75" t="s">
        <v>2521</v>
      </c>
      <c r="B867" s="75" t="s">
        <v>2518</v>
      </c>
      <c r="C867" s="75" t="s">
        <v>13</v>
      </c>
      <c r="D867" s="75">
        <v>2015</v>
      </c>
      <c r="E867" s="75" t="s">
        <v>53</v>
      </c>
      <c r="F867" s="75" t="s">
        <v>2520</v>
      </c>
    </row>
    <row r="868" spans="1:6" x14ac:dyDescent="0.3">
      <c r="A868" s="75" t="s">
        <v>2522</v>
      </c>
      <c r="B868" s="75" t="s">
        <v>2518</v>
      </c>
      <c r="C868" s="75" t="s">
        <v>13</v>
      </c>
      <c r="D868" s="75">
        <v>2015</v>
      </c>
      <c r="E868" s="75" t="s">
        <v>53</v>
      </c>
      <c r="F868" s="75" t="s">
        <v>2520</v>
      </c>
    </row>
    <row r="869" spans="1:6" x14ac:dyDescent="0.3">
      <c r="A869" s="75" t="s">
        <v>2523</v>
      </c>
      <c r="B869" s="75" t="s">
        <v>2524</v>
      </c>
      <c r="C869" s="75" t="s">
        <v>2525</v>
      </c>
      <c r="D869" s="75" t="s">
        <v>13</v>
      </c>
      <c r="E869" s="75" t="s">
        <v>53</v>
      </c>
      <c r="F869" s="75" t="s">
        <v>63</v>
      </c>
    </row>
    <row r="870" spans="1:6" x14ac:dyDescent="0.3">
      <c r="A870" s="75" t="s">
        <v>2526</v>
      </c>
      <c r="B870" s="75" t="s">
        <v>2527</v>
      </c>
      <c r="C870" s="75" t="s">
        <v>13</v>
      </c>
      <c r="D870" s="75" t="s">
        <v>13</v>
      </c>
      <c r="E870" s="75" t="s">
        <v>13</v>
      </c>
      <c r="F870" s="75" t="s">
        <v>13</v>
      </c>
    </row>
    <row r="871" spans="1:6" x14ac:dyDescent="0.3">
      <c r="A871" s="75" t="s">
        <v>2528</v>
      </c>
      <c r="B871" s="75" t="s">
        <v>2527</v>
      </c>
      <c r="C871" s="75" t="s">
        <v>13</v>
      </c>
      <c r="D871" s="75" t="s">
        <v>13</v>
      </c>
      <c r="E871" s="75" t="s">
        <v>13</v>
      </c>
      <c r="F871" s="75" t="s">
        <v>13</v>
      </c>
    </row>
    <row r="872" spans="1:6" x14ac:dyDescent="0.3">
      <c r="A872" s="75" t="s">
        <v>2529</v>
      </c>
      <c r="B872" s="75" t="s">
        <v>2530</v>
      </c>
      <c r="C872" s="75" t="s">
        <v>13</v>
      </c>
      <c r="D872" s="75" t="s">
        <v>13</v>
      </c>
      <c r="E872" s="75" t="s">
        <v>13</v>
      </c>
      <c r="F872" s="75" t="s">
        <v>13</v>
      </c>
    </row>
    <row r="873" spans="1:6" x14ac:dyDescent="0.3">
      <c r="A873" s="75" t="s">
        <v>2531</v>
      </c>
      <c r="B873" s="75" t="s">
        <v>2532</v>
      </c>
      <c r="C873" s="75" t="s">
        <v>2533</v>
      </c>
      <c r="D873" s="75">
        <v>1998</v>
      </c>
      <c r="E873" s="75" t="s">
        <v>96</v>
      </c>
      <c r="F873" s="75" t="s">
        <v>76</v>
      </c>
    </row>
    <row r="874" spans="1:6" x14ac:dyDescent="0.3">
      <c r="A874" s="75" t="s">
        <v>2534</v>
      </c>
      <c r="B874" s="75" t="s">
        <v>2532</v>
      </c>
      <c r="C874" s="75" t="s">
        <v>13</v>
      </c>
      <c r="D874" s="75" t="s">
        <v>13</v>
      </c>
      <c r="E874" s="75" t="s">
        <v>96</v>
      </c>
      <c r="F874" s="75" t="s">
        <v>76</v>
      </c>
    </row>
    <row r="875" spans="1:6" x14ac:dyDescent="0.3">
      <c r="A875" s="75" t="s">
        <v>2535</v>
      </c>
      <c r="B875" s="75" t="s">
        <v>2536</v>
      </c>
      <c r="C875" s="75" t="s">
        <v>1939</v>
      </c>
      <c r="D875" s="75" t="s">
        <v>13</v>
      </c>
      <c r="E875" s="75" t="s">
        <v>31</v>
      </c>
      <c r="F875" s="75" t="s">
        <v>161</v>
      </c>
    </row>
    <row r="876" spans="1:6" x14ac:dyDescent="0.3">
      <c r="A876" s="75" t="s">
        <v>2537</v>
      </c>
      <c r="B876" s="75" t="s">
        <v>2538</v>
      </c>
      <c r="C876" s="75" t="s">
        <v>2539</v>
      </c>
      <c r="D876" s="75">
        <v>1998</v>
      </c>
      <c r="E876" s="75" t="s">
        <v>31</v>
      </c>
      <c r="F876" s="75" t="s">
        <v>395</v>
      </c>
    </row>
    <row r="877" spans="1:6" x14ac:dyDescent="0.3">
      <c r="A877" s="75" t="s">
        <v>2540</v>
      </c>
      <c r="B877" s="75" t="s">
        <v>2541</v>
      </c>
      <c r="C877" s="75" t="s">
        <v>2542</v>
      </c>
      <c r="D877" s="75">
        <v>2009</v>
      </c>
      <c r="E877" s="75" t="s">
        <v>283</v>
      </c>
      <c r="F877" s="75" t="s">
        <v>1345</v>
      </c>
    </row>
    <row r="878" spans="1:6" x14ac:dyDescent="0.3">
      <c r="A878" s="75" t="s">
        <v>2543</v>
      </c>
      <c r="B878" s="75" t="s">
        <v>2544</v>
      </c>
      <c r="C878" s="75" t="s">
        <v>2545</v>
      </c>
      <c r="D878" s="75" t="s">
        <v>13</v>
      </c>
      <c r="E878" s="75" t="s">
        <v>31</v>
      </c>
      <c r="F878" s="75" t="s">
        <v>291</v>
      </c>
    </row>
    <row r="879" spans="1:6" x14ac:dyDescent="0.3">
      <c r="A879" s="75" t="s">
        <v>2546</v>
      </c>
      <c r="B879" s="75" t="s">
        <v>2547</v>
      </c>
      <c r="C879" s="75" t="s">
        <v>2548</v>
      </c>
      <c r="D879" s="75">
        <v>1987</v>
      </c>
      <c r="E879" s="75" t="s">
        <v>18</v>
      </c>
      <c r="F879" s="75" t="s">
        <v>794</v>
      </c>
    </row>
    <row r="880" spans="1:6" x14ac:dyDescent="0.3">
      <c r="A880" s="75" t="s">
        <v>2549</v>
      </c>
      <c r="B880" s="75" t="s">
        <v>2550</v>
      </c>
      <c r="C880" s="75" t="s">
        <v>2551</v>
      </c>
      <c r="D880" s="75" t="s">
        <v>13</v>
      </c>
      <c r="E880" s="75" t="s">
        <v>84</v>
      </c>
      <c r="F880" s="75" t="s">
        <v>2197</v>
      </c>
    </row>
    <row r="881" spans="1:6" x14ac:dyDescent="0.3">
      <c r="A881" s="75" t="s">
        <v>2552</v>
      </c>
      <c r="B881" s="75" t="s">
        <v>2553</v>
      </c>
      <c r="C881" s="75" t="s">
        <v>2554</v>
      </c>
      <c r="D881" s="75">
        <v>1997</v>
      </c>
      <c r="E881" s="75" t="s">
        <v>70</v>
      </c>
      <c r="F881" s="75" t="s">
        <v>671</v>
      </c>
    </row>
    <row r="882" spans="1:6" x14ac:dyDescent="0.3">
      <c r="A882" s="75" t="s">
        <v>2555</v>
      </c>
      <c r="B882" s="75" t="s">
        <v>2556</v>
      </c>
      <c r="C882" s="75" t="s">
        <v>2557</v>
      </c>
      <c r="D882" s="75">
        <v>2015</v>
      </c>
      <c r="E882" s="75" t="s">
        <v>70</v>
      </c>
      <c r="F882" s="75" t="s">
        <v>71</v>
      </c>
    </row>
    <row r="883" spans="1:6" x14ac:dyDescent="0.3">
      <c r="A883" s="75" t="s">
        <v>2558</v>
      </c>
      <c r="B883" s="75" t="s">
        <v>2559</v>
      </c>
      <c r="C883" s="75" t="s">
        <v>2560</v>
      </c>
      <c r="D883" s="75" t="s">
        <v>13</v>
      </c>
      <c r="E883" s="75" t="s">
        <v>31</v>
      </c>
      <c r="F883" s="75" t="s">
        <v>32</v>
      </c>
    </row>
    <row r="884" spans="1:6" x14ac:dyDescent="0.3">
      <c r="A884" s="75" t="s">
        <v>2561</v>
      </c>
      <c r="B884" s="75" t="s">
        <v>2562</v>
      </c>
      <c r="C884" s="75" t="s">
        <v>2563</v>
      </c>
      <c r="D884" s="75">
        <v>2016</v>
      </c>
      <c r="E884" s="75" t="s">
        <v>70</v>
      </c>
      <c r="F884" s="75" t="s">
        <v>118</v>
      </c>
    </row>
    <row r="885" spans="1:6" x14ac:dyDescent="0.3">
      <c r="A885" s="75" t="s">
        <v>2564</v>
      </c>
      <c r="B885" s="75" t="s">
        <v>2565</v>
      </c>
      <c r="C885" s="75" t="s">
        <v>2566</v>
      </c>
      <c r="D885" s="75" t="s">
        <v>13</v>
      </c>
      <c r="E885" s="75" t="s">
        <v>518</v>
      </c>
      <c r="F885" s="75" t="s">
        <v>1624</v>
      </c>
    </row>
    <row r="886" spans="1:6" x14ac:dyDescent="0.3">
      <c r="A886" s="75" t="s">
        <v>2567</v>
      </c>
      <c r="B886" s="75" t="s">
        <v>2568</v>
      </c>
      <c r="C886" s="75" t="s">
        <v>2569</v>
      </c>
      <c r="D886" s="75">
        <v>1999</v>
      </c>
      <c r="E886" s="75" t="s">
        <v>31</v>
      </c>
      <c r="F886" s="75" t="s">
        <v>36</v>
      </c>
    </row>
    <row r="887" spans="1:6" x14ac:dyDescent="0.3">
      <c r="A887" s="75" t="s">
        <v>2570</v>
      </c>
      <c r="B887" s="75" t="s">
        <v>2571</v>
      </c>
      <c r="C887" s="75" t="s">
        <v>2572</v>
      </c>
      <c r="D887" s="75">
        <v>2014</v>
      </c>
      <c r="E887" s="75" t="s">
        <v>70</v>
      </c>
      <c r="F887" s="75" t="s">
        <v>71</v>
      </c>
    </row>
    <row r="888" spans="1:6" x14ac:dyDescent="0.3">
      <c r="A888" s="75" t="s">
        <v>2573</v>
      </c>
      <c r="B888" s="75" t="s">
        <v>2574</v>
      </c>
      <c r="C888" s="75" t="s">
        <v>2575</v>
      </c>
      <c r="D888" s="75">
        <v>2006</v>
      </c>
      <c r="E888" s="75" t="s">
        <v>8</v>
      </c>
      <c r="F888" s="75" t="s">
        <v>718</v>
      </c>
    </row>
    <row r="889" spans="1:6" x14ac:dyDescent="0.3">
      <c r="A889" s="75" t="s">
        <v>2576</v>
      </c>
      <c r="B889" s="75" t="s">
        <v>2577</v>
      </c>
      <c r="C889" s="75" t="s">
        <v>2578</v>
      </c>
      <c r="D889" s="75">
        <v>2014</v>
      </c>
      <c r="E889" s="75" t="s">
        <v>70</v>
      </c>
      <c r="F889" s="75" t="s">
        <v>118</v>
      </c>
    </row>
    <row r="890" spans="1:6" x14ac:dyDescent="0.3">
      <c r="A890" s="75" t="s">
        <v>2579</v>
      </c>
      <c r="B890" s="75" t="s">
        <v>2580</v>
      </c>
      <c r="C890" s="75" t="s">
        <v>2581</v>
      </c>
      <c r="D890" s="75" t="s">
        <v>13</v>
      </c>
      <c r="E890" s="75" t="s">
        <v>53</v>
      </c>
      <c r="F890" s="75" t="s">
        <v>63</v>
      </c>
    </row>
    <row r="891" spans="1:6" x14ac:dyDescent="0.3">
      <c r="A891" s="75" t="s">
        <v>2582</v>
      </c>
      <c r="B891" s="75" t="s">
        <v>2583</v>
      </c>
      <c r="C891" s="75" t="s">
        <v>2584</v>
      </c>
      <c r="D891" s="75">
        <v>2014</v>
      </c>
      <c r="E891" s="75" t="s">
        <v>18</v>
      </c>
      <c r="F891" s="75" t="s">
        <v>729</v>
      </c>
    </row>
    <row r="892" spans="1:6" x14ac:dyDescent="0.3">
      <c r="A892" s="75" t="s">
        <v>2585</v>
      </c>
      <c r="B892" s="75" t="s">
        <v>2586</v>
      </c>
      <c r="C892" s="75" t="s">
        <v>2587</v>
      </c>
      <c r="D892" s="75" t="s">
        <v>13</v>
      </c>
      <c r="E892" s="75" t="s">
        <v>18</v>
      </c>
      <c r="F892" s="75" t="s">
        <v>2588</v>
      </c>
    </row>
    <row r="893" spans="1:6" x14ac:dyDescent="0.3">
      <c r="A893" s="75" t="s">
        <v>2589</v>
      </c>
      <c r="B893" s="75" t="s">
        <v>2590</v>
      </c>
      <c r="C893" s="75" t="s">
        <v>2591</v>
      </c>
      <c r="D893" s="75" t="s">
        <v>13</v>
      </c>
      <c r="E893" s="75" t="s">
        <v>53</v>
      </c>
      <c r="F893" s="75" t="s">
        <v>794</v>
      </c>
    </row>
    <row r="894" spans="1:6" x14ac:dyDescent="0.3">
      <c r="A894" s="75" t="s">
        <v>2592</v>
      </c>
      <c r="B894" s="75" t="s">
        <v>2593</v>
      </c>
      <c r="C894" s="75" t="s">
        <v>2594</v>
      </c>
      <c r="D894" s="75" t="s">
        <v>13</v>
      </c>
      <c r="E894" s="75" t="s">
        <v>18</v>
      </c>
      <c r="F894" s="75" t="s">
        <v>1361</v>
      </c>
    </row>
    <row r="895" spans="1:6" x14ac:dyDescent="0.3">
      <c r="A895" s="75" t="s">
        <v>2595</v>
      </c>
      <c r="B895" s="75" t="s">
        <v>2596</v>
      </c>
      <c r="C895" s="75" t="s">
        <v>2597</v>
      </c>
      <c r="D895" s="75" t="s">
        <v>13</v>
      </c>
      <c r="E895" s="75" t="s">
        <v>96</v>
      </c>
      <c r="F895" s="75" t="s">
        <v>63</v>
      </c>
    </row>
    <row r="896" spans="1:6" x14ac:dyDescent="0.3">
      <c r="A896" s="75" t="s">
        <v>2598</v>
      </c>
      <c r="B896" s="75" t="s">
        <v>2599</v>
      </c>
      <c r="C896" s="75" t="s">
        <v>2600</v>
      </c>
      <c r="D896" s="75" t="s">
        <v>13</v>
      </c>
      <c r="E896" s="75" t="s">
        <v>31</v>
      </c>
      <c r="F896" s="75" t="s">
        <v>36</v>
      </c>
    </row>
    <row r="897" spans="1:6" x14ac:dyDescent="0.3">
      <c r="A897" s="75" t="s">
        <v>2601</v>
      </c>
      <c r="B897" s="75" t="s">
        <v>2602</v>
      </c>
      <c r="C897" s="75" t="s">
        <v>2603</v>
      </c>
      <c r="D897" s="75">
        <v>1992</v>
      </c>
      <c r="E897" s="75" t="s">
        <v>31</v>
      </c>
      <c r="F897" s="75" t="s">
        <v>395</v>
      </c>
    </row>
    <row r="898" spans="1:6" x14ac:dyDescent="0.3">
      <c r="A898" s="75" t="s">
        <v>2604</v>
      </c>
      <c r="B898" s="75" t="s">
        <v>2605</v>
      </c>
      <c r="C898" s="75" t="s">
        <v>2606</v>
      </c>
      <c r="D898" s="75" t="s">
        <v>13</v>
      </c>
      <c r="E898" s="75" t="s">
        <v>53</v>
      </c>
      <c r="F898" s="75" t="s">
        <v>63</v>
      </c>
    </row>
    <row r="899" spans="1:6" x14ac:dyDescent="0.3">
      <c r="A899" s="75" t="s">
        <v>2607</v>
      </c>
      <c r="B899" s="75" t="s">
        <v>2608</v>
      </c>
      <c r="C899" s="75" t="s">
        <v>2609</v>
      </c>
      <c r="D899" s="75">
        <v>2015</v>
      </c>
      <c r="E899" s="75" t="s">
        <v>8</v>
      </c>
      <c r="F899" s="75" t="s">
        <v>76</v>
      </c>
    </row>
    <row r="900" spans="1:6" x14ac:dyDescent="0.3">
      <c r="A900" s="75" t="s">
        <v>2610</v>
      </c>
      <c r="B900" s="75" t="s">
        <v>2608</v>
      </c>
      <c r="C900" s="75" t="s">
        <v>2611</v>
      </c>
      <c r="D900" s="75">
        <v>2015</v>
      </c>
      <c r="E900" s="75" t="s">
        <v>8</v>
      </c>
      <c r="F900" s="75" t="s">
        <v>76</v>
      </c>
    </row>
    <row r="901" spans="1:6" x14ac:dyDescent="0.3">
      <c r="A901" s="75" t="s">
        <v>2612</v>
      </c>
      <c r="B901" s="75" t="s">
        <v>2608</v>
      </c>
      <c r="C901" s="75" t="s">
        <v>13</v>
      </c>
      <c r="D901" s="75">
        <v>2015</v>
      </c>
      <c r="E901" s="75" t="s">
        <v>8</v>
      </c>
      <c r="F901" s="75" t="s">
        <v>76</v>
      </c>
    </row>
    <row r="902" spans="1:6" x14ac:dyDescent="0.3">
      <c r="A902" s="75" t="s">
        <v>2613</v>
      </c>
      <c r="B902" s="75" t="s">
        <v>2614</v>
      </c>
      <c r="C902" s="75" t="s">
        <v>2615</v>
      </c>
      <c r="D902" s="75">
        <v>2014</v>
      </c>
      <c r="E902" s="75" t="s">
        <v>70</v>
      </c>
      <c r="F902" s="75" t="s">
        <v>71</v>
      </c>
    </row>
    <row r="903" spans="1:6" x14ac:dyDescent="0.3">
      <c r="A903" s="75" t="s">
        <v>2616</v>
      </c>
      <c r="B903" s="75" t="s">
        <v>2617</v>
      </c>
      <c r="C903" s="75" t="s">
        <v>2618</v>
      </c>
      <c r="D903" s="75" t="s">
        <v>13</v>
      </c>
      <c r="E903" s="75" t="s">
        <v>13</v>
      </c>
      <c r="F903" s="75" t="s">
        <v>13</v>
      </c>
    </row>
    <row r="904" spans="1:6" x14ac:dyDescent="0.3">
      <c r="A904" s="75" t="s">
        <v>2619</v>
      </c>
      <c r="B904" s="75" t="s">
        <v>2620</v>
      </c>
      <c r="C904" s="75" t="s">
        <v>2621</v>
      </c>
      <c r="D904" s="75" t="s">
        <v>13</v>
      </c>
      <c r="E904" s="75" t="s">
        <v>8</v>
      </c>
      <c r="F904" s="75" t="s">
        <v>27</v>
      </c>
    </row>
    <row r="905" spans="1:6" x14ac:dyDescent="0.3">
      <c r="A905" s="75" t="s">
        <v>2622</v>
      </c>
      <c r="B905" s="75" t="s">
        <v>2623</v>
      </c>
      <c r="C905" s="75" t="s">
        <v>2624</v>
      </c>
      <c r="D905" s="75">
        <v>1997</v>
      </c>
      <c r="E905" s="75" t="s">
        <v>31</v>
      </c>
      <c r="F905" s="75" t="s">
        <v>229</v>
      </c>
    </row>
    <row r="906" spans="1:6" x14ac:dyDescent="0.3">
      <c r="A906" s="75" t="s">
        <v>2625</v>
      </c>
      <c r="B906" s="75" t="s">
        <v>2626</v>
      </c>
      <c r="C906" s="75" t="s">
        <v>2627</v>
      </c>
      <c r="D906" s="75">
        <v>1982</v>
      </c>
      <c r="E906" s="75" t="s">
        <v>8</v>
      </c>
      <c r="F906" s="75" t="s">
        <v>9</v>
      </c>
    </row>
    <row r="907" spans="1:6" x14ac:dyDescent="0.3">
      <c r="A907" s="75" t="s">
        <v>2628</v>
      </c>
      <c r="B907" s="75" t="s">
        <v>2629</v>
      </c>
      <c r="C907" s="75" t="s">
        <v>2630</v>
      </c>
      <c r="D907" s="75" t="s">
        <v>13</v>
      </c>
      <c r="E907" s="75" t="s">
        <v>8</v>
      </c>
      <c r="F907" s="75" t="s">
        <v>27</v>
      </c>
    </row>
    <row r="908" spans="1:6" x14ac:dyDescent="0.3">
      <c r="A908" s="75" t="s">
        <v>2631</v>
      </c>
      <c r="B908" s="75" t="s">
        <v>2632</v>
      </c>
      <c r="C908" s="75" t="s">
        <v>2633</v>
      </c>
      <c r="D908" s="75">
        <v>1997</v>
      </c>
      <c r="E908" s="75" t="s">
        <v>31</v>
      </c>
      <c r="F908" s="75" t="s">
        <v>92</v>
      </c>
    </row>
    <row r="909" spans="1:6" x14ac:dyDescent="0.3">
      <c r="A909" s="75" t="s">
        <v>2634</v>
      </c>
      <c r="B909" s="75" t="s">
        <v>2635</v>
      </c>
      <c r="C909" s="75" t="s">
        <v>2636</v>
      </c>
      <c r="D909" s="75">
        <v>1994</v>
      </c>
      <c r="E909" s="75" t="s">
        <v>18</v>
      </c>
      <c r="F909" s="75" t="s">
        <v>1055</v>
      </c>
    </row>
    <row r="910" spans="1:6" x14ac:dyDescent="0.3">
      <c r="A910" s="75" t="s">
        <v>2637</v>
      </c>
      <c r="B910" s="75" t="s">
        <v>2638</v>
      </c>
      <c r="C910" s="75" t="s">
        <v>2639</v>
      </c>
      <c r="D910" s="75" t="s">
        <v>13</v>
      </c>
      <c r="E910" s="75" t="s">
        <v>18</v>
      </c>
      <c r="F910" s="75" t="s">
        <v>729</v>
      </c>
    </row>
    <row r="911" spans="1:6" x14ac:dyDescent="0.3">
      <c r="A911" s="75" t="s">
        <v>2640</v>
      </c>
      <c r="B911" s="75" t="s">
        <v>2641</v>
      </c>
      <c r="C911" s="75" t="s">
        <v>2642</v>
      </c>
      <c r="D911" s="75">
        <v>2013</v>
      </c>
      <c r="E911" s="75" t="s">
        <v>70</v>
      </c>
      <c r="F911" s="75" t="s">
        <v>71</v>
      </c>
    </row>
    <row r="912" spans="1:6" x14ac:dyDescent="0.3">
      <c r="A912" s="75" t="s">
        <v>2643</v>
      </c>
      <c r="B912" s="75" t="s">
        <v>2644</v>
      </c>
      <c r="C912" s="75" t="s">
        <v>2645</v>
      </c>
      <c r="D912" s="75" t="s">
        <v>13</v>
      </c>
      <c r="E912" s="75" t="s">
        <v>8</v>
      </c>
      <c r="F912" s="75" t="s">
        <v>787</v>
      </c>
    </row>
    <row r="913" spans="1:6" x14ac:dyDescent="0.3">
      <c r="A913" s="75" t="s">
        <v>2646</v>
      </c>
      <c r="B913" s="75" t="s">
        <v>2647</v>
      </c>
      <c r="C913" s="75" t="s">
        <v>2648</v>
      </c>
      <c r="D913" s="75">
        <v>1992</v>
      </c>
      <c r="E913" s="75" t="s">
        <v>53</v>
      </c>
      <c r="F913" s="75" t="s">
        <v>519</v>
      </c>
    </row>
    <row r="914" spans="1:6" x14ac:dyDescent="0.3">
      <c r="A914" s="75" t="s">
        <v>2649</v>
      </c>
      <c r="B914" s="75" t="s">
        <v>2650</v>
      </c>
      <c r="C914" s="75" t="s">
        <v>319</v>
      </c>
      <c r="D914" s="75" t="s">
        <v>13</v>
      </c>
      <c r="E914" s="75" t="s">
        <v>70</v>
      </c>
      <c r="F914" s="75" t="s">
        <v>71</v>
      </c>
    </row>
    <row r="915" spans="1:6" x14ac:dyDescent="0.3">
      <c r="A915" s="75" t="s">
        <v>2651</v>
      </c>
      <c r="B915" s="75" t="s">
        <v>2652</v>
      </c>
      <c r="C915" s="75" t="s">
        <v>2653</v>
      </c>
      <c r="D915" s="75">
        <v>2011</v>
      </c>
      <c r="E915" s="75" t="s">
        <v>70</v>
      </c>
      <c r="F915" s="75" t="s">
        <v>71</v>
      </c>
    </row>
    <row r="916" spans="1:6" x14ac:dyDescent="0.3">
      <c r="A916" s="75" t="s">
        <v>2654</v>
      </c>
      <c r="B916" s="75" t="s">
        <v>2655</v>
      </c>
      <c r="C916" s="75" t="s">
        <v>2656</v>
      </c>
      <c r="D916" s="75" t="s">
        <v>13</v>
      </c>
      <c r="E916" s="75" t="s">
        <v>70</v>
      </c>
      <c r="F916" s="75" t="s">
        <v>80</v>
      </c>
    </row>
    <row r="917" spans="1:6" x14ac:dyDescent="0.3">
      <c r="A917" s="75" t="s">
        <v>2657</v>
      </c>
      <c r="B917" s="75" t="s">
        <v>2658</v>
      </c>
      <c r="C917" s="75" t="s">
        <v>13</v>
      </c>
      <c r="D917" s="75">
        <v>2017</v>
      </c>
      <c r="E917" s="75" t="s">
        <v>70</v>
      </c>
      <c r="F917" s="75" t="s">
        <v>671</v>
      </c>
    </row>
    <row r="918" spans="1:6" x14ac:dyDescent="0.3">
      <c r="A918" s="75" t="s">
        <v>2659</v>
      </c>
      <c r="B918" s="75" t="s">
        <v>2658</v>
      </c>
      <c r="C918" s="75" t="s">
        <v>13</v>
      </c>
      <c r="D918" s="75">
        <v>2017</v>
      </c>
      <c r="E918" s="75" t="s">
        <v>70</v>
      </c>
      <c r="F918" s="75" t="s">
        <v>671</v>
      </c>
    </row>
    <row r="919" spans="1:6" x14ac:dyDescent="0.3">
      <c r="A919" s="75" t="s">
        <v>2660</v>
      </c>
      <c r="B919" s="75" t="s">
        <v>2661</v>
      </c>
      <c r="C919" s="75" t="s">
        <v>1313</v>
      </c>
      <c r="D919" s="75">
        <v>2013</v>
      </c>
      <c r="E919" s="75" t="s">
        <v>31</v>
      </c>
      <c r="F919" s="75" t="s">
        <v>36</v>
      </c>
    </row>
    <row r="920" spans="1:6" x14ac:dyDescent="0.3">
      <c r="A920" s="75" t="s">
        <v>2662</v>
      </c>
      <c r="B920" s="75" t="s">
        <v>2663</v>
      </c>
      <c r="C920" s="75" t="s">
        <v>2664</v>
      </c>
      <c r="D920" s="75">
        <v>2014</v>
      </c>
      <c r="E920" s="75" t="s">
        <v>31</v>
      </c>
      <c r="F920" s="75" t="s">
        <v>291</v>
      </c>
    </row>
    <row r="921" spans="1:6" x14ac:dyDescent="0.3">
      <c r="A921" s="75" t="s">
        <v>2665</v>
      </c>
      <c r="B921" s="75" t="s">
        <v>2666</v>
      </c>
      <c r="C921" s="75" t="s">
        <v>2667</v>
      </c>
      <c r="D921" s="75" t="s">
        <v>13</v>
      </c>
      <c r="E921" s="75" t="s">
        <v>518</v>
      </c>
      <c r="F921" s="75" t="s">
        <v>2520</v>
      </c>
    </row>
    <row r="922" spans="1:6" x14ac:dyDescent="0.3">
      <c r="A922" s="75" t="s">
        <v>2668</v>
      </c>
      <c r="B922" s="75" t="s">
        <v>2669</v>
      </c>
      <c r="C922" s="75" t="s">
        <v>2670</v>
      </c>
      <c r="D922" s="75">
        <v>2008</v>
      </c>
      <c r="E922" s="75" t="s">
        <v>31</v>
      </c>
      <c r="F922" s="75" t="s">
        <v>63</v>
      </c>
    </row>
    <row r="923" spans="1:6" x14ac:dyDescent="0.3">
      <c r="A923" s="75" t="s">
        <v>2671</v>
      </c>
      <c r="B923" s="75" t="s">
        <v>2672</v>
      </c>
      <c r="C923" s="75" t="s">
        <v>2673</v>
      </c>
      <c r="D923" s="75" t="s">
        <v>13</v>
      </c>
      <c r="E923" s="75" t="s">
        <v>84</v>
      </c>
      <c r="F923" s="75" t="s">
        <v>85</v>
      </c>
    </row>
    <row r="924" spans="1:6" x14ac:dyDescent="0.3">
      <c r="A924" s="75" t="s">
        <v>2674</v>
      </c>
      <c r="B924" s="75" t="s">
        <v>2675</v>
      </c>
      <c r="C924" s="75" t="s">
        <v>2676</v>
      </c>
      <c r="D924" s="75" t="s">
        <v>13</v>
      </c>
      <c r="E924" s="75" t="s">
        <v>18</v>
      </c>
      <c r="F924" s="75" t="s">
        <v>794</v>
      </c>
    </row>
    <row r="925" spans="1:6" x14ac:dyDescent="0.3">
      <c r="A925" s="75" t="s">
        <v>2677</v>
      </c>
      <c r="B925" s="75" t="s">
        <v>2678</v>
      </c>
      <c r="C925" s="75" t="s">
        <v>2679</v>
      </c>
      <c r="D925" s="75">
        <v>2012</v>
      </c>
      <c r="E925" s="75" t="s">
        <v>31</v>
      </c>
      <c r="F925" s="75" t="s">
        <v>92</v>
      </c>
    </row>
    <row r="926" spans="1:6" x14ac:dyDescent="0.3">
      <c r="A926" s="75" t="s">
        <v>2680</v>
      </c>
      <c r="B926" s="75" t="s">
        <v>2681</v>
      </c>
      <c r="C926" s="75" t="s">
        <v>2682</v>
      </c>
      <c r="D926" s="75" t="s">
        <v>13</v>
      </c>
      <c r="E926" s="75" t="s">
        <v>8</v>
      </c>
      <c r="F926" s="75" t="s">
        <v>9</v>
      </c>
    </row>
    <row r="927" spans="1:6" x14ac:dyDescent="0.3">
      <c r="A927" s="75" t="s">
        <v>2683</v>
      </c>
      <c r="B927" s="75" t="s">
        <v>2684</v>
      </c>
      <c r="C927" s="75" t="s">
        <v>2685</v>
      </c>
      <c r="D927" s="75">
        <v>2014</v>
      </c>
      <c r="E927" s="75" t="s">
        <v>8</v>
      </c>
      <c r="F927" s="75" t="s">
        <v>579</v>
      </c>
    </row>
    <row r="928" spans="1:6" x14ac:dyDescent="0.3">
      <c r="A928" s="75" t="s">
        <v>2686</v>
      </c>
      <c r="B928" s="75" t="s">
        <v>2687</v>
      </c>
      <c r="C928" s="75" t="s">
        <v>2688</v>
      </c>
      <c r="D928" s="75">
        <v>2000</v>
      </c>
      <c r="E928" s="75" t="s">
        <v>348</v>
      </c>
      <c r="F928" s="75" t="s">
        <v>2366</v>
      </c>
    </row>
    <row r="929" spans="1:6" x14ac:dyDescent="0.3">
      <c r="A929" s="75" t="s">
        <v>2689</v>
      </c>
      <c r="B929" s="75" t="s">
        <v>2690</v>
      </c>
      <c r="C929" s="75" t="s">
        <v>2691</v>
      </c>
      <c r="D929" s="75">
        <v>2015</v>
      </c>
      <c r="E929" s="75" t="s">
        <v>70</v>
      </c>
      <c r="F929" s="75" t="s">
        <v>80</v>
      </c>
    </row>
    <row r="930" spans="1:6" x14ac:dyDescent="0.3">
      <c r="A930" s="75" t="s">
        <v>2692</v>
      </c>
      <c r="B930" s="75" t="s">
        <v>2693</v>
      </c>
      <c r="C930" s="75" t="s">
        <v>2694</v>
      </c>
      <c r="D930" s="75">
        <v>2007</v>
      </c>
      <c r="E930" s="75" t="s">
        <v>70</v>
      </c>
      <c r="F930" s="75" t="s">
        <v>671</v>
      </c>
    </row>
    <row r="931" spans="1:6" x14ac:dyDescent="0.3">
      <c r="A931" s="75" t="s">
        <v>2695</v>
      </c>
      <c r="B931" s="75" t="s">
        <v>2696</v>
      </c>
      <c r="C931" s="75" t="s">
        <v>2697</v>
      </c>
      <c r="D931" s="75" t="s">
        <v>13</v>
      </c>
      <c r="E931" s="75" t="s">
        <v>8</v>
      </c>
      <c r="F931" s="75" t="s">
        <v>27</v>
      </c>
    </row>
    <row r="932" spans="1:6" x14ac:dyDescent="0.3">
      <c r="A932" s="75" t="s">
        <v>2698</v>
      </c>
      <c r="B932" s="75" t="s">
        <v>2699</v>
      </c>
      <c r="C932" s="75" t="s">
        <v>2700</v>
      </c>
      <c r="D932" s="75" t="s">
        <v>13</v>
      </c>
      <c r="E932" s="75" t="s">
        <v>8</v>
      </c>
      <c r="F932" s="75" t="s">
        <v>27</v>
      </c>
    </row>
    <row r="933" spans="1:6" x14ac:dyDescent="0.3">
      <c r="A933" s="75" t="s">
        <v>2701</v>
      </c>
      <c r="B933" s="75" t="s">
        <v>2702</v>
      </c>
      <c r="C933" s="75" t="s">
        <v>2703</v>
      </c>
      <c r="D933" s="75">
        <v>2013</v>
      </c>
      <c r="E933" s="75" t="s">
        <v>518</v>
      </c>
      <c r="F933" s="75" t="s">
        <v>1762</v>
      </c>
    </row>
    <row r="934" spans="1:6" x14ac:dyDescent="0.3">
      <c r="A934" s="75" t="s">
        <v>2704</v>
      </c>
      <c r="B934" s="75" t="s">
        <v>2705</v>
      </c>
      <c r="C934" s="75" t="s">
        <v>2706</v>
      </c>
      <c r="D934" s="75">
        <v>2013</v>
      </c>
      <c r="E934" s="75" t="s">
        <v>70</v>
      </c>
      <c r="F934" s="75" t="s">
        <v>71</v>
      </c>
    </row>
    <row r="935" spans="1:6" x14ac:dyDescent="0.3">
      <c r="A935" s="75" t="s">
        <v>2707</v>
      </c>
      <c r="B935" s="75" t="s">
        <v>2708</v>
      </c>
      <c r="C935" s="75" t="s">
        <v>48</v>
      </c>
      <c r="D935" s="75">
        <v>1996</v>
      </c>
      <c r="E935" s="75" t="s">
        <v>31</v>
      </c>
      <c r="F935" s="75" t="s">
        <v>2709</v>
      </c>
    </row>
    <row r="936" spans="1:6" x14ac:dyDescent="0.3">
      <c r="A936" s="75" t="s">
        <v>2710</v>
      </c>
      <c r="B936" s="75" t="s">
        <v>2711</v>
      </c>
      <c r="C936" s="75" t="s">
        <v>2712</v>
      </c>
      <c r="D936" s="75">
        <v>2000</v>
      </c>
      <c r="E936" s="75" t="s">
        <v>18</v>
      </c>
      <c r="F936" s="75" t="s">
        <v>266</v>
      </c>
    </row>
    <row r="937" spans="1:6" x14ac:dyDescent="0.3">
      <c r="A937" s="75" t="s">
        <v>2713</v>
      </c>
      <c r="B937" s="75" t="s">
        <v>2714</v>
      </c>
      <c r="C937" s="75" t="s">
        <v>2715</v>
      </c>
      <c r="D937" s="75">
        <v>2015</v>
      </c>
      <c r="E937" s="75" t="s">
        <v>8</v>
      </c>
      <c r="F937" s="75" t="s">
        <v>23</v>
      </c>
    </row>
    <row r="938" spans="1:6" x14ac:dyDescent="0.3">
      <c r="A938" s="75" t="s">
        <v>2716</v>
      </c>
      <c r="B938" s="75" t="s">
        <v>2717</v>
      </c>
      <c r="C938" s="75" t="s">
        <v>2718</v>
      </c>
      <c r="D938" s="75">
        <v>2015</v>
      </c>
      <c r="E938" s="75" t="s">
        <v>8</v>
      </c>
      <c r="F938" s="75" t="s">
        <v>27</v>
      </c>
    </row>
    <row r="939" spans="1:6" x14ac:dyDescent="0.3">
      <c r="A939" s="75" t="s">
        <v>2719</v>
      </c>
      <c r="B939" s="75" t="s">
        <v>2720</v>
      </c>
      <c r="C939" s="75" t="s">
        <v>2721</v>
      </c>
      <c r="D939" s="75" t="s">
        <v>13</v>
      </c>
      <c r="E939" s="75" t="s">
        <v>31</v>
      </c>
      <c r="F939" s="75" t="s">
        <v>291</v>
      </c>
    </row>
    <row r="940" spans="1:6" x14ac:dyDescent="0.3">
      <c r="A940" s="75" t="s">
        <v>2722</v>
      </c>
      <c r="B940" s="75" t="s">
        <v>2723</v>
      </c>
      <c r="C940" s="75" t="s">
        <v>2724</v>
      </c>
      <c r="D940" s="75" t="s">
        <v>13</v>
      </c>
      <c r="E940" s="75" t="s">
        <v>8</v>
      </c>
      <c r="F940" s="75" t="s">
        <v>718</v>
      </c>
    </row>
    <row r="941" spans="1:6" x14ac:dyDescent="0.3">
      <c r="A941" s="75" t="s">
        <v>2725</v>
      </c>
      <c r="B941" s="75" t="s">
        <v>2726</v>
      </c>
      <c r="C941" s="75" t="s">
        <v>2727</v>
      </c>
      <c r="D941" s="75" t="s">
        <v>13</v>
      </c>
      <c r="E941" s="75" t="s">
        <v>348</v>
      </c>
      <c r="F941" s="75" t="s">
        <v>1183</v>
      </c>
    </row>
    <row r="942" spans="1:6" x14ac:dyDescent="0.3">
      <c r="A942" s="75" t="s">
        <v>2728</v>
      </c>
      <c r="B942" s="75" t="s">
        <v>2729</v>
      </c>
      <c r="C942" s="75" t="s">
        <v>48</v>
      </c>
      <c r="D942" s="75">
        <v>2013</v>
      </c>
      <c r="E942" s="75" t="s">
        <v>70</v>
      </c>
      <c r="F942" s="75" t="s">
        <v>71</v>
      </c>
    </row>
    <row r="943" spans="1:6" x14ac:dyDescent="0.3">
      <c r="A943" s="75" t="s">
        <v>2730</v>
      </c>
      <c r="B943" s="75" t="s">
        <v>2731</v>
      </c>
      <c r="C943" s="75" t="s">
        <v>2732</v>
      </c>
      <c r="D943" s="75">
        <v>2017</v>
      </c>
      <c r="E943" s="75" t="s">
        <v>8</v>
      </c>
      <c r="F943" s="75" t="s">
        <v>998</v>
      </c>
    </row>
    <row r="944" spans="1:6" x14ac:dyDescent="0.3">
      <c r="A944" s="75" t="s">
        <v>2733</v>
      </c>
      <c r="B944" s="75" t="s">
        <v>2734</v>
      </c>
      <c r="C944" s="75" t="s">
        <v>2735</v>
      </c>
      <c r="D944" s="75" t="s">
        <v>13</v>
      </c>
      <c r="E944" s="75" t="s">
        <v>8</v>
      </c>
      <c r="F944" s="75" t="s">
        <v>579</v>
      </c>
    </row>
    <row r="945" spans="1:6" x14ac:dyDescent="0.3">
      <c r="A945" s="75" t="s">
        <v>2736</v>
      </c>
      <c r="B945" s="75" t="s">
        <v>2737</v>
      </c>
      <c r="C945" s="75" t="s">
        <v>2738</v>
      </c>
      <c r="D945" s="75" t="s">
        <v>13</v>
      </c>
      <c r="E945" s="75" t="s">
        <v>70</v>
      </c>
      <c r="F945" s="75" t="s">
        <v>71</v>
      </c>
    </row>
    <row r="946" spans="1:6" x14ac:dyDescent="0.3">
      <c r="A946" s="75" t="s">
        <v>2739</v>
      </c>
      <c r="B946" s="75" t="s">
        <v>2740</v>
      </c>
      <c r="C946" s="75" t="s">
        <v>2741</v>
      </c>
      <c r="D946" s="75" t="s">
        <v>13</v>
      </c>
      <c r="E946" s="75" t="s">
        <v>18</v>
      </c>
      <c r="F946" s="75" t="s">
        <v>2742</v>
      </c>
    </row>
    <row r="947" spans="1:6" x14ac:dyDescent="0.3">
      <c r="A947" s="75" t="s">
        <v>2743</v>
      </c>
      <c r="B947" s="75" t="s">
        <v>2744</v>
      </c>
      <c r="C947" s="75" t="s">
        <v>2745</v>
      </c>
      <c r="D947" s="75">
        <v>2015</v>
      </c>
      <c r="E947" s="75" t="s">
        <v>96</v>
      </c>
      <c r="F947" s="75" t="s">
        <v>76</v>
      </c>
    </row>
    <row r="948" spans="1:6" x14ac:dyDescent="0.3">
      <c r="A948" s="75" t="s">
        <v>2746</v>
      </c>
      <c r="B948" s="75" t="s">
        <v>2747</v>
      </c>
      <c r="C948" s="75" t="s">
        <v>2748</v>
      </c>
      <c r="D948" s="75">
        <v>1997</v>
      </c>
      <c r="E948" s="75" t="s">
        <v>518</v>
      </c>
      <c r="F948" s="75" t="s">
        <v>2749</v>
      </c>
    </row>
    <row r="949" spans="1:6" x14ac:dyDescent="0.3">
      <c r="A949" s="75" t="s">
        <v>2750</v>
      </c>
      <c r="B949" s="75" t="s">
        <v>2751</v>
      </c>
      <c r="C949" s="75" t="s">
        <v>2752</v>
      </c>
      <c r="D949" s="75">
        <v>1997</v>
      </c>
      <c r="E949" s="75" t="s">
        <v>8</v>
      </c>
      <c r="F949" s="75" t="s">
        <v>1093</v>
      </c>
    </row>
    <row r="950" spans="1:6" x14ac:dyDescent="0.3">
      <c r="A950" s="75" t="s">
        <v>2753</v>
      </c>
      <c r="B950" s="75" t="s">
        <v>2754</v>
      </c>
      <c r="C950" s="75" t="s">
        <v>2755</v>
      </c>
      <c r="D950" s="75" t="s">
        <v>13</v>
      </c>
      <c r="E950" s="75" t="s">
        <v>283</v>
      </c>
      <c r="F950" s="75" t="s">
        <v>1449</v>
      </c>
    </row>
    <row r="951" spans="1:6" x14ac:dyDescent="0.3">
      <c r="A951" s="75" t="s">
        <v>2756</v>
      </c>
      <c r="B951" s="75" t="s">
        <v>2757</v>
      </c>
      <c r="C951" s="75" t="s">
        <v>2758</v>
      </c>
      <c r="D951" s="75">
        <v>2006</v>
      </c>
      <c r="E951" s="75" t="s">
        <v>84</v>
      </c>
      <c r="F951" s="75" t="s">
        <v>85</v>
      </c>
    </row>
    <row r="952" spans="1:6" x14ac:dyDescent="0.3">
      <c r="A952" s="75" t="s">
        <v>2759</v>
      </c>
      <c r="B952" s="75" t="s">
        <v>2760</v>
      </c>
      <c r="C952" s="75" t="s">
        <v>2761</v>
      </c>
      <c r="D952" s="75">
        <v>2016</v>
      </c>
      <c r="E952" s="75" t="s">
        <v>31</v>
      </c>
      <c r="F952" s="75" t="s">
        <v>36</v>
      </c>
    </row>
    <row r="953" spans="1:6" x14ac:dyDescent="0.3">
      <c r="A953" s="75" t="s">
        <v>2762</v>
      </c>
      <c r="B953" s="75" t="s">
        <v>2763</v>
      </c>
      <c r="C953" s="75" t="s">
        <v>2764</v>
      </c>
      <c r="D953" s="75" t="s">
        <v>13</v>
      </c>
      <c r="E953" s="75" t="s">
        <v>348</v>
      </c>
      <c r="F953" s="75" t="s">
        <v>1059</v>
      </c>
    </row>
    <row r="954" spans="1:6" x14ac:dyDescent="0.3">
      <c r="A954" s="75" t="s">
        <v>2765</v>
      </c>
      <c r="B954" s="75" t="s">
        <v>2766</v>
      </c>
      <c r="C954" s="75" t="s">
        <v>2767</v>
      </c>
      <c r="D954" s="75">
        <v>2016</v>
      </c>
      <c r="E954" s="75" t="s">
        <v>31</v>
      </c>
      <c r="F954" s="75" t="s">
        <v>92</v>
      </c>
    </row>
    <row r="955" spans="1:6" x14ac:dyDescent="0.3">
      <c r="A955" s="75" t="s">
        <v>2768</v>
      </c>
      <c r="B955" s="75" t="s">
        <v>2769</v>
      </c>
      <c r="C955" s="75" t="s">
        <v>2770</v>
      </c>
      <c r="D955" s="75" t="s">
        <v>13</v>
      </c>
      <c r="E955" s="75" t="s">
        <v>18</v>
      </c>
      <c r="F955" s="75" t="s">
        <v>450</v>
      </c>
    </row>
    <row r="956" spans="1:6" x14ac:dyDescent="0.3">
      <c r="A956" s="75" t="s">
        <v>2771</v>
      </c>
      <c r="B956" s="75" t="s">
        <v>2772</v>
      </c>
      <c r="C956" s="75" t="s">
        <v>2773</v>
      </c>
      <c r="D956" s="75" t="s">
        <v>13</v>
      </c>
      <c r="E956" s="75" t="s">
        <v>58</v>
      </c>
      <c r="F956" s="75" t="s">
        <v>690</v>
      </c>
    </row>
    <row r="957" spans="1:6" x14ac:dyDescent="0.3">
      <c r="A957" s="75" t="s">
        <v>2774</v>
      </c>
      <c r="B957" s="75" t="s">
        <v>2775</v>
      </c>
      <c r="C957" s="75" t="s">
        <v>2776</v>
      </c>
      <c r="D957" s="75">
        <v>2013</v>
      </c>
      <c r="E957" s="75" t="s">
        <v>70</v>
      </c>
      <c r="F957" s="75" t="s">
        <v>71</v>
      </c>
    </row>
    <row r="958" spans="1:6" x14ac:dyDescent="0.3">
      <c r="A958" s="75" t="s">
        <v>2777</v>
      </c>
      <c r="B958" s="75" t="s">
        <v>2778</v>
      </c>
      <c r="C958" s="75" t="s">
        <v>2779</v>
      </c>
      <c r="D958" s="75">
        <v>1998</v>
      </c>
      <c r="E958" s="75" t="s">
        <v>31</v>
      </c>
      <c r="F958" s="75" t="s">
        <v>161</v>
      </c>
    </row>
    <row r="959" spans="1:6" x14ac:dyDescent="0.3">
      <c r="A959" s="75" t="s">
        <v>2780</v>
      </c>
      <c r="B959" s="75" t="s">
        <v>2781</v>
      </c>
      <c r="C959" s="75" t="s">
        <v>2782</v>
      </c>
      <c r="D959" s="75">
        <v>2012</v>
      </c>
      <c r="E959" s="75" t="s">
        <v>31</v>
      </c>
      <c r="F959" s="75" t="s">
        <v>36</v>
      </c>
    </row>
    <row r="960" spans="1:6" x14ac:dyDescent="0.3">
      <c r="A960" s="75" t="s">
        <v>2783</v>
      </c>
      <c r="B960" s="75" t="s">
        <v>2784</v>
      </c>
      <c r="C960" s="75" t="s">
        <v>2785</v>
      </c>
      <c r="D960" s="75">
        <v>2001</v>
      </c>
      <c r="E960" s="75" t="s">
        <v>70</v>
      </c>
      <c r="F960" s="75" t="s">
        <v>326</v>
      </c>
    </row>
    <row r="961" spans="1:6" x14ac:dyDescent="0.3">
      <c r="A961" s="75" t="s">
        <v>2786</v>
      </c>
      <c r="B961" s="75" t="s">
        <v>2787</v>
      </c>
      <c r="C961" s="75" t="s">
        <v>2788</v>
      </c>
      <c r="D961" s="75">
        <v>1996</v>
      </c>
      <c r="E961" s="75" t="s">
        <v>70</v>
      </c>
      <c r="F961" s="75" t="s">
        <v>353</v>
      </c>
    </row>
    <row r="962" spans="1:6" x14ac:dyDescent="0.3">
      <c r="A962" s="75" t="s">
        <v>2789</v>
      </c>
      <c r="B962" s="75" t="s">
        <v>2790</v>
      </c>
      <c r="C962" s="75" t="s">
        <v>2791</v>
      </c>
      <c r="D962" s="75">
        <v>2015</v>
      </c>
      <c r="E962" s="75" t="s">
        <v>96</v>
      </c>
      <c r="F962" s="75" t="s">
        <v>76</v>
      </c>
    </row>
    <row r="963" spans="1:6" x14ac:dyDescent="0.3">
      <c r="A963" s="75" t="s">
        <v>2792</v>
      </c>
      <c r="B963" s="75" t="s">
        <v>2790</v>
      </c>
      <c r="C963" s="75" t="s">
        <v>13</v>
      </c>
      <c r="D963" s="75">
        <v>2015</v>
      </c>
      <c r="E963" s="75" t="s">
        <v>96</v>
      </c>
      <c r="F963" s="75" t="s">
        <v>76</v>
      </c>
    </row>
    <row r="964" spans="1:6" x14ac:dyDescent="0.3">
      <c r="A964" s="75" t="s">
        <v>2793</v>
      </c>
      <c r="B964" s="75" t="s">
        <v>2790</v>
      </c>
      <c r="C964" s="75" t="s">
        <v>13</v>
      </c>
      <c r="D964" s="75">
        <v>2015</v>
      </c>
      <c r="E964" s="75" t="s">
        <v>96</v>
      </c>
      <c r="F964" s="75" t="s">
        <v>76</v>
      </c>
    </row>
    <row r="965" spans="1:6" x14ac:dyDescent="0.3">
      <c r="A965" s="75" t="s">
        <v>2794</v>
      </c>
      <c r="B965" s="75" t="s">
        <v>2795</v>
      </c>
      <c r="C965" s="75" t="s">
        <v>2796</v>
      </c>
      <c r="D965" s="75">
        <v>2000</v>
      </c>
      <c r="E965" s="75" t="s">
        <v>70</v>
      </c>
      <c r="F965" s="75" t="s">
        <v>326</v>
      </c>
    </row>
    <row r="966" spans="1:6" x14ac:dyDescent="0.3">
      <c r="A966" s="75" t="s">
        <v>2797</v>
      </c>
      <c r="B966" s="75" t="s">
        <v>2798</v>
      </c>
      <c r="C966" s="75" t="s">
        <v>2799</v>
      </c>
      <c r="D966" s="75" t="s">
        <v>13</v>
      </c>
      <c r="E966" s="75" t="s">
        <v>53</v>
      </c>
      <c r="F966" s="75" t="s">
        <v>229</v>
      </c>
    </row>
    <row r="967" spans="1:6" x14ac:dyDescent="0.3">
      <c r="A967" s="75" t="s">
        <v>2800</v>
      </c>
      <c r="B967" s="75" t="s">
        <v>2801</v>
      </c>
      <c r="C967" s="75" t="s">
        <v>2802</v>
      </c>
      <c r="D967" s="75">
        <v>2006</v>
      </c>
      <c r="E967" s="75" t="s">
        <v>96</v>
      </c>
      <c r="F967" s="75" t="s">
        <v>76</v>
      </c>
    </row>
    <row r="968" spans="1:6" x14ac:dyDescent="0.3">
      <c r="A968" s="75" t="s">
        <v>2803</v>
      </c>
      <c r="B968" s="75" t="s">
        <v>2804</v>
      </c>
      <c r="C968" s="75" t="s">
        <v>2805</v>
      </c>
      <c r="D968" s="75" t="s">
        <v>13</v>
      </c>
      <c r="E968" s="75" t="s">
        <v>18</v>
      </c>
      <c r="F968" s="75" t="s">
        <v>845</v>
      </c>
    </row>
    <row r="969" spans="1:6" x14ac:dyDescent="0.3">
      <c r="A969" s="75" t="s">
        <v>2806</v>
      </c>
      <c r="B969" s="75" t="s">
        <v>2807</v>
      </c>
      <c r="C969" s="75" t="s">
        <v>2808</v>
      </c>
      <c r="D969" s="75" t="s">
        <v>13</v>
      </c>
      <c r="E969" s="75" t="s">
        <v>283</v>
      </c>
      <c r="F969" s="75" t="s">
        <v>1345</v>
      </c>
    </row>
    <row r="970" spans="1:6" x14ac:dyDescent="0.3">
      <c r="A970" s="75" t="s">
        <v>2809</v>
      </c>
      <c r="B970" s="75" t="s">
        <v>2810</v>
      </c>
      <c r="C970" s="75" t="s">
        <v>2811</v>
      </c>
      <c r="D970" s="75" t="s">
        <v>13</v>
      </c>
      <c r="E970" s="75" t="s">
        <v>18</v>
      </c>
      <c r="F970" s="75" t="s">
        <v>1032</v>
      </c>
    </row>
    <row r="971" spans="1:6" x14ac:dyDescent="0.3">
      <c r="A971" s="75" t="s">
        <v>2812</v>
      </c>
      <c r="B971" s="75" t="s">
        <v>2813</v>
      </c>
      <c r="C971" s="75" t="s">
        <v>2814</v>
      </c>
      <c r="D971" s="75">
        <v>1992</v>
      </c>
      <c r="E971" s="75" t="s">
        <v>70</v>
      </c>
      <c r="F971" s="75" t="s">
        <v>176</v>
      </c>
    </row>
    <row r="972" spans="1:6" x14ac:dyDescent="0.3">
      <c r="A972" s="75" t="s">
        <v>2815</v>
      </c>
      <c r="B972" s="75" t="s">
        <v>2816</v>
      </c>
      <c r="C972" s="75" t="s">
        <v>1442</v>
      </c>
      <c r="D972" s="75">
        <v>2016</v>
      </c>
      <c r="E972" s="75" t="s">
        <v>84</v>
      </c>
      <c r="F972" s="75" t="s">
        <v>85</v>
      </c>
    </row>
    <row r="973" spans="1:6" x14ac:dyDescent="0.3">
      <c r="A973" s="75" t="s">
        <v>2817</v>
      </c>
      <c r="B973" s="75" t="s">
        <v>2818</v>
      </c>
      <c r="C973" s="75" t="s">
        <v>2819</v>
      </c>
      <c r="D973" s="75">
        <v>1999</v>
      </c>
      <c r="E973" s="75" t="s">
        <v>31</v>
      </c>
      <c r="F973" s="75" t="s">
        <v>395</v>
      </c>
    </row>
    <row r="974" spans="1:6" x14ac:dyDescent="0.3">
      <c r="A974" s="75" t="s">
        <v>2820</v>
      </c>
      <c r="B974" s="75" t="s">
        <v>2821</v>
      </c>
      <c r="C974" s="75" t="s">
        <v>2822</v>
      </c>
      <c r="D974" s="75" t="s">
        <v>13</v>
      </c>
      <c r="E974" s="75" t="s">
        <v>70</v>
      </c>
      <c r="F974" s="75" t="s">
        <v>71</v>
      </c>
    </row>
    <row r="975" spans="1:6" x14ac:dyDescent="0.3">
      <c r="A975" s="75" t="s">
        <v>2823</v>
      </c>
      <c r="B975" s="75" t="s">
        <v>2821</v>
      </c>
      <c r="C975" s="75" t="s">
        <v>13</v>
      </c>
      <c r="D975" s="75" t="s">
        <v>13</v>
      </c>
      <c r="E975" s="75" t="s">
        <v>70</v>
      </c>
      <c r="F975" s="75" t="s">
        <v>71</v>
      </c>
    </row>
    <row r="976" spans="1:6" x14ac:dyDescent="0.3">
      <c r="A976" s="75" t="s">
        <v>2824</v>
      </c>
      <c r="B976" s="75" t="s">
        <v>2825</v>
      </c>
      <c r="C976" s="75" t="s">
        <v>2826</v>
      </c>
      <c r="D976" s="75">
        <v>1991</v>
      </c>
      <c r="E976" s="75" t="s">
        <v>18</v>
      </c>
      <c r="F976" s="75" t="s">
        <v>19</v>
      </c>
    </row>
    <row r="977" spans="1:6" x14ac:dyDescent="0.3">
      <c r="A977" s="75" t="s">
        <v>2827</v>
      </c>
      <c r="B977" s="75" t="s">
        <v>2828</v>
      </c>
      <c r="C977" s="75" t="s">
        <v>2829</v>
      </c>
      <c r="D977" s="75">
        <v>1999</v>
      </c>
      <c r="E977" s="75" t="s">
        <v>31</v>
      </c>
      <c r="F977" s="75" t="s">
        <v>395</v>
      </c>
    </row>
    <row r="978" spans="1:6" x14ac:dyDescent="0.3">
      <c r="A978" s="75" t="s">
        <v>2830</v>
      </c>
      <c r="B978" s="75" t="s">
        <v>2831</v>
      </c>
      <c r="C978" s="75" t="s">
        <v>2832</v>
      </c>
      <c r="D978" s="75">
        <v>2012</v>
      </c>
      <c r="E978" s="75" t="s">
        <v>31</v>
      </c>
      <c r="F978" s="75" t="s">
        <v>32</v>
      </c>
    </row>
    <row r="979" spans="1:6" x14ac:dyDescent="0.3">
      <c r="A979" s="75" t="s">
        <v>2833</v>
      </c>
      <c r="B979" s="75" t="s">
        <v>2834</v>
      </c>
      <c r="C979" s="75" t="s">
        <v>2835</v>
      </c>
      <c r="D979" s="75" t="s">
        <v>13</v>
      </c>
      <c r="E979" s="75" t="s">
        <v>31</v>
      </c>
      <c r="F979" s="75" t="s">
        <v>36</v>
      </c>
    </row>
    <row r="980" spans="1:6" x14ac:dyDescent="0.3">
      <c r="A980" s="75" t="s">
        <v>2836</v>
      </c>
      <c r="B980" s="75" t="s">
        <v>2837</v>
      </c>
      <c r="C980" s="75" t="s">
        <v>2838</v>
      </c>
      <c r="D980" s="75" t="s">
        <v>13</v>
      </c>
      <c r="E980" s="75" t="s">
        <v>18</v>
      </c>
      <c r="F980" s="75" t="s">
        <v>729</v>
      </c>
    </row>
    <row r="981" spans="1:6" x14ac:dyDescent="0.3">
      <c r="A981" s="75" t="s">
        <v>2839</v>
      </c>
      <c r="B981" s="75" t="s">
        <v>2840</v>
      </c>
      <c r="C981" s="75" t="s">
        <v>2841</v>
      </c>
      <c r="D981" s="75" t="s">
        <v>13</v>
      </c>
      <c r="E981" s="75" t="s">
        <v>8</v>
      </c>
      <c r="F981" s="75" t="s">
        <v>718</v>
      </c>
    </row>
    <row r="982" spans="1:6" x14ac:dyDescent="0.3">
      <c r="A982" s="75" t="s">
        <v>2842</v>
      </c>
      <c r="B982" s="75" t="s">
        <v>2843</v>
      </c>
      <c r="C982" s="75" t="s">
        <v>2844</v>
      </c>
      <c r="D982" s="75" t="s">
        <v>13</v>
      </c>
      <c r="E982" s="75" t="s">
        <v>348</v>
      </c>
      <c r="F982" s="75" t="s">
        <v>1219</v>
      </c>
    </row>
    <row r="983" spans="1:6" x14ac:dyDescent="0.3">
      <c r="A983" s="75" t="s">
        <v>2845</v>
      </c>
      <c r="B983" s="75" t="s">
        <v>2846</v>
      </c>
      <c r="C983" s="75" t="s">
        <v>2847</v>
      </c>
      <c r="D983" s="75" t="s">
        <v>13</v>
      </c>
      <c r="E983" s="75" t="s">
        <v>8</v>
      </c>
      <c r="F983" s="75" t="s">
        <v>23</v>
      </c>
    </row>
    <row r="984" spans="1:6" x14ac:dyDescent="0.3">
      <c r="A984" s="75" t="s">
        <v>2848</v>
      </c>
      <c r="B984" s="75" t="s">
        <v>2849</v>
      </c>
      <c r="C984" s="75" t="s">
        <v>2850</v>
      </c>
      <c r="D984" s="75" t="s">
        <v>13</v>
      </c>
      <c r="E984" s="75" t="s">
        <v>8</v>
      </c>
      <c r="F984" s="75" t="s">
        <v>27</v>
      </c>
    </row>
    <row r="985" spans="1:6" x14ac:dyDescent="0.3">
      <c r="A985" s="75" t="s">
        <v>2851</v>
      </c>
      <c r="B985" s="75" t="s">
        <v>2852</v>
      </c>
      <c r="C985" s="75" t="s">
        <v>2853</v>
      </c>
      <c r="D985" s="75" t="s">
        <v>13</v>
      </c>
      <c r="E985" s="75" t="s">
        <v>8</v>
      </c>
      <c r="F985" s="75" t="s">
        <v>27</v>
      </c>
    </row>
    <row r="986" spans="1:6" x14ac:dyDescent="0.3">
      <c r="A986" s="75" t="s">
        <v>2854</v>
      </c>
      <c r="B986" s="75" t="s">
        <v>2855</v>
      </c>
      <c r="C986" s="75" t="s">
        <v>2856</v>
      </c>
      <c r="D986" s="75">
        <v>1997</v>
      </c>
      <c r="E986" s="75" t="s">
        <v>53</v>
      </c>
      <c r="F986" s="75" t="s">
        <v>63</v>
      </c>
    </row>
    <row r="987" spans="1:6" x14ac:dyDescent="0.3">
      <c r="A987" s="75" t="s">
        <v>2857</v>
      </c>
      <c r="B987" s="75" t="s">
        <v>2858</v>
      </c>
      <c r="C987" s="75" t="s">
        <v>2859</v>
      </c>
      <c r="D987" s="75">
        <v>1987</v>
      </c>
      <c r="E987" s="75" t="s">
        <v>18</v>
      </c>
      <c r="F987" s="75" t="s">
        <v>1048</v>
      </c>
    </row>
    <row r="988" spans="1:6" x14ac:dyDescent="0.3">
      <c r="A988" s="75" t="s">
        <v>2860</v>
      </c>
      <c r="B988" s="75" t="s">
        <v>2861</v>
      </c>
      <c r="C988" s="75" t="s">
        <v>2862</v>
      </c>
      <c r="D988" s="75">
        <v>2013</v>
      </c>
      <c r="E988" s="75" t="s">
        <v>70</v>
      </c>
      <c r="F988" s="75" t="s">
        <v>118</v>
      </c>
    </row>
    <row r="989" spans="1:6" x14ac:dyDescent="0.3">
      <c r="A989" s="75" t="s">
        <v>2863</v>
      </c>
      <c r="B989" s="75" t="s">
        <v>2864</v>
      </c>
      <c r="C989" s="75" t="s">
        <v>2865</v>
      </c>
      <c r="D989" s="75" t="s">
        <v>13</v>
      </c>
      <c r="E989" s="75" t="s">
        <v>8</v>
      </c>
      <c r="F989" s="75" t="s">
        <v>27</v>
      </c>
    </row>
    <row r="990" spans="1:6" x14ac:dyDescent="0.3">
      <c r="A990" s="75" t="s">
        <v>2866</v>
      </c>
      <c r="B990" s="75" t="s">
        <v>2867</v>
      </c>
      <c r="C990" s="75" t="s">
        <v>13</v>
      </c>
      <c r="D990" s="75">
        <v>2017</v>
      </c>
      <c r="E990" s="75" t="s">
        <v>8</v>
      </c>
      <c r="F990" s="75" t="s">
        <v>76</v>
      </c>
    </row>
    <row r="991" spans="1:6" x14ac:dyDescent="0.3">
      <c r="A991" s="75" t="s">
        <v>2868</v>
      </c>
      <c r="B991" s="75" t="s">
        <v>2869</v>
      </c>
      <c r="C991" s="75" t="s">
        <v>2870</v>
      </c>
      <c r="D991" s="75" t="s">
        <v>13</v>
      </c>
      <c r="E991" s="75" t="s">
        <v>8</v>
      </c>
      <c r="F991" s="75" t="s">
        <v>9</v>
      </c>
    </row>
    <row r="992" spans="1:6" x14ac:dyDescent="0.3">
      <c r="A992" s="75" t="s">
        <v>2871</v>
      </c>
      <c r="B992" s="75" t="s">
        <v>2872</v>
      </c>
      <c r="C992" s="75" t="s">
        <v>1920</v>
      </c>
      <c r="D992" s="75" t="s">
        <v>13</v>
      </c>
      <c r="E992" s="75" t="s">
        <v>53</v>
      </c>
      <c r="F992" s="75" t="s">
        <v>519</v>
      </c>
    </row>
    <row r="993" spans="1:6" x14ac:dyDescent="0.3">
      <c r="A993" s="75" t="s">
        <v>2873</v>
      </c>
      <c r="B993" s="75" t="s">
        <v>2874</v>
      </c>
      <c r="C993" s="75" t="s">
        <v>2875</v>
      </c>
      <c r="D993" s="75" t="s">
        <v>13</v>
      </c>
      <c r="E993" s="75" t="s">
        <v>70</v>
      </c>
      <c r="F993" s="75" t="s">
        <v>71</v>
      </c>
    </row>
    <row r="994" spans="1:6" x14ac:dyDescent="0.3">
      <c r="A994" s="75" t="s">
        <v>2876</v>
      </c>
      <c r="B994" s="75" t="s">
        <v>2877</v>
      </c>
      <c r="C994" s="75" t="s">
        <v>2878</v>
      </c>
      <c r="D994" s="75">
        <v>2014</v>
      </c>
      <c r="E994" s="75" t="s">
        <v>70</v>
      </c>
      <c r="F994" s="75" t="s">
        <v>71</v>
      </c>
    </row>
    <row r="995" spans="1:6" x14ac:dyDescent="0.3">
      <c r="A995" s="75" t="s">
        <v>2879</v>
      </c>
      <c r="B995" s="75" t="s">
        <v>2880</v>
      </c>
      <c r="C995" s="75" t="s">
        <v>620</v>
      </c>
      <c r="D995" s="75" t="s">
        <v>13</v>
      </c>
      <c r="E995" s="75" t="s">
        <v>13</v>
      </c>
      <c r="F995" s="75" t="s">
        <v>13</v>
      </c>
    </row>
    <row r="996" spans="1:6" x14ac:dyDescent="0.3">
      <c r="A996" s="75" t="s">
        <v>2881</v>
      </c>
      <c r="B996" s="75" t="s">
        <v>2882</v>
      </c>
      <c r="C996" s="75" t="s">
        <v>2883</v>
      </c>
      <c r="D996" s="75" t="s">
        <v>13</v>
      </c>
      <c r="E996" s="75" t="s">
        <v>8</v>
      </c>
      <c r="F996" s="75" t="s">
        <v>27</v>
      </c>
    </row>
    <row r="997" spans="1:6" x14ac:dyDescent="0.3">
      <c r="A997" s="75" t="s">
        <v>2884</v>
      </c>
      <c r="B997" s="75" t="s">
        <v>2885</v>
      </c>
      <c r="C997" s="75" t="s">
        <v>2886</v>
      </c>
      <c r="D997" s="75">
        <v>2011</v>
      </c>
      <c r="E997" s="75" t="s">
        <v>13</v>
      </c>
      <c r="F997" s="75" t="s">
        <v>13</v>
      </c>
    </row>
    <row r="998" spans="1:6" x14ac:dyDescent="0.3">
      <c r="A998" s="75" t="s">
        <v>2887</v>
      </c>
      <c r="B998" s="75" t="s">
        <v>2888</v>
      </c>
      <c r="C998" s="75" t="s">
        <v>2889</v>
      </c>
      <c r="D998" s="75" t="s">
        <v>13</v>
      </c>
      <c r="E998" s="75" t="s">
        <v>18</v>
      </c>
      <c r="F998" s="75" t="s">
        <v>729</v>
      </c>
    </row>
    <row r="999" spans="1:6" x14ac:dyDescent="0.3">
      <c r="A999" s="75" t="s">
        <v>2890</v>
      </c>
      <c r="B999" s="75" t="s">
        <v>2891</v>
      </c>
      <c r="C999" s="75" t="s">
        <v>2892</v>
      </c>
      <c r="D999" s="75">
        <v>2014</v>
      </c>
      <c r="E999" s="75" t="s">
        <v>8</v>
      </c>
      <c r="F999" s="75" t="s">
        <v>2382</v>
      </c>
    </row>
    <row r="1000" spans="1:6" x14ac:dyDescent="0.3">
      <c r="A1000" s="75" t="s">
        <v>2893</v>
      </c>
      <c r="B1000" s="75" t="s">
        <v>2894</v>
      </c>
      <c r="C1000" s="75" t="s">
        <v>2895</v>
      </c>
      <c r="D1000" s="75">
        <v>2008</v>
      </c>
      <c r="E1000" s="75" t="s">
        <v>13</v>
      </c>
      <c r="F1000" s="75" t="s">
        <v>13</v>
      </c>
    </row>
    <row r="1001" spans="1:6" x14ac:dyDescent="0.3">
      <c r="A1001" s="75" t="s">
        <v>2896</v>
      </c>
      <c r="B1001" s="75" t="s">
        <v>2894</v>
      </c>
      <c r="C1001" s="75" t="s">
        <v>13</v>
      </c>
      <c r="D1001" s="75" t="s">
        <v>13</v>
      </c>
      <c r="E1001" s="75" t="s">
        <v>13</v>
      </c>
      <c r="F1001" s="75" t="s">
        <v>13</v>
      </c>
    </row>
    <row r="1002" spans="1:6" x14ac:dyDescent="0.3">
      <c r="A1002" s="75" t="s">
        <v>2897</v>
      </c>
      <c r="B1002" s="75" t="s">
        <v>2898</v>
      </c>
      <c r="C1002" s="75" t="s">
        <v>2899</v>
      </c>
      <c r="D1002" s="75" t="s">
        <v>13</v>
      </c>
      <c r="E1002" s="75" t="s">
        <v>13</v>
      </c>
      <c r="F1002" s="75" t="s">
        <v>13</v>
      </c>
    </row>
    <row r="1003" spans="1:6" x14ac:dyDescent="0.3">
      <c r="A1003" s="75" t="s">
        <v>2900</v>
      </c>
      <c r="B1003" s="75" t="s">
        <v>2901</v>
      </c>
      <c r="C1003" s="75" t="s">
        <v>2902</v>
      </c>
      <c r="D1003" s="75" t="s">
        <v>13</v>
      </c>
      <c r="E1003" s="75" t="s">
        <v>8</v>
      </c>
      <c r="F1003" s="75" t="s">
        <v>27</v>
      </c>
    </row>
    <row r="1004" spans="1:6" x14ac:dyDescent="0.3">
      <c r="A1004" s="75" t="s">
        <v>2903</v>
      </c>
      <c r="B1004" s="75" t="s">
        <v>2901</v>
      </c>
      <c r="C1004" s="75" t="s">
        <v>2904</v>
      </c>
      <c r="D1004" s="75" t="s">
        <v>13</v>
      </c>
      <c r="E1004" s="75" t="s">
        <v>8</v>
      </c>
      <c r="F1004" s="75" t="s">
        <v>27</v>
      </c>
    </row>
    <row r="1005" spans="1:6" x14ac:dyDescent="0.3">
      <c r="A1005" s="75" t="s">
        <v>2905</v>
      </c>
      <c r="B1005" s="75" t="s">
        <v>2906</v>
      </c>
      <c r="C1005" s="75" t="s">
        <v>2907</v>
      </c>
      <c r="D1005" s="75">
        <v>2010</v>
      </c>
      <c r="E1005" s="75" t="s">
        <v>8</v>
      </c>
      <c r="F1005" s="75" t="s">
        <v>2382</v>
      </c>
    </row>
    <row r="1006" spans="1:6" x14ac:dyDescent="0.3">
      <c r="A1006" s="75" t="s">
        <v>2908</v>
      </c>
      <c r="B1006" s="75" t="s">
        <v>2909</v>
      </c>
      <c r="C1006" s="75" t="s">
        <v>2910</v>
      </c>
      <c r="D1006" s="75">
        <v>1999</v>
      </c>
      <c r="E1006" s="75" t="s">
        <v>8</v>
      </c>
      <c r="F1006" s="75" t="s">
        <v>27</v>
      </c>
    </row>
    <row r="1007" spans="1:6" x14ac:dyDescent="0.3">
      <c r="A1007" s="75" t="s">
        <v>2911</v>
      </c>
      <c r="B1007" s="75" t="s">
        <v>2912</v>
      </c>
      <c r="C1007" s="75" t="s">
        <v>2913</v>
      </c>
      <c r="D1007" s="75">
        <v>1999</v>
      </c>
      <c r="E1007" s="75" t="s">
        <v>31</v>
      </c>
      <c r="F1007" s="75" t="s">
        <v>92</v>
      </c>
    </row>
    <row r="1008" spans="1:6" x14ac:dyDescent="0.3">
      <c r="A1008" s="75" t="s">
        <v>2914</v>
      </c>
      <c r="B1008" s="75" t="s">
        <v>2915</v>
      </c>
      <c r="C1008" s="75" t="s">
        <v>2916</v>
      </c>
      <c r="D1008" s="75" t="s">
        <v>13</v>
      </c>
      <c r="E1008" s="75" t="s">
        <v>96</v>
      </c>
      <c r="F1008" s="75" t="s">
        <v>97</v>
      </c>
    </row>
    <row r="1009" spans="1:6" x14ac:dyDescent="0.3">
      <c r="A1009" s="75" t="s">
        <v>2917</v>
      </c>
      <c r="B1009" s="75" t="s">
        <v>2918</v>
      </c>
      <c r="C1009" s="75" t="s">
        <v>2919</v>
      </c>
      <c r="D1009" s="75">
        <v>2017</v>
      </c>
      <c r="E1009" s="75" t="s">
        <v>8</v>
      </c>
      <c r="F1009" s="75" t="s">
        <v>76</v>
      </c>
    </row>
    <row r="1010" spans="1:6" x14ac:dyDescent="0.3">
      <c r="A1010" s="75" t="s">
        <v>2920</v>
      </c>
      <c r="B1010" s="75" t="s">
        <v>2918</v>
      </c>
      <c r="C1010" s="75" t="s">
        <v>13</v>
      </c>
      <c r="D1010" s="75">
        <v>2017</v>
      </c>
      <c r="E1010" s="75" t="s">
        <v>8</v>
      </c>
      <c r="F1010" s="75" t="s">
        <v>76</v>
      </c>
    </row>
    <row r="1011" spans="1:6" x14ac:dyDescent="0.3">
      <c r="A1011" s="75" t="s">
        <v>2921</v>
      </c>
      <c r="B1011" s="75" t="s">
        <v>2918</v>
      </c>
      <c r="C1011" s="75" t="s">
        <v>13</v>
      </c>
      <c r="D1011" s="75">
        <v>2017</v>
      </c>
      <c r="E1011" s="75" t="s">
        <v>8</v>
      </c>
      <c r="F1011" s="75" t="s">
        <v>76</v>
      </c>
    </row>
    <row r="1012" spans="1:6" x14ac:dyDescent="0.3">
      <c r="A1012" s="75" t="s">
        <v>2922</v>
      </c>
      <c r="B1012" s="75" t="s">
        <v>2923</v>
      </c>
      <c r="C1012" s="75" t="s">
        <v>2924</v>
      </c>
      <c r="D1012" s="75">
        <v>2013</v>
      </c>
      <c r="E1012" s="75" t="s">
        <v>31</v>
      </c>
      <c r="F1012" s="75" t="s">
        <v>798</v>
      </c>
    </row>
    <row r="1013" spans="1:6" x14ac:dyDescent="0.3">
      <c r="A1013" s="75" t="s">
        <v>2925</v>
      </c>
      <c r="B1013" s="75" t="s">
        <v>2926</v>
      </c>
      <c r="C1013" s="75" t="s">
        <v>2927</v>
      </c>
      <c r="D1013" s="75">
        <v>1987</v>
      </c>
      <c r="E1013" s="75" t="s">
        <v>8</v>
      </c>
      <c r="F1013" s="75" t="s">
        <v>27</v>
      </c>
    </row>
    <row r="1014" spans="1:6" x14ac:dyDescent="0.3">
      <c r="A1014" s="75" t="s">
        <v>2928</v>
      </c>
      <c r="B1014" s="75" t="s">
        <v>2929</v>
      </c>
      <c r="C1014" s="75" t="s">
        <v>2930</v>
      </c>
      <c r="D1014" s="75" t="s">
        <v>13</v>
      </c>
      <c r="E1014" s="75" t="s">
        <v>8</v>
      </c>
      <c r="F1014" s="75" t="s">
        <v>27</v>
      </c>
    </row>
    <row r="1015" spans="1:6" x14ac:dyDescent="0.3">
      <c r="A1015" s="75" t="s">
        <v>2931</v>
      </c>
      <c r="B1015" s="75" t="s">
        <v>2932</v>
      </c>
      <c r="C1015" s="75" t="s">
        <v>2933</v>
      </c>
      <c r="D1015" s="75">
        <v>2013</v>
      </c>
      <c r="E1015" s="75" t="s">
        <v>13</v>
      </c>
      <c r="F1015" s="75" t="s">
        <v>13</v>
      </c>
    </row>
    <row r="1016" spans="1:6" x14ac:dyDescent="0.3">
      <c r="A1016" s="75" t="s">
        <v>2934</v>
      </c>
      <c r="B1016" s="75" t="s">
        <v>2935</v>
      </c>
      <c r="C1016" s="75" t="s">
        <v>2936</v>
      </c>
      <c r="D1016" s="75" t="s">
        <v>13</v>
      </c>
      <c r="E1016" s="75" t="s">
        <v>8</v>
      </c>
      <c r="F1016" s="75" t="s">
        <v>27</v>
      </c>
    </row>
    <row r="1017" spans="1:6" x14ac:dyDescent="0.3">
      <c r="A1017" s="75" t="s">
        <v>2937</v>
      </c>
      <c r="B1017" s="75" t="s">
        <v>2938</v>
      </c>
      <c r="C1017" s="75" t="s">
        <v>2939</v>
      </c>
      <c r="D1017" s="75" t="s">
        <v>13</v>
      </c>
      <c r="E1017" s="75" t="s">
        <v>8</v>
      </c>
      <c r="F1017" s="75" t="s">
        <v>27</v>
      </c>
    </row>
    <row r="1018" spans="1:6" x14ac:dyDescent="0.3">
      <c r="A1018" s="75" t="s">
        <v>2940</v>
      </c>
      <c r="B1018" s="75" t="s">
        <v>2941</v>
      </c>
      <c r="C1018" s="75" t="s">
        <v>2942</v>
      </c>
      <c r="D1018" s="75" t="s">
        <v>13</v>
      </c>
      <c r="E1018" s="75" t="s">
        <v>8</v>
      </c>
      <c r="F1018" s="75" t="s">
        <v>23</v>
      </c>
    </row>
    <row r="1019" spans="1:6" x14ac:dyDescent="0.3">
      <c r="A1019" s="75" t="s">
        <v>2943</v>
      </c>
      <c r="B1019" s="75" t="s">
        <v>2944</v>
      </c>
      <c r="C1019" s="75" t="s">
        <v>2945</v>
      </c>
      <c r="D1019" s="75">
        <v>1991</v>
      </c>
      <c r="E1019" s="75" t="s">
        <v>18</v>
      </c>
      <c r="F1019" s="75" t="s">
        <v>19</v>
      </c>
    </row>
    <row r="1020" spans="1:6" x14ac:dyDescent="0.3">
      <c r="A1020" s="75" t="s">
        <v>2946</v>
      </c>
      <c r="B1020" s="75" t="s">
        <v>2947</v>
      </c>
      <c r="C1020" s="75" t="s">
        <v>2948</v>
      </c>
      <c r="D1020" s="75" t="s">
        <v>13</v>
      </c>
      <c r="E1020" s="75" t="s">
        <v>8</v>
      </c>
      <c r="F1020" s="75" t="s">
        <v>27</v>
      </c>
    </row>
    <row r="1021" spans="1:6" x14ac:dyDescent="0.3">
      <c r="A1021" s="75" t="s">
        <v>2949</v>
      </c>
      <c r="B1021" s="75" t="s">
        <v>2950</v>
      </c>
      <c r="C1021" s="75" t="s">
        <v>2951</v>
      </c>
      <c r="D1021" s="75" t="s">
        <v>13</v>
      </c>
      <c r="E1021" s="75" t="s">
        <v>8</v>
      </c>
      <c r="F1021" s="75" t="s">
        <v>27</v>
      </c>
    </row>
    <row r="1022" spans="1:6" x14ac:dyDescent="0.3">
      <c r="A1022" s="75" t="s">
        <v>2952</v>
      </c>
      <c r="B1022" s="75" t="s">
        <v>2953</v>
      </c>
      <c r="C1022" s="75" t="s">
        <v>2954</v>
      </c>
      <c r="D1022" s="75" t="s">
        <v>13</v>
      </c>
      <c r="E1022" s="75" t="s">
        <v>8</v>
      </c>
      <c r="F1022" s="75" t="s">
        <v>27</v>
      </c>
    </row>
    <row r="1023" spans="1:6" x14ac:dyDescent="0.3">
      <c r="A1023" s="75" t="s">
        <v>2955</v>
      </c>
      <c r="B1023" s="75" t="s">
        <v>2956</v>
      </c>
      <c r="C1023" s="75" t="s">
        <v>2957</v>
      </c>
      <c r="D1023" s="75">
        <v>2011</v>
      </c>
      <c r="E1023" s="75" t="s">
        <v>8</v>
      </c>
      <c r="F1023" s="75" t="s">
        <v>579</v>
      </c>
    </row>
    <row r="1024" spans="1:6" x14ac:dyDescent="0.3">
      <c r="A1024" s="75" t="s">
        <v>2958</v>
      </c>
      <c r="B1024" s="75" t="s">
        <v>2959</v>
      </c>
      <c r="C1024" s="75" t="s">
        <v>2960</v>
      </c>
      <c r="D1024" s="75" t="s">
        <v>13</v>
      </c>
      <c r="E1024" s="75" t="s">
        <v>8</v>
      </c>
      <c r="F1024" s="75" t="s">
        <v>23</v>
      </c>
    </row>
    <row r="1025" spans="1:6" x14ac:dyDescent="0.3">
      <c r="A1025" s="75" t="s">
        <v>2961</v>
      </c>
      <c r="B1025" s="75" t="s">
        <v>2962</v>
      </c>
      <c r="C1025" s="75" t="s">
        <v>2963</v>
      </c>
      <c r="D1025" s="75" t="s">
        <v>13</v>
      </c>
      <c r="E1025" s="75" t="s">
        <v>8</v>
      </c>
      <c r="F1025" s="75" t="s">
        <v>27</v>
      </c>
    </row>
    <row r="1026" spans="1:6" x14ac:dyDescent="0.3">
      <c r="A1026" s="75" t="s">
        <v>2964</v>
      </c>
      <c r="B1026" s="75" t="s">
        <v>2962</v>
      </c>
      <c r="C1026" s="75" t="s">
        <v>13</v>
      </c>
      <c r="D1026" s="75" t="s">
        <v>13</v>
      </c>
      <c r="E1026" s="75" t="s">
        <v>8</v>
      </c>
      <c r="F1026" s="75" t="s">
        <v>27</v>
      </c>
    </row>
    <row r="1027" spans="1:6" x14ac:dyDescent="0.3">
      <c r="A1027" s="75" t="s">
        <v>2965</v>
      </c>
      <c r="B1027" s="75" t="s">
        <v>2966</v>
      </c>
      <c r="C1027" s="75" t="s">
        <v>2967</v>
      </c>
      <c r="D1027" s="75" t="s">
        <v>13</v>
      </c>
      <c r="E1027" s="75" t="s">
        <v>8</v>
      </c>
      <c r="F1027" s="75" t="s">
        <v>27</v>
      </c>
    </row>
    <row r="1028" spans="1:6" x14ac:dyDescent="0.3">
      <c r="A1028" s="75" t="s">
        <v>2968</v>
      </c>
      <c r="B1028" s="75" t="s">
        <v>2969</v>
      </c>
      <c r="C1028" s="75" t="s">
        <v>2970</v>
      </c>
      <c r="D1028" s="75" t="s">
        <v>13</v>
      </c>
      <c r="E1028" s="75" t="s">
        <v>8</v>
      </c>
      <c r="F1028" s="75" t="s">
        <v>27</v>
      </c>
    </row>
    <row r="1029" spans="1:6" x14ac:dyDescent="0.3">
      <c r="A1029" s="75" t="s">
        <v>2971</v>
      </c>
      <c r="B1029" s="75" t="s">
        <v>2972</v>
      </c>
      <c r="C1029" s="75" t="s">
        <v>2973</v>
      </c>
      <c r="D1029" s="75" t="s">
        <v>13</v>
      </c>
      <c r="E1029" s="75" t="s">
        <v>8</v>
      </c>
      <c r="F1029" s="75" t="s">
        <v>27</v>
      </c>
    </row>
    <row r="1030" spans="1:6" x14ac:dyDescent="0.3">
      <c r="A1030" s="75" t="s">
        <v>2974</v>
      </c>
      <c r="B1030" s="75" t="s">
        <v>2975</v>
      </c>
      <c r="C1030" s="75" t="s">
        <v>2976</v>
      </c>
      <c r="D1030" s="75" t="s">
        <v>13</v>
      </c>
      <c r="E1030" s="75" t="s">
        <v>8</v>
      </c>
      <c r="F1030" s="75" t="s">
        <v>27</v>
      </c>
    </row>
    <row r="1031" spans="1:6" x14ac:dyDescent="0.3">
      <c r="A1031" s="75" t="s">
        <v>2977</v>
      </c>
      <c r="B1031" s="75" t="s">
        <v>2978</v>
      </c>
      <c r="C1031" s="75" t="s">
        <v>2979</v>
      </c>
      <c r="D1031" s="75" t="s">
        <v>13</v>
      </c>
      <c r="E1031" s="75" t="s">
        <v>8</v>
      </c>
      <c r="F1031" s="75" t="s">
        <v>23</v>
      </c>
    </row>
    <row r="1032" spans="1:6" x14ac:dyDescent="0.3">
      <c r="A1032" s="75" t="s">
        <v>2980</v>
      </c>
      <c r="B1032" s="75" t="s">
        <v>2981</v>
      </c>
      <c r="C1032" s="75" t="s">
        <v>2982</v>
      </c>
      <c r="D1032" s="75">
        <v>2016</v>
      </c>
      <c r="E1032" s="75" t="s">
        <v>8</v>
      </c>
      <c r="F1032" s="75" t="s">
        <v>27</v>
      </c>
    </row>
    <row r="1033" spans="1:6" x14ac:dyDescent="0.3">
      <c r="A1033" s="75" t="s">
        <v>2983</v>
      </c>
      <c r="B1033" s="75" t="s">
        <v>2984</v>
      </c>
      <c r="C1033" s="75" t="s">
        <v>2985</v>
      </c>
      <c r="D1033" s="75" t="s">
        <v>13</v>
      </c>
      <c r="E1033" s="75" t="s">
        <v>8</v>
      </c>
      <c r="F1033" s="75" t="s">
        <v>27</v>
      </c>
    </row>
    <row r="1034" spans="1:6" x14ac:dyDescent="0.3">
      <c r="A1034" s="75" t="s">
        <v>2986</v>
      </c>
      <c r="B1034" s="75" t="s">
        <v>2984</v>
      </c>
      <c r="C1034" s="75" t="s">
        <v>13</v>
      </c>
      <c r="D1034" s="75" t="s">
        <v>13</v>
      </c>
      <c r="E1034" s="75" t="s">
        <v>8</v>
      </c>
      <c r="F1034" s="75" t="s">
        <v>27</v>
      </c>
    </row>
    <row r="1035" spans="1:6" x14ac:dyDescent="0.3">
      <c r="A1035" s="75" t="s">
        <v>2987</v>
      </c>
      <c r="B1035" s="75" t="s">
        <v>2988</v>
      </c>
      <c r="C1035" s="75" t="s">
        <v>1721</v>
      </c>
      <c r="D1035" s="75">
        <v>2010</v>
      </c>
      <c r="E1035" s="75" t="s">
        <v>8</v>
      </c>
      <c r="F1035" s="75" t="s">
        <v>27</v>
      </c>
    </row>
    <row r="1036" spans="1:6" x14ac:dyDescent="0.3">
      <c r="A1036" s="75" t="s">
        <v>2989</v>
      </c>
      <c r="B1036" s="75" t="s">
        <v>2990</v>
      </c>
      <c r="C1036" s="75" t="s">
        <v>2991</v>
      </c>
      <c r="D1036" s="75" t="s">
        <v>13</v>
      </c>
      <c r="E1036" s="75" t="s">
        <v>8</v>
      </c>
      <c r="F1036" s="75" t="s">
        <v>27</v>
      </c>
    </row>
    <row r="1037" spans="1:6" x14ac:dyDescent="0.3">
      <c r="A1037" s="75" t="s">
        <v>2992</v>
      </c>
      <c r="B1037" s="75" t="s">
        <v>2993</v>
      </c>
      <c r="C1037" s="75" t="s">
        <v>2994</v>
      </c>
      <c r="D1037" s="75" t="s">
        <v>13</v>
      </c>
      <c r="E1037" s="75" t="s">
        <v>8</v>
      </c>
      <c r="F1037" s="75" t="s">
        <v>27</v>
      </c>
    </row>
    <row r="1038" spans="1:6" x14ac:dyDescent="0.3">
      <c r="A1038" s="75" t="s">
        <v>2995</v>
      </c>
      <c r="B1038" s="75" t="s">
        <v>2996</v>
      </c>
      <c r="C1038" s="75" t="s">
        <v>2997</v>
      </c>
      <c r="D1038" s="75" t="s">
        <v>13</v>
      </c>
      <c r="E1038" s="75" t="s">
        <v>8</v>
      </c>
      <c r="F1038" s="75" t="s">
        <v>27</v>
      </c>
    </row>
    <row r="1039" spans="1:6" x14ac:dyDescent="0.3">
      <c r="A1039" s="75" t="s">
        <v>2998</v>
      </c>
      <c r="B1039" s="75" t="s">
        <v>2999</v>
      </c>
      <c r="C1039" s="75" t="s">
        <v>3000</v>
      </c>
      <c r="D1039" s="75">
        <v>2015</v>
      </c>
      <c r="E1039" s="75" t="s">
        <v>8</v>
      </c>
      <c r="F1039" s="75" t="s">
        <v>579</v>
      </c>
    </row>
    <row r="1040" spans="1:6" x14ac:dyDescent="0.3">
      <c r="A1040" s="75" t="s">
        <v>3001</v>
      </c>
      <c r="B1040" s="75" t="s">
        <v>3002</v>
      </c>
      <c r="C1040" s="75" t="s">
        <v>3003</v>
      </c>
      <c r="D1040" s="75" t="s">
        <v>13</v>
      </c>
      <c r="E1040" s="75" t="s">
        <v>8</v>
      </c>
      <c r="F1040" s="75" t="s">
        <v>23</v>
      </c>
    </row>
    <row r="1041" spans="1:6" x14ac:dyDescent="0.3">
      <c r="A1041" s="75" t="s">
        <v>3004</v>
      </c>
      <c r="B1041" s="75" t="s">
        <v>3005</v>
      </c>
      <c r="C1041" s="75" t="s">
        <v>3006</v>
      </c>
      <c r="D1041" s="75">
        <v>2006</v>
      </c>
      <c r="E1041" s="75" t="s">
        <v>31</v>
      </c>
      <c r="F1041" s="75" t="s">
        <v>92</v>
      </c>
    </row>
    <row r="1042" spans="1:6" x14ac:dyDescent="0.3">
      <c r="A1042" s="75" t="s">
        <v>3007</v>
      </c>
      <c r="B1042" s="75" t="s">
        <v>3008</v>
      </c>
      <c r="C1042" s="75" t="s">
        <v>3009</v>
      </c>
      <c r="D1042" s="75" t="s">
        <v>13</v>
      </c>
      <c r="E1042" s="75" t="s">
        <v>8</v>
      </c>
      <c r="F1042" s="75" t="s">
        <v>27</v>
      </c>
    </row>
    <row r="1043" spans="1:6" x14ac:dyDescent="0.3">
      <c r="A1043" s="75" t="s">
        <v>3010</v>
      </c>
      <c r="B1043" s="75" t="s">
        <v>3011</v>
      </c>
      <c r="C1043" s="75" t="s">
        <v>3012</v>
      </c>
      <c r="D1043" s="75" t="s">
        <v>13</v>
      </c>
      <c r="E1043" s="75" t="s">
        <v>13</v>
      </c>
      <c r="F1043" s="75" t="s">
        <v>13</v>
      </c>
    </row>
    <row r="1044" spans="1:6" x14ac:dyDescent="0.3">
      <c r="A1044" s="75" t="s">
        <v>3013</v>
      </c>
      <c r="B1044" s="75" t="s">
        <v>3014</v>
      </c>
      <c r="C1044" s="75" t="s">
        <v>2875</v>
      </c>
      <c r="D1044" s="75" t="s">
        <v>13</v>
      </c>
      <c r="E1044" s="75" t="s">
        <v>13</v>
      </c>
      <c r="F1044" s="75" t="s">
        <v>13</v>
      </c>
    </row>
    <row r="1045" spans="1:6" x14ac:dyDescent="0.3">
      <c r="A1045" s="75" t="s">
        <v>3015</v>
      </c>
      <c r="B1045" s="75" t="s">
        <v>3016</v>
      </c>
      <c r="C1045" s="75" t="s">
        <v>3017</v>
      </c>
      <c r="D1045" s="75" t="s">
        <v>13</v>
      </c>
      <c r="E1045" s="75" t="s">
        <v>13</v>
      </c>
      <c r="F1045" s="75" t="s">
        <v>13</v>
      </c>
    </row>
    <row r="1046" spans="1:6" x14ac:dyDescent="0.3">
      <c r="A1046" s="75" t="s">
        <v>3018</v>
      </c>
      <c r="B1046" s="75" t="s">
        <v>3019</v>
      </c>
      <c r="C1046" s="75" t="s">
        <v>3020</v>
      </c>
      <c r="D1046" s="75" t="s">
        <v>13</v>
      </c>
      <c r="E1046" s="75" t="s">
        <v>13</v>
      </c>
      <c r="F1046" s="75" t="s">
        <v>13</v>
      </c>
    </row>
    <row r="1047" spans="1:6" x14ac:dyDescent="0.3">
      <c r="A1047" s="75" t="s">
        <v>3021</v>
      </c>
      <c r="B1047" s="75" t="s">
        <v>3022</v>
      </c>
      <c r="C1047" s="75" t="s">
        <v>3023</v>
      </c>
      <c r="D1047" s="75" t="s">
        <v>13</v>
      </c>
      <c r="E1047" s="75" t="s">
        <v>13</v>
      </c>
      <c r="F1047" s="75" t="s">
        <v>13</v>
      </c>
    </row>
    <row r="1048" spans="1:6" x14ac:dyDescent="0.3">
      <c r="A1048" s="75" t="s">
        <v>3024</v>
      </c>
      <c r="B1048" s="75" t="s">
        <v>3025</v>
      </c>
      <c r="C1048" s="75" t="s">
        <v>3026</v>
      </c>
      <c r="D1048" s="75" t="s">
        <v>13</v>
      </c>
      <c r="E1048" s="75" t="s">
        <v>13</v>
      </c>
      <c r="F1048" s="75" t="s">
        <v>13</v>
      </c>
    </row>
    <row r="1049" spans="1:6" x14ac:dyDescent="0.3">
      <c r="A1049" s="75" t="s">
        <v>3027</v>
      </c>
      <c r="B1049" s="75" t="s">
        <v>3028</v>
      </c>
      <c r="C1049" s="75" t="s">
        <v>3029</v>
      </c>
      <c r="D1049" s="75" t="s">
        <v>13</v>
      </c>
      <c r="E1049" s="75" t="s">
        <v>13</v>
      </c>
      <c r="F1049" s="75" t="s">
        <v>13</v>
      </c>
    </row>
    <row r="1050" spans="1:6" x14ac:dyDescent="0.3">
      <c r="A1050" s="75" t="s">
        <v>3030</v>
      </c>
      <c r="B1050" s="75" t="s">
        <v>3031</v>
      </c>
      <c r="C1050" s="75" t="s">
        <v>3032</v>
      </c>
      <c r="D1050" s="75" t="s">
        <v>13</v>
      </c>
      <c r="E1050" s="75" t="s">
        <v>13</v>
      </c>
      <c r="F1050" s="75" t="s">
        <v>13</v>
      </c>
    </row>
    <row r="1051" spans="1:6" x14ac:dyDescent="0.3">
      <c r="A1051" s="75" t="s">
        <v>3033</v>
      </c>
      <c r="B1051" s="75" t="s">
        <v>3034</v>
      </c>
      <c r="C1051" s="75" t="s">
        <v>3035</v>
      </c>
      <c r="D1051" s="75" t="s">
        <v>13</v>
      </c>
      <c r="E1051" s="75" t="s">
        <v>13</v>
      </c>
      <c r="F1051" s="75" t="s">
        <v>13</v>
      </c>
    </row>
    <row r="1052" spans="1:6" x14ac:dyDescent="0.3">
      <c r="A1052" s="75" t="s">
        <v>3036</v>
      </c>
      <c r="B1052" s="75" t="s">
        <v>3037</v>
      </c>
      <c r="C1052" s="75" t="s">
        <v>3038</v>
      </c>
      <c r="D1052" s="75" t="s">
        <v>13</v>
      </c>
      <c r="E1052" s="75" t="s">
        <v>13</v>
      </c>
      <c r="F1052" s="75" t="s">
        <v>13</v>
      </c>
    </row>
    <row r="1053" spans="1:6" x14ac:dyDescent="0.3">
      <c r="A1053" s="75" t="s">
        <v>3039</v>
      </c>
      <c r="B1053" s="75" t="s">
        <v>3040</v>
      </c>
      <c r="C1053" s="75" t="s">
        <v>3041</v>
      </c>
      <c r="D1053" s="75" t="s">
        <v>13</v>
      </c>
      <c r="E1053" s="75" t="s">
        <v>13</v>
      </c>
      <c r="F1053" s="75" t="s">
        <v>13</v>
      </c>
    </row>
    <row r="1054" spans="1:6" x14ac:dyDescent="0.3">
      <c r="A1054" s="75" t="s">
        <v>3042</v>
      </c>
      <c r="B1054" s="75" t="s">
        <v>3043</v>
      </c>
      <c r="C1054" s="75" t="s">
        <v>3044</v>
      </c>
      <c r="D1054" s="75" t="s">
        <v>13</v>
      </c>
      <c r="E1054" s="75" t="s">
        <v>13</v>
      </c>
      <c r="F1054" s="75" t="s">
        <v>13</v>
      </c>
    </row>
    <row r="1055" spans="1:6" x14ac:dyDescent="0.3">
      <c r="A1055" s="75" t="s">
        <v>3045</v>
      </c>
      <c r="B1055" s="75" t="s">
        <v>3046</v>
      </c>
      <c r="C1055" s="75" t="s">
        <v>3047</v>
      </c>
      <c r="D1055" s="75" t="s">
        <v>13</v>
      </c>
      <c r="E1055" s="75" t="s">
        <v>13</v>
      </c>
      <c r="F1055" s="75" t="s">
        <v>13</v>
      </c>
    </row>
    <row r="1056" spans="1:6" x14ac:dyDescent="0.3">
      <c r="A1056" s="75" t="s">
        <v>3048</v>
      </c>
      <c r="B1056" s="75" t="s">
        <v>3049</v>
      </c>
      <c r="C1056" s="75" t="s">
        <v>3050</v>
      </c>
      <c r="D1056" s="75" t="s">
        <v>13</v>
      </c>
      <c r="E1056" s="75" t="s">
        <v>13</v>
      </c>
      <c r="F1056" s="75" t="s">
        <v>13</v>
      </c>
    </row>
    <row r="1057" spans="1:6" x14ac:dyDescent="0.3">
      <c r="A1057" s="75" t="s">
        <v>3051</v>
      </c>
      <c r="B1057" s="75" t="s">
        <v>3052</v>
      </c>
      <c r="C1057" s="75" t="s">
        <v>3053</v>
      </c>
      <c r="D1057" s="75" t="s">
        <v>13</v>
      </c>
      <c r="E1057" s="75" t="s">
        <v>13</v>
      </c>
      <c r="F1057" s="75" t="s">
        <v>13</v>
      </c>
    </row>
    <row r="1058" spans="1:6" x14ac:dyDescent="0.3">
      <c r="A1058" s="75" t="s">
        <v>3054</v>
      </c>
      <c r="B1058" s="75" t="s">
        <v>3055</v>
      </c>
      <c r="C1058" s="75" t="s">
        <v>3056</v>
      </c>
      <c r="D1058" s="75" t="s">
        <v>13</v>
      </c>
      <c r="E1058" s="75" t="s">
        <v>13</v>
      </c>
      <c r="F1058" s="75" t="s">
        <v>13</v>
      </c>
    </row>
    <row r="1059" spans="1:6" x14ac:dyDescent="0.3">
      <c r="A1059" s="75" t="s">
        <v>3057</v>
      </c>
      <c r="B1059" s="75" t="s">
        <v>3058</v>
      </c>
      <c r="C1059" s="75" t="s">
        <v>3059</v>
      </c>
      <c r="D1059" s="75" t="s">
        <v>13</v>
      </c>
      <c r="E1059" s="75" t="s">
        <v>13</v>
      </c>
      <c r="F1059" s="75" t="s">
        <v>13</v>
      </c>
    </row>
    <row r="1060" spans="1:6" x14ac:dyDescent="0.3">
      <c r="A1060" s="75" t="s">
        <v>3060</v>
      </c>
      <c r="B1060" s="75" t="s">
        <v>3061</v>
      </c>
      <c r="C1060" s="75" t="s">
        <v>3062</v>
      </c>
      <c r="D1060" s="75" t="s">
        <v>13</v>
      </c>
      <c r="E1060" s="75" t="s">
        <v>13</v>
      </c>
      <c r="F1060" s="75" t="s">
        <v>13</v>
      </c>
    </row>
    <row r="1061" spans="1:6" x14ac:dyDescent="0.3">
      <c r="A1061" s="75" t="s">
        <v>3063</v>
      </c>
      <c r="B1061" s="75" t="s">
        <v>3064</v>
      </c>
      <c r="C1061" s="75" t="s">
        <v>3065</v>
      </c>
      <c r="D1061" s="75" t="s">
        <v>13</v>
      </c>
      <c r="E1061" s="75" t="s">
        <v>13</v>
      </c>
      <c r="F1061" s="75" t="s">
        <v>13</v>
      </c>
    </row>
    <row r="1062" spans="1:6" x14ac:dyDescent="0.3">
      <c r="A1062" s="75" t="s">
        <v>3066</v>
      </c>
      <c r="B1062" s="75" t="s">
        <v>3067</v>
      </c>
      <c r="C1062" s="75" t="s">
        <v>3068</v>
      </c>
      <c r="D1062" s="75" t="s">
        <v>13</v>
      </c>
      <c r="E1062" s="75" t="s">
        <v>13</v>
      </c>
      <c r="F1062" s="75" t="s">
        <v>13</v>
      </c>
    </row>
    <row r="1063" spans="1:6" x14ac:dyDescent="0.3">
      <c r="A1063" s="75" t="s">
        <v>3069</v>
      </c>
      <c r="B1063" s="75" t="s">
        <v>3070</v>
      </c>
      <c r="C1063" s="75" t="s">
        <v>66</v>
      </c>
      <c r="D1063" s="75" t="s">
        <v>13</v>
      </c>
      <c r="E1063" s="75" t="s">
        <v>13</v>
      </c>
      <c r="F1063" s="75" t="s">
        <v>13</v>
      </c>
    </row>
    <row r="1064" spans="1:6" x14ac:dyDescent="0.3">
      <c r="A1064" s="75" t="s">
        <v>3071</v>
      </c>
      <c r="B1064" s="75" t="s">
        <v>3072</v>
      </c>
      <c r="C1064" s="75" t="s">
        <v>3073</v>
      </c>
      <c r="D1064" s="75" t="s">
        <v>13</v>
      </c>
      <c r="E1064" s="75" t="s">
        <v>13</v>
      </c>
      <c r="F1064" s="75" t="s">
        <v>13</v>
      </c>
    </row>
    <row r="1065" spans="1:6" x14ac:dyDescent="0.3">
      <c r="A1065" s="75" t="s">
        <v>3074</v>
      </c>
      <c r="B1065" s="75" t="s">
        <v>3075</v>
      </c>
      <c r="C1065" s="75" t="s">
        <v>3076</v>
      </c>
      <c r="D1065" s="75" t="s">
        <v>13</v>
      </c>
      <c r="E1065" s="75" t="s">
        <v>13</v>
      </c>
      <c r="F1065" s="75" t="s">
        <v>13</v>
      </c>
    </row>
    <row r="1066" spans="1:6" x14ac:dyDescent="0.3">
      <c r="A1066" s="75" t="s">
        <v>3077</v>
      </c>
      <c r="B1066" s="75" t="s">
        <v>3078</v>
      </c>
      <c r="C1066" s="75" t="s">
        <v>3079</v>
      </c>
      <c r="D1066" s="75" t="s">
        <v>13</v>
      </c>
      <c r="E1066" s="75" t="s">
        <v>13</v>
      </c>
      <c r="F1066" s="75" t="s">
        <v>13</v>
      </c>
    </row>
    <row r="1067" spans="1:6" x14ac:dyDescent="0.3">
      <c r="A1067" s="75" t="s">
        <v>3080</v>
      </c>
      <c r="B1067" s="75" t="s">
        <v>3081</v>
      </c>
      <c r="C1067" s="75" t="s">
        <v>3082</v>
      </c>
      <c r="D1067" s="75" t="s">
        <v>13</v>
      </c>
      <c r="E1067" s="75" t="s">
        <v>13</v>
      </c>
      <c r="F1067" s="75" t="s">
        <v>13</v>
      </c>
    </row>
    <row r="1068" spans="1:6" x14ac:dyDescent="0.3">
      <c r="A1068" s="75" t="s">
        <v>3083</v>
      </c>
      <c r="B1068" s="75" t="s">
        <v>3084</v>
      </c>
      <c r="C1068" s="75" t="s">
        <v>3085</v>
      </c>
      <c r="D1068" s="75" t="s">
        <v>13</v>
      </c>
      <c r="E1068" s="75" t="s">
        <v>13</v>
      </c>
      <c r="F1068" s="75" t="s">
        <v>13</v>
      </c>
    </row>
    <row r="1069" spans="1:6" x14ac:dyDescent="0.3">
      <c r="A1069" s="75" t="s">
        <v>3086</v>
      </c>
      <c r="B1069" s="75" t="s">
        <v>3087</v>
      </c>
      <c r="C1069" s="75" t="s">
        <v>1631</v>
      </c>
      <c r="D1069" s="75" t="s">
        <v>13</v>
      </c>
      <c r="E1069" s="75" t="s">
        <v>13</v>
      </c>
      <c r="F1069" s="75" t="s">
        <v>13</v>
      </c>
    </row>
    <row r="1070" spans="1:6" x14ac:dyDescent="0.3">
      <c r="A1070" s="75" t="s">
        <v>3088</v>
      </c>
      <c r="B1070" s="75" t="s">
        <v>3089</v>
      </c>
      <c r="C1070" s="75" t="s">
        <v>3090</v>
      </c>
      <c r="D1070" s="75" t="s">
        <v>13</v>
      </c>
      <c r="E1070" s="75" t="s">
        <v>13</v>
      </c>
      <c r="F1070" s="75" t="s">
        <v>13</v>
      </c>
    </row>
    <row r="1071" spans="1:6" x14ac:dyDescent="0.3">
      <c r="A1071" s="75" t="s">
        <v>3091</v>
      </c>
      <c r="B1071" s="75" t="s">
        <v>3092</v>
      </c>
      <c r="C1071" s="75" t="s">
        <v>3093</v>
      </c>
      <c r="D1071" s="75" t="s">
        <v>13</v>
      </c>
      <c r="E1071" s="75" t="s">
        <v>13</v>
      </c>
      <c r="F1071" s="75" t="s">
        <v>13</v>
      </c>
    </row>
    <row r="1072" spans="1:6" x14ac:dyDescent="0.3">
      <c r="A1072" s="75" t="s">
        <v>3094</v>
      </c>
      <c r="B1072" s="75" t="s">
        <v>3095</v>
      </c>
      <c r="C1072" s="75" t="s">
        <v>3096</v>
      </c>
      <c r="D1072" s="75" t="s">
        <v>13</v>
      </c>
      <c r="E1072" s="75" t="s">
        <v>13</v>
      </c>
      <c r="F1072" s="75" t="s">
        <v>13</v>
      </c>
    </row>
    <row r="1073" spans="1:6" x14ac:dyDescent="0.3">
      <c r="A1073" s="75" t="s">
        <v>3097</v>
      </c>
      <c r="B1073" s="75" t="s">
        <v>3098</v>
      </c>
      <c r="C1073" s="75" t="s">
        <v>3099</v>
      </c>
      <c r="D1073" s="75" t="s">
        <v>13</v>
      </c>
      <c r="E1073" s="75" t="s">
        <v>13</v>
      </c>
      <c r="F1073" s="75" t="s">
        <v>13</v>
      </c>
    </row>
    <row r="1074" spans="1:6" x14ac:dyDescent="0.3">
      <c r="A1074" s="75" t="s">
        <v>3100</v>
      </c>
      <c r="B1074" s="75" t="s">
        <v>3101</v>
      </c>
      <c r="C1074" s="75" t="s">
        <v>3102</v>
      </c>
      <c r="D1074" s="75" t="s">
        <v>13</v>
      </c>
      <c r="E1074" s="75" t="s">
        <v>13</v>
      </c>
      <c r="F1074" s="75" t="s">
        <v>13</v>
      </c>
    </row>
    <row r="1075" spans="1:6" x14ac:dyDescent="0.3">
      <c r="A1075" s="75" t="s">
        <v>3103</v>
      </c>
      <c r="B1075" s="75" t="s">
        <v>3104</v>
      </c>
      <c r="C1075" s="75" t="s">
        <v>3105</v>
      </c>
      <c r="D1075" s="75" t="s">
        <v>13</v>
      </c>
      <c r="E1075" s="75" t="s">
        <v>13</v>
      </c>
      <c r="F1075" s="75" t="s">
        <v>13</v>
      </c>
    </row>
    <row r="1076" spans="1:6" x14ac:dyDescent="0.3">
      <c r="A1076" s="75" t="s">
        <v>3106</v>
      </c>
      <c r="B1076" s="75" t="s">
        <v>3107</v>
      </c>
      <c r="C1076" s="75" t="s">
        <v>3108</v>
      </c>
      <c r="D1076" s="75" t="s">
        <v>13</v>
      </c>
      <c r="E1076" s="75" t="s">
        <v>13</v>
      </c>
      <c r="F1076" s="75" t="s">
        <v>13</v>
      </c>
    </row>
    <row r="1077" spans="1:6" x14ac:dyDescent="0.3">
      <c r="A1077" s="75" t="s">
        <v>3109</v>
      </c>
      <c r="B1077" s="75" t="s">
        <v>3110</v>
      </c>
      <c r="C1077" s="75" t="s">
        <v>3111</v>
      </c>
      <c r="D1077" s="75" t="s">
        <v>13</v>
      </c>
      <c r="E1077" s="75" t="s">
        <v>13</v>
      </c>
      <c r="F1077" s="75" t="s">
        <v>13</v>
      </c>
    </row>
    <row r="1078" spans="1:6" x14ac:dyDescent="0.3">
      <c r="A1078" s="75" t="s">
        <v>3112</v>
      </c>
      <c r="B1078" s="75" t="s">
        <v>3113</v>
      </c>
      <c r="C1078" s="75" t="s">
        <v>3114</v>
      </c>
      <c r="D1078" s="75" t="s">
        <v>13</v>
      </c>
      <c r="E1078" s="75" t="s">
        <v>13</v>
      </c>
      <c r="F1078" s="75" t="s">
        <v>13</v>
      </c>
    </row>
    <row r="1079" spans="1:6" x14ac:dyDescent="0.3">
      <c r="A1079" s="75" t="s">
        <v>3115</v>
      </c>
      <c r="B1079" s="75" t="s">
        <v>3116</v>
      </c>
      <c r="C1079" s="75" t="s">
        <v>3117</v>
      </c>
      <c r="D1079" s="75" t="s">
        <v>13</v>
      </c>
      <c r="E1079" s="75" t="s">
        <v>13</v>
      </c>
      <c r="F1079" s="75" t="s">
        <v>13</v>
      </c>
    </row>
    <row r="1080" spans="1:6" x14ac:dyDescent="0.3">
      <c r="A1080" s="75" t="s">
        <v>3118</v>
      </c>
      <c r="B1080" s="75" t="s">
        <v>3119</v>
      </c>
      <c r="C1080" s="75" t="s">
        <v>3120</v>
      </c>
      <c r="D1080" s="75" t="s">
        <v>13</v>
      </c>
      <c r="E1080" s="75" t="s">
        <v>13</v>
      </c>
      <c r="F1080" s="75" t="s">
        <v>13</v>
      </c>
    </row>
    <row r="1081" spans="1:6" x14ac:dyDescent="0.3">
      <c r="A1081" s="75" t="s">
        <v>3121</v>
      </c>
      <c r="B1081" s="75" t="s">
        <v>3122</v>
      </c>
      <c r="C1081" s="75" t="s">
        <v>3123</v>
      </c>
      <c r="D1081" s="75" t="s">
        <v>13</v>
      </c>
      <c r="E1081" s="75" t="s">
        <v>13</v>
      </c>
      <c r="F1081" s="75" t="s">
        <v>13</v>
      </c>
    </row>
    <row r="1082" spans="1:6" x14ac:dyDescent="0.3">
      <c r="A1082" s="75" t="s">
        <v>3124</v>
      </c>
      <c r="B1082" s="75" t="s">
        <v>3125</v>
      </c>
      <c r="C1082" s="75" t="s">
        <v>3126</v>
      </c>
      <c r="D1082" s="75" t="s">
        <v>13</v>
      </c>
      <c r="E1082" s="75" t="s">
        <v>13</v>
      </c>
      <c r="F1082" s="75" t="s">
        <v>13</v>
      </c>
    </row>
    <row r="1083" spans="1:6" x14ac:dyDescent="0.3">
      <c r="A1083" s="75" t="s">
        <v>3127</v>
      </c>
      <c r="B1083" s="75" t="s">
        <v>3128</v>
      </c>
      <c r="C1083" s="75" t="s">
        <v>3129</v>
      </c>
      <c r="D1083" s="75" t="s">
        <v>13</v>
      </c>
      <c r="E1083" s="75" t="s">
        <v>13</v>
      </c>
      <c r="F1083" s="75" t="s">
        <v>13</v>
      </c>
    </row>
    <row r="1084" spans="1:6" x14ac:dyDescent="0.3">
      <c r="A1084" s="75" t="s">
        <v>3130</v>
      </c>
      <c r="B1084" s="75" t="s">
        <v>3131</v>
      </c>
      <c r="C1084" s="75" t="s">
        <v>3132</v>
      </c>
      <c r="D1084" s="75" t="s">
        <v>13</v>
      </c>
      <c r="E1084" s="75" t="s">
        <v>13</v>
      </c>
      <c r="F1084" s="75" t="s">
        <v>13</v>
      </c>
    </row>
    <row r="1085" spans="1:6" x14ac:dyDescent="0.3">
      <c r="A1085" s="75" t="s">
        <v>3133</v>
      </c>
      <c r="B1085" s="75" t="s">
        <v>3134</v>
      </c>
      <c r="C1085" s="75" t="s">
        <v>3135</v>
      </c>
      <c r="D1085" s="75" t="s">
        <v>13</v>
      </c>
      <c r="E1085" s="75" t="s">
        <v>13</v>
      </c>
      <c r="F1085" s="75" t="s">
        <v>13</v>
      </c>
    </row>
    <row r="1086" spans="1:6" x14ac:dyDescent="0.3">
      <c r="A1086" s="75" t="s">
        <v>3136</v>
      </c>
      <c r="B1086" s="75" t="s">
        <v>3137</v>
      </c>
      <c r="C1086" s="75" t="s">
        <v>3138</v>
      </c>
      <c r="D1086" s="75" t="s">
        <v>13</v>
      </c>
      <c r="E1086" s="75" t="s">
        <v>13</v>
      </c>
      <c r="F1086" s="75" t="s">
        <v>13</v>
      </c>
    </row>
    <row r="1087" spans="1:6" x14ac:dyDescent="0.3">
      <c r="A1087" s="75" t="s">
        <v>3139</v>
      </c>
      <c r="B1087" s="75" t="s">
        <v>3140</v>
      </c>
      <c r="C1087" s="75" t="s">
        <v>3141</v>
      </c>
      <c r="D1087" s="75" t="s">
        <v>13</v>
      </c>
      <c r="E1087" s="75" t="s">
        <v>13</v>
      </c>
      <c r="F1087" s="75" t="s">
        <v>13</v>
      </c>
    </row>
    <row r="1088" spans="1:6" x14ac:dyDescent="0.3">
      <c r="A1088" s="75" t="s">
        <v>3142</v>
      </c>
      <c r="B1088" s="75" t="s">
        <v>3143</v>
      </c>
      <c r="C1088" s="75" t="s">
        <v>3144</v>
      </c>
      <c r="D1088" s="75" t="s">
        <v>13</v>
      </c>
      <c r="E1088" s="75" t="s">
        <v>13</v>
      </c>
      <c r="F1088" s="75" t="s">
        <v>13</v>
      </c>
    </row>
    <row r="1089" spans="1:6" x14ac:dyDescent="0.3">
      <c r="A1089" s="75" t="s">
        <v>3145</v>
      </c>
      <c r="B1089" s="75" t="s">
        <v>3146</v>
      </c>
      <c r="C1089" s="75" t="s">
        <v>3147</v>
      </c>
      <c r="D1089" s="75" t="s">
        <v>13</v>
      </c>
      <c r="E1089" s="75" t="s">
        <v>13</v>
      </c>
      <c r="F1089" s="75" t="s">
        <v>13</v>
      </c>
    </row>
    <row r="1090" spans="1:6" x14ac:dyDescent="0.3">
      <c r="A1090" s="75" t="s">
        <v>3148</v>
      </c>
      <c r="B1090" s="75" t="s">
        <v>3149</v>
      </c>
      <c r="C1090" s="75" t="s">
        <v>3150</v>
      </c>
      <c r="D1090" s="75" t="s">
        <v>13</v>
      </c>
      <c r="E1090" s="75" t="s">
        <v>13</v>
      </c>
      <c r="F1090" s="75" t="s">
        <v>13</v>
      </c>
    </row>
    <row r="1091" spans="1:6" x14ac:dyDescent="0.3">
      <c r="A1091" s="75" t="s">
        <v>3151</v>
      </c>
      <c r="B1091" s="75" t="s">
        <v>3152</v>
      </c>
      <c r="C1091" s="75" t="s">
        <v>3153</v>
      </c>
      <c r="D1091" s="75" t="s">
        <v>13</v>
      </c>
      <c r="E1091" s="75" t="s">
        <v>13</v>
      </c>
      <c r="F1091" s="75" t="s">
        <v>13</v>
      </c>
    </row>
    <row r="1092" spans="1:6" x14ac:dyDescent="0.3">
      <c r="A1092" s="75" t="s">
        <v>3154</v>
      </c>
      <c r="B1092" s="75" t="s">
        <v>3155</v>
      </c>
      <c r="C1092" s="75" t="s">
        <v>3156</v>
      </c>
      <c r="D1092" s="75" t="s">
        <v>13</v>
      </c>
      <c r="E1092" s="75" t="s">
        <v>13</v>
      </c>
      <c r="F1092" s="75" t="s">
        <v>13</v>
      </c>
    </row>
    <row r="1093" spans="1:6" x14ac:dyDescent="0.3">
      <c r="A1093" s="75" t="s">
        <v>3157</v>
      </c>
      <c r="B1093" s="75" t="s">
        <v>3158</v>
      </c>
      <c r="C1093" s="75" t="s">
        <v>3159</v>
      </c>
      <c r="D1093" s="75" t="s">
        <v>13</v>
      </c>
      <c r="E1093" s="75" t="s">
        <v>13</v>
      </c>
      <c r="F1093" s="75" t="s">
        <v>13</v>
      </c>
    </row>
    <row r="1094" spans="1:6" x14ac:dyDescent="0.3">
      <c r="A1094" s="75" t="s">
        <v>3160</v>
      </c>
      <c r="B1094" s="75" t="s">
        <v>3161</v>
      </c>
      <c r="C1094" s="75" t="s">
        <v>3162</v>
      </c>
      <c r="D1094" s="75" t="s">
        <v>13</v>
      </c>
      <c r="E1094" s="75" t="s">
        <v>13</v>
      </c>
      <c r="F1094" s="75" t="s">
        <v>13</v>
      </c>
    </row>
    <row r="1095" spans="1:6" x14ac:dyDescent="0.3">
      <c r="A1095" s="75" t="s">
        <v>3163</v>
      </c>
      <c r="B1095" s="75" t="s">
        <v>3164</v>
      </c>
      <c r="C1095" s="75" t="s">
        <v>3165</v>
      </c>
      <c r="D1095" s="75" t="s">
        <v>13</v>
      </c>
      <c r="E1095" s="75" t="s">
        <v>13</v>
      </c>
      <c r="F1095" s="75" t="s">
        <v>13</v>
      </c>
    </row>
    <row r="1096" spans="1:6" x14ac:dyDescent="0.3">
      <c r="A1096" s="75" t="s">
        <v>3166</v>
      </c>
      <c r="B1096" s="75" t="s">
        <v>3167</v>
      </c>
      <c r="C1096" s="75" t="s">
        <v>2337</v>
      </c>
      <c r="D1096" s="75" t="s">
        <v>13</v>
      </c>
      <c r="E1096" s="75" t="s">
        <v>13</v>
      </c>
      <c r="F1096" s="75" t="s">
        <v>13</v>
      </c>
    </row>
    <row r="1097" spans="1:6" x14ac:dyDescent="0.3">
      <c r="A1097" s="75" t="s">
        <v>3168</v>
      </c>
      <c r="B1097" s="75" t="s">
        <v>3169</v>
      </c>
      <c r="C1097" s="75" t="s">
        <v>3170</v>
      </c>
      <c r="D1097" s="75" t="s">
        <v>13</v>
      </c>
      <c r="E1097" s="75" t="s">
        <v>13</v>
      </c>
      <c r="F1097" s="75" t="s">
        <v>13</v>
      </c>
    </row>
    <row r="1098" spans="1:6" x14ac:dyDescent="0.3">
      <c r="A1098" s="75" t="s">
        <v>3171</v>
      </c>
      <c r="B1098" s="75" t="s">
        <v>3172</v>
      </c>
      <c r="C1098" s="75" t="s">
        <v>3173</v>
      </c>
      <c r="D1098" s="75" t="s">
        <v>13</v>
      </c>
      <c r="E1098" s="75" t="s">
        <v>13</v>
      </c>
      <c r="F1098" s="75" t="s">
        <v>13</v>
      </c>
    </row>
    <row r="1099" spans="1:6" x14ac:dyDescent="0.3">
      <c r="A1099" s="75" t="s">
        <v>3174</v>
      </c>
      <c r="B1099" s="75" t="s">
        <v>3175</v>
      </c>
      <c r="C1099" s="75" t="s">
        <v>3176</v>
      </c>
      <c r="D1099" s="75" t="s">
        <v>13</v>
      </c>
      <c r="E1099" s="75" t="s">
        <v>13</v>
      </c>
      <c r="F1099" s="75" t="s">
        <v>13</v>
      </c>
    </row>
    <row r="1100" spans="1:6" x14ac:dyDescent="0.3">
      <c r="A1100" s="75" t="s">
        <v>3177</v>
      </c>
      <c r="B1100" s="75" t="s">
        <v>3178</v>
      </c>
      <c r="C1100" s="75" t="s">
        <v>3179</v>
      </c>
      <c r="D1100" s="75" t="s">
        <v>13</v>
      </c>
      <c r="E1100" s="75" t="s">
        <v>13</v>
      </c>
      <c r="F1100" s="75" t="s">
        <v>13</v>
      </c>
    </row>
    <row r="1101" spans="1:6" x14ac:dyDescent="0.3">
      <c r="A1101" s="75" t="s">
        <v>3180</v>
      </c>
      <c r="B1101" s="75" t="s">
        <v>3181</v>
      </c>
      <c r="C1101" s="75" t="s">
        <v>3182</v>
      </c>
      <c r="D1101" s="75" t="s">
        <v>13</v>
      </c>
      <c r="E1101" s="75" t="s">
        <v>13</v>
      </c>
      <c r="F1101" s="75" t="s">
        <v>13</v>
      </c>
    </row>
    <row r="1102" spans="1:6" x14ac:dyDescent="0.3">
      <c r="A1102" s="75" t="s">
        <v>3183</v>
      </c>
      <c r="B1102" s="75" t="s">
        <v>3184</v>
      </c>
      <c r="C1102" s="75" t="s">
        <v>3185</v>
      </c>
      <c r="D1102" s="75" t="s">
        <v>13</v>
      </c>
      <c r="E1102" s="75" t="s">
        <v>13</v>
      </c>
      <c r="F1102" s="75" t="s">
        <v>13</v>
      </c>
    </row>
    <row r="1103" spans="1:6" x14ac:dyDescent="0.3">
      <c r="A1103" s="75" t="s">
        <v>3186</v>
      </c>
      <c r="B1103" s="75" t="s">
        <v>3187</v>
      </c>
      <c r="C1103" s="75" t="s">
        <v>3188</v>
      </c>
      <c r="D1103" s="75" t="s">
        <v>13</v>
      </c>
      <c r="E1103" s="75" t="s">
        <v>13</v>
      </c>
      <c r="F1103" s="75" t="s">
        <v>13</v>
      </c>
    </row>
    <row r="1104" spans="1:6" x14ac:dyDescent="0.3">
      <c r="A1104" s="75" t="s">
        <v>3189</v>
      </c>
      <c r="B1104" s="75" t="s">
        <v>3190</v>
      </c>
      <c r="C1104" s="75" t="s">
        <v>3191</v>
      </c>
      <c r="D1104" s="75" t="s">
        <v>13</v>
      </c>
      <c r="E1104" s="75" t="s">
        <v>13</v>
      </c>
      <c r="F1104" s="75" t="s">
        <v>13</v>
      </c>
    </row>
    <row r="1105" spans="1:6" x14ac:dyDescent="0.3">
      <c r="A1105" s="75" t="s">
        <v>3192</v>
      </c>
      <c r="B1105" s="75" t="s">
        <v>3193</v>
      </c>
      <c r="C1105" s="75" t="s">
        <v>3194</v>
      </c>
      <c r="D1105" s="75" t="s">
        <v>13</v>
      </c>
      <c r="E1105" s="75" t="s">
        <v>13</v>
      </c>
      <c r="F1105" s="75" t="s">
        <v>13</v>
      </c>
    </row>
    <row r="1106" spans="1:6" x14ac:dyDescent="0.3">
      <c r="A1106" s="75" t="s">
        <v>3195</v>
      </c>
      <c r="B1106" s="75" t="s">
        <v>3196</v>
      </c>
      <c r="C1106" s="75" t="s">
        <v>3197</v>
      </c>
      <c r="D1106" s="75" t="s">
        <v>13</v>
      </c>
      <c r="E1106" s="75" t="s">
        <v>13</v>
      </c>
      <c r="F1106" s="75" t="s">
        <v>13</v>
      </c>
    </row>
    <row r="1107" spans="1:6" x14ac:dyDescent="0.3">
      <c r="A1107" s="75" t="s">
        <v>3198</v>
      </c>
      <c r="B1107" s="75" t="s">
        <v>3199</v>
      </c>
      <c r="C1107" s="75" t="s">
        <v>3200</v>
      </c>
      <c r="D1107" s="75" t="s">
        <v>13</v>
      </c>
      <c r="E1107" s="75" t="s">
        <v>13</v>
      </c>
      <c r="F1107" s="75" t="s">
        <v>13</v>
      </c>
    </row>
    <row r="1108" spans="1:6" x14ac:dyDescent="0.3">
      <c r="A1108" s="75" t="s">
        <v>3201</v>
      </c>
      <c r="B1108" s="75" t="s">
        <v>3202</v>
      </c>
      <c r="C1108" s="75" t="s">
        <v>3203</v>
      </c>
      <c r="D1108" s="75" t="s">
        <v>13</v>
      </c>
      <c r="E1108" s="75" t="s">
        <v>13</v>
      </c>
      <c r="F1108" s="75" t="s">
        <v>13</v>
      </c>
    </row>
    <row r="1109" spans="1:6" x14ac:dyDescent="0.3">
      <c r="A1109" s="75" t="s">
        <v>3204</v>
      </c>
      <c r="B1109" s="75" t="s">
        <v>3205</v>
      </c>
      <c r="C1109" s="75" t="s">
        <v>3206</v>
      </c>
      <c r="D1109" s="75" t="s">
        <v>13</v>
      </c>
      <c r="E1109" s="75" t="s">
        <v>13</v>
      </c>
      <c r="F1109" s="75" t="s">
        <v>13</v>
      </c>
    </row>
    <row r="1110" spans="1:6" x14ac:dyDescent="0.3">
      <c r="A1110" s="75" t="s">
        <v>3207</v>
      </c>
      <c r="B1110" s="75" t="s">
        <v>3208</v>
      </c>
      <c r="C1110" s="75" t="s">
        <v>3209</v>
      </c>
      <c r="D1110" s="75" t="s">
        <v>13</v>
      </c>
      <c r="E1110" s="75" t="s">
        <v>13</v>
      </c>
      <c r="F1110" s="75" t="s">
        <v>13</v>
      </c>
    </row>
    <row r="1111" spans="1:6" x14ac:dyDescent="0.3">
      <c r="A1111" s="75" t="s">
        <v>3210</v>
      </c>
      <c r="B1111" s="75" t="s">
        <v>3211</v>
      </c>
      <c r="C1111" s="75" t="s">
        <v>3212</v>
      </c>
      <c r="D1111" s="75" t="s">
        <v>13</v>
      </c>
      <c r="E1111" s="75" t="s">
        <v>13</v>
      </c>
      <c r="F1111" s="75" t="s">
        <v>13</v>
      </c>
    </row>
    <row r="1112" spans="1:6" x14ac:dyDescent="0.3">
      <c r="A1112" s="75" t="s">
        <v>3213</v>
      </c>
      <c r="B1112" s="75" t="s">
        <v>3214</v>
      </c>
      <c r="C1112" s="75" t="s">
        <v>3215</v>
      </c>
      <c r="D1112" s="75" t="s">
        <v>13</v>
      </c>
      <c r="E1112" s="75" t="s">
        <v>13</v>
      </c>
      <c r="F1112" s="75" t="s">
        <v>13</v>
      </c>
    </row>
    <row r="1113" spans="1:6" x14ac:dyDescent="0.3">
      <c r="A1113" s="75" t="s">
        <v>3216</v>
      </c>
      <c r="B1113" s="75" t="s">
        <v>3217</v>
      </c>
      <c r="C1113" s="75" t="s">
        <v>3218</v>
      </c>
      <c r="D1113" s="75" t="s">
        <v>13</v>
      </c>
      <c r="E1113" s="75" t="s">
        <v>13</v>
      </c>
      <c r="F1113" s="75" t="s">
        <v>13</v>
      </c>
    </row>
    <row r="1114" spans="1:6" x14ac:dyDescent="0.3">
      <c r="A1114" s="75" t="s">
        <v>3219</v>
      </c>
      <c r="B1114" s="75" t="s">
        <v>3220</v>
      </c>
      <c r="C1114" s="75" t="s">
        <v>3221</v>
      </c>
      <c r="D1114" s="75" t="s">
        <v>13</v>
      </c>
      <c r="E1114" s="75" t="s">
        <v>13</v>
      </c>
      <c r="F1114" s="75" t="s">
        <v>13</v>
      </c>
    </row>
    <row r="1115" spans="1:6" x14ac:dyDescent="0.3">
      <c r="A1115" s="75" t="s">
        <v>3222</v>
      </c>
      <c r="B1115" s="75" t="s">
        <v>3223</v>
      </c>
      <c r="C1115" s="75" t="s">
        <v>3224</v>
      </c>
      <c r="D1115" s="75" t="s">
        <v>13</v>
      </c>
      <c r="E1115" s="75" t="s">
        <v>13</v>
      </c>
      <c r="F1115" s="75" t="s">
        <v>13</v>
      </c>
    </row>
    <row r="1116" spans="1:6" x14ac:dyDescent="0.3">
      <c r="A1116" s="75" t="s">
        <v>3225</v>
      </c>
      <c r="B1116" s="75" t="s">
        <v>3226</v>
      </c>
      <c r="C1116" s="75" t="s">
        <v>3227</v>
      </c>
      <c r="D1116" s="75" t="s">
        <v>13</v>
      </c>
      <c r="E1116" s="75" t="s">
        <v>13</v>
      </c>
      <c r="F1116" s="75" t="s">
        <v>13</v>
      </c>
    </row>
    <row r="1117" spans="1:6" x14ac:dyDescent="0.3">
      <c r="A1117" s="75" t="s">
        <v>3228</v>
      </c>
      <c r="B1117" s="75" t="s">
        <v>3229</v>
      </c>
      <c r="C1117" s="75" t="s">
        <v>117</v>
      </c>
      <c r="D1117" s="75" t="s">
        <v>13</v>
      </c>
      <c r="E1117" s="75" t="s">
        <v>13</v>
      </c>
      <c r="F1117" s="75" t="s">
        <v>13</v>
      </c>
    </row>
    <row r="1118" spans="1:6" x14ac:dyDescent="0.3">
      <c r="A1118" s="75" t="s">
        <v>3230</v>
      </c>
      <c r="B1118" s="75" t="s">
        <v>3231</v>
      </c>
      <c r="C1118" s="75" t="s">
        <v>3232</v>
      </c>
      <c r="D1118" s="75" t="s">
        <v>13</v>
      </c>
      <c r="E1118" s="75" t="s">
        <v>13</v>
      </c>
      <c r="F1118" s="75" t="s">
        <v>13</v>
      </c>
    </row>
    <row r="1119" spans="1:6" x14ac:dyDescent="0.3">
      <c r="A1119" s="75" t="s">
        <v>3233</v>
      </c>
      <c r="B1119" s="75" t="s">
        <v>3234</v>
      </c>
      <c r="C1119" s="75" t="s">
        <v>3235</v>
      </c>
      <c r="D1119" s="75" t="s">
        <v>13</v>
      </c>
      <c r="E1119" s="75" t="s">
        <v>13</v>
      </c>
      <c r="F1119" s="75" t="s">
        <v>13</v>
      </c>
    </row>
    <row r="1120" spans="1:6" x14ac:dyDescent="0.3">
      <c r="A1120" s="75" t="s">
        <v>3236</v>
      </c>
      <c r="B1120" s="75" t="s">
        <v>3237</v>
      </c>
      <c r="C1120" s="75" t="s">
        <v>3141</v>
      </c>
      <c r="D1120" s="75" t="s">
        <v>13</v>
      </c>
      <c r="E1120" s="75" t="s">
        <v>13</v>
      </c>
      <c r="F1120" s="75" t="s">
        <v>13</v>
      </c>
    </row>
    <row r="1121" spans="1:6" x14ac:dyDescent="0.3">
      <c r="A1121" s="75" t="s">
        <v>3238</v>
      </c>
      <c r="B1121" s="75" t="s">
        <v>3239</v>
      </c>
      <c r="C1121" s="75" t="s">
        <v>3240</v>
      </c>
      <c r="D1121" s="75" t="s">
        <v>13</v>
      </c>
      <c r="E1121" s="75" t="s">
        <v>13</v>
      </c>
      <c r="F1121" s="75" t="s">
        <v>13</v>
      </c>
    </row>
    <row r="1122" spans="1:6" x14ac:dyDescent="0.3">
      <c r="A1122" s="75" t="s">
        <v>3241</v>
      </c>
      <c r="B1122" s="75" t="s">
        <v>3242</v>
      </c>
      <c r="C1122" s="75" t="s">
        <v>3243</v>
      </c>
      <c r="D1122" s="75" t="s">
        <v>13</v>
      </c>
      <c r="E1122" s="75" t="s">
        <v>13</v>
      </c>
      <c r="F1122" s="75" t="s">
        <v>13</v>
      </c>
    </row>
    <row r="1123" spans="1:6" x14ac:dyDescent="0.3">
      <c r="A1123" s="75" t="s">
        <v>3244</v>
      </c>
      <c r="B1123" s="75" t="s">
        <v>3245</v>
      </c>
      <c r="C1123" s="75" t="s">
        <v>3246</v>
      </c>
      <c r="D1123" s="75" t="s">
        <v>13</v>
      </c>
      <c r="E1123" s="75" t="s">
        <v>13</v>
      </c>
      <c r="F1123" s="75" t="s">
        <v>13</v>
      </c>
    </row>
    <row r="1124" spans="1:6" x14ac:dyDescent="0.3">
      <c r="A1124" s="75" t="s">
        <v>3247</v>
      </c>
      <c r="B1124" s="75" t="s">
        <v>3248</v>
      </c>
      <c r="C1124" s="75" t="s">
        <v>3249</v>
      </c>
      <c r="D1124" s="75" t="s">
        <v>13</v>
      </c>
      <c r="E1124" s="75" t="s">
        <v>13</v>
      </c>
      <c r="F1124" s="75" t="s">
        <v>13</v>
      </c>
    </row>
    <row r="1125" spans="1:6" x14ac:dyDescent="0.3">
      <c r="A1125" s="75" t="s">
        <v>3250</v>
      </c>
      <c r="B1125" s="75" t="s">
        <v>3251</v>
      </c>
      <c r="C1125" s="75" t="s">
        <v>3252</v>
      </c>
      <c r="D1125" s="75" t="s">
        <v>13</v>
      </c>
      <c r="E1125" s="75" t="s">
        <v>13</v>
      </c>
      <c r="F1125" s="75" t="s">
        <v>13</v>
      </c>
    </row>
    <row r="1126" spans="1:6" x14ac:dyDescent="0.3">
      <c r="A1126" s="75" t="s">
        <v>3253</v>
      </c>
      <c r="B1126" s="75" t="s">
        <v>3254</v>
      </c>
      <c r="C1126" s="75" t="s">
        <v>3255</v>
      </c>
      <c r="D1126" s="75" t="s">
        <v>13</v>
      </c>
      <c r="E1126" s="75" t="s">
        <v>13</v>
      </c>
      <c r="F1126" s="75" t="s">
        <v>13</v>
      </c>
    </row>
    <row r="1127" spans="1:6" x14ac:dyDescent="0.3">
      <c r="A1127" s="75" t="s">
        <v>3256</v>
      </c>
      <c r="B1127" s="75" t="s">
        <v>3257</v>
      </c>
      <c r="C1127" s="75" t="s">
        <v>3258</v>
      </c>
      <c r="D1127" s="75" t="s">
        <v>13</v>
      </c>
      <c r="E1127" s="75" t="s">
        <v>13</v>
      </c>
      <c r="F1127" s="75" t="s">
        <v>13</v>
      </c>
    </row>
    <row r="1128" spans="1:6" x14ac:dyDescent="0.3">
      <c r="A1128" s="75" t="s">
        <v>3259</v>
      </c>
      <c r="B1128" s="75" t="s">
        <v>3260</v>
      </c>
      <c r="C1128" s="75" t="s">
        <v>3261</v>
      </c>
      <c r="D1128" s="75" t="s">
        <v>13</v>
      </c>
      <c r="E1128" s="75" t="s">
        <v>13</v>
      </c>
      <c r="F1128" s="75" t="s">
        <v>13</v>
      </c>
    </row>
    <row r="1129" spans="1:6" x14ac:dyDescent="0.3">
      <c r="A1129" s="75" t="s">
        <v>3262</v>
      </c>
      <c r="B1129" s="75" t="s">
        <v>3263</v>
      </c>
      <c r="C1129" s="75" t="s">
        <v>3264</v>
      </c>
      <c r="D1129" s="75" t="s">
        <v>13</v>
      </c>
      <c r="E1129" s="75" t="s">
        <v>13</v>
      </c>
      <c r="F1129" s="75" t="s">
        <v>13</v>
      </c>
    </row>
    <row r="1130" spans="1:6" x14ac:dyDescent="0.3">
      <c r="A1130" s="75" t="s">
        <v>3265</v>
      </c>
      <c r="B1130" s="75" t="s">
        <v>3266</v>
      </c>
      <c r="C1130" s="75" t="s">
        <v>3141</v>
      </c>
      <c r="D1130" s="75" t="s">
        <v>13</v>
      </c>
      <c r="E1130" s="75" t="s">
        <v>13</v>
      </c>
      <c r="F1130" s="75" t="s">
        <v>13</v>
      </c>
    </row>
    <row r="1131" spans="1:6" x14ac:dyDescent="0.3">
      <c r="A1131" s="75" t="s">
        <v>3267</v>
      </c>
      <c r="B1131" s="75" t="s">
        <v>3268</v>
      </c>
      <c r="C1131" s="75" t="s">
        <v>3269</v>
      </c>
      <c r="D1131" s="75" t="s">
        <v>13</v>
      </c>
      <c r="E1131" s="75" t="s">
        <v>8</v>
      </c>
      <c r="F1131" s="75" t="s">
        <v>27</v>
      </c>
    </row>
    <row r="1132" spans="1:6" x14ac:dyDescent="0.3">
      <c r="A1132" s="75" t="s">
        <v>3270</v>
      </c>
      <c r="B1132" s="75" t="s">
        <v>3271</v>
      </c>
      <c r="C1132" s="75" t="s">
        <v>3272</v>
      </c>
      <c r="D1132" s="75" t="s">
        <v>13</v>
      </c>
      <c r="E1132" s="75" t="s">
        <v>8</v>
      </c>
      <c r="F1132" s="75" t="s">
        <v>27</v>
      </c>
    </row>
    <row r="1133" spans="1:6" x14ac:dyDescent="0.3">
      <c r="A1133" s="75" t="s">
        <v>3273</v>
      </c>
      <c r="B1133" s="75" t="s">
        <v>3274</v>
      </c>
      <c r="C1133" s="75" t="s">
        <v>3275</v>
      </c>
      <c r="D1133" s="75" t="s">
        <v>13</v>
      </c>
      <c r="E1133" s="75" t="s">
        <v>13</v>
      </c>
      <c r="F1133" s="75" t="s">
        <v>13</v>
      </c>
    </row>
    <row r="1134" spans="1:6" x14ac:dyDescent="0.3">
      <c r="A1134" s="75" t="s">
        <v>3276</v>
      </c>
      <c r="B1134" s="75" t="s">
        <v>3277</v>
      </c>
      <c r="C1134" s="75" t="s">
        <v>3278</v>
      </c>
      <c r="D1134" s="75" t="s">
        <v>13</v>
      </c>
      <c r="E1134" s="75" t="s">
        <v>8</v>
      </c>
      <c r="F1134" s="75" t="s">
        <v>1261</v>
      </c>
    </row>
    <row r="1135" spans="1:6" x14ac:dyDescent="0.3">
      <c r="A1135" s="75" t="s">
        <v>3279</v>
      </c>
      <c r="B1135" s="75" t="s">
        <v>3280</v>
      </c>
      <c r="C1135" s="75" t="s">
        <v>3281</v>
      </c>
      <c r="D1135" s="75">
        <v>1986</v>
      </c>
      <c r="E1135" s="75" t="s">
        <v>31</v>
      </c>
      <c r="F1135" s="75" t="s">
        <v>161</v>
      </c>
    </row>
    <row r="1136" spans="1:6" x14ac:dyDescent="0.3">
      <c r="A1136" s="75" t="s">
        <v>3282</v>
      </c>
      <c r="B1136" s="75" t="s">
        <v>3283</v>
      </c>
      <c r="C1136" s="75" t="s">
        <v>3284</v>
      </c>
      <c r="D1136" s="75">
        <v>2012</v>
      </c>
      <c r="E1136" s="75" t="s">
        <v>18</v>
      </c>
      <c r="F1136" s="75" t="s">
        <v>2123</v>
      </c>
    </row>
    <row r="1137" spans="1:6" x14ac:dyDescent="0.3">
      <c r="A1137" s="75" t="s">
        <v>3285</v>
      </c>
      <c r="B1137" s="75" t="s">
        <v>3286</v>
      </c>
      <c r="C1137" s="75" t="s">
        <v>3287</v>
      </c>
      <c r="D1137" s="75">
        <v>2013</v>
      </c>
      <c r="E1137" s="75" t="s">
        <v>70</v>
      </c>
      <c r="F1137" s="75" t="s">
        <v>71</v>
      </c>
    </row>
    <row r="1138" spans="1:6" x14ac:dyDescent="0.3">
      <c r="A1138" s="75" t="s">
        <v>3288</v>
      </c>
      <c r="B1138" s="75" t="s">
        <v>3289</v>
      </c>
      <c r="C1138" s="75" t="s">
        <v>3290</v>
      </c>
      <c r="D1138" s="75" t="s">
        <v>13</v>
      </c>
      <c r="E1138" s="75" t="s">
        <v>70</v>
      </c>
      <c r="F1138" s="75" t="s">
        <v>1375</v>
      </c>
    </row>
    <row r="1139" spans="1:6" x14ac:dyDescent="0.3">
      <c r="A1139" s="75" t="s">
        <v>3291</v>
      </c>
      <c r="B1139" s="75" t="s">
        <v>3292</v>
      </c>
      <c r="C1139" s="75" t="s">
        <v>1079</v>
      </c>
      <c r="D1139" s="75">
        <v>2014</v>
      </c>
      <c r="E1139" s="75" t="s">
        <v>31</v>
      </c>
      <c r="F1139" s="75" t="s">
        <v>161</v>
      </c>
    </row>
    <row r="1140" spans="1:6" x14ac:dyDescent="0.3">
      <c r="A1140" s="75" t="s">
        <v>3293</v>
      </c>
      <c r="B1140" s="75" t="s">
        <v>3294</v>
      </c>
      <c r="C1140" s="75" t="s">
        <v>3295</v>
      </c>
      <c r="D1140" s="75">
        <v>1994</v>
      </c>
      <c r="E1140" s="75" t="s">
        <v>31</v>
      </c>
      <c r="F1140" s="75" t="s">
        <v>229</v>
      </c>
    </row>
    <row r="1141" spans="1:6" x14ac:dyDescent="0.3">
      <c r="A1141" s="75" t="s">
        <v>3296</v>
      </c>
      <c r="B1141" s="75" t="s">
        <v>3297</v>
      </c>
      <c r="C1141" s="75" t="s">
        <v>3298</v>
      </c>
      <c r="D1141" s="75">
        <v>2015</v>
      </c>
      <c r="E1141" s="75" t="s">
        <v>70</v>
      </c>
      <c r="F1141" s="75" t="s">
        <v>71</v>
      </c>
    </row>
    <row r="1142" spans="1:6" x14ac:dyDescent="0.3">
      <c r="A1142" s="75" t="s">
        <v>3299</v>
      </c>
      <c r="B1142" s="75" t="s">
        <v>3300</v>
      </c>
      <c r="C1142" s="75" t="s">
        <v>3301</v>
      </c>
      <c r="D1142" s="75">
        <v>2014</v>
      </c>
      <c r="E1142" s="75" t="s">
        <v>70</v>
      </c>
      <c r="F1142" s="75" t="s">
        <v>71</v>
      </c>
    </row>
    <row r="1143" spans="1:6" x14ac:dyDescent="0.3">
      <c r="A1143" s="75" t="s">
        <v>3302</v>
      </c>
      <c r="B1143" s="75" t="s">
        <v>3303</v>
      </c>
      <c r="C1143" s="75" t="s">
        <v>1073</v>
      </c>
      <c r="D1143" s="75" t="s">
        <v>13</v>
      </c>
      <c r="E1143" s="75" t="s">
        <v>13</v>
      </c>
      <c r="F1143" s="75" t="s">
        <v>13</v>
      </c>
    </row>
    <row r="1144" spans="1:6" x14ac:dyDescent="0.3">
      <c r="A1144" s="75" t="s">
        <v>3304</v>
      </c>
      <c r="B1144" s="75" t="s">
        <v>3305</v>
      </c>
      <c r="C1144" s="75" t="s">
        <v>3306</v>
      </c>
      <c r="D1144" s="75" t="s">
        <v>13</v>
      </c>
      <c r="E1144" s="75" t="s">
        <v>13</v>
      </c>
      <c r="F1144" s="75" t="s">
        <v>13</v>
      </c>
    </row>
    <row r="1145" spans="1:6" x14ac:dyDescent="0.3">
      <c r="A1145" s="75" t="s">
        <v>3307</v>
      </c>
      <c r="B1145" s="75" t="s">
        <v>3308</v>
      </c>
      <c r="C1145" s="75" t="s">
        <v>1579</v>
      </c>
      <c r="D1145" s="75" t="s">
        <v>13</v>
      </c>
      <c r="E1145" s="75" t="s">
        <v>13</v>
      </c>
      <c r="F1145" s="75" t="s">
        <v>13</v>
      </c>
    </row>
    <row r="1146" spans="1:6" x14ac:dyDescent="0.3">
      <c r="A1146" s="75" t="s">
        <v>3309</v>
      </c>
      <c r="B1146" s="75" t="s">
        <v>3310</v>
      </c>
      <c r="C1146" s="75" t="s">
        <v>3311</v>
      </c>
      <c r="D1146" s="75" t="s">
        <v>13</v>
      </c>
      <c r="E1146" s="75" t="s">
        <v>13</v>
      </c>
      <c r="F1146" s="75" t="s">
        <v>13</v>
      </c>
    </row>
    <row r="1147" spans="1:6" x14ac:dyDescent="0.3">
      <c r="A1147" s="75" t="s">
        <v>3312</v>
      </c>
      <c r="B1147" s="75" t="s">
        <v>3313</v>
      </c>
      <c r="C1147" s="75" t="s">
        <v>3314</v>
      </c>
      <c r="D1147" s="75" t="s">
        <v>13</v>
      </c>
      <c r="E1147" s="75" t="s">
        <v>13</v>
      </c>
      <c r="F1147" s="75" t="s">
        <v>13</v>
      </c>
    </row>
    <row r="1148" spans="1:6" x14ac:dyDescent="0.3">
      <c r="A1148" s="75" t="s">
        <v>3315</v>
      </c>
      <c r="B1148" s="75" t="s">
        <v>3316</v>
      </c>
      <c r="C1148" s="75" t="s">
        <v>3317</v>
      </c>
      <c r="D1148" s="75" t="s">
        <v>13</v>
      </c>
      <c r="E1148" s="75" t="s">
        <v>13</v>
      </c>
      <c r="F1148" s="75" t="s">
        <v>13</v>
      </c>
    </row>
    <row r="1149" spans="1:6" x14ac:dyDescent="0.3">
      <c r="A1149" s="75" t="s">
        <v>3318</v>
      </c>
      <c r="B1149" s="75" t="s">
        <v>3319</v>
      </c>
      <c r="C1149" s="75" t="s">
        <v>3320</v>
      </c>
      <c r="D1149" s="75" t="s">
        <v>13</v>
      </c>
      <c r="E1149" s="75" t="s">
        <v>13</v>
      </c>
      <c r="F1149" s="75" t="s">
        <v>13</v>
      </c>
    </row>
    <row r="1150" spans="1:6" x14ac:dyDescent="0.3">
      <c r="A1150" s="75" t="s">
        <v>3321</v>
      </c>
      <c r="B1150" s="75" t="s">
        <v>3322</v>
      </c>
      <c r="C1150" s="75" t="s">
        <v>3323</v>
      </c>
      <c r="D1150" s="75" t="s">
        <v>13</v>
      </c>
      <c r="E1150" s="75" t="s">
        <v>31</v>
      </c>
      <c r="F1150" s="75" t="s">
        <v>40</v>
      </c>
    </row>
    <row r="1151" spans="1:6" x14ac:dyDescent="0.3">
      <c r="A1151" s="75" t="s">
        <v>3324</v>
      </c>
      <c r="B1151" s="75" t="s">
        <v>3325</v>
      </c>
      <c r="C1151" s="75" t="s">
        <v>3326</v>
      </c>
      <c r="D1151" s="75" t="s">
        <v>13</v>
      </c>
      <c r="E1151" s="75" t="s">
        <v>518</v>
      </c>
      <c r="F1151" s="75" t="s">
        <v>630</v>
      </c>
    </row>
    <row r="1152" spans="1:6" x14ac:dyDescent="0.3">
      <c r="A1152" s="75" t="s">
        <v>3327</v>
      </c>
      <c r="B1152" s="75" t="s">
        <v>3328</v>
      </c>
      <c r="C1152" s="75" t="s">
        <v>3329</v>
      </c>
      <c r="D1152" s="75">
        <v>1993</v>
      </c>
      <c r="E1152" s="75" t="s">
        <v>53</v>
      </c>
      <c r="F1152" s="75" t="s">
        <v>63</v>
      </c>
    </row>
    <row r="1153" spans="1:6" x14ac:dyDescent="0.3">
      <c r="A1153" s="75" t="s">
        <v>3330</v>
      </c>
      <c r="B1153" s="75" t="s">
        <v>3331</v>
      </c>
      <c r="C1153" s="75" t="s">
        <v>3332</v>
      </c>
      <c r="D1153" s="75">
        <v>2011</v>
      </c>
      <c r="E1153" s="75" t="s">
        <v>53</v>
      </c>
      <c r="F1153" s="75" t="s">
        <v>111</v>
      </c>
    </row>
    <row r="1154" spans="1:6" x14ac:dyDescent="0.3">
      <c r="A1154" s="75" t="s">
        <v>3333</v>
      </c>
      <c r="B1154" s="75" t="s">
        <v>3334</v>
      </c>
      <c r="C1154" s="75" t="s">
        <v>3335</v>
      </c>
      <c r="D1154" s="75" t="s">
        <v>13</v>
      </c>
      <c r="E1154" s="75" t="s">
        <v>8</v>
      </c>
      <c r="F1154" s="75" t="s">
        <v>27</v>
      </c>
    </row>
    <row r="1155" spans="1:6" x14ac:dyDescent="0.3">
      <c r="A1155" s="75" t="s">
        <v>3336</v>
      </c>
      <c r="B1155" s="75" t="s">
        <v>3337</v>
      </c>
      <c r="C1155" s="75" t="s">
        <v>3338</v>
      </c>
      <c r="D1155" s="75" t="s">
        <v>13</v>
      </c>
      <c r="E1155" s="75" t="s">
        <v>8</v>
      </c>
      <c r="F1155" s="75" t="s">
        <v>27</v>
      </c>
    </row>
    <row r="1156" spans="1:6" x14ac:dyDescent="0.3">
      <c r="A1156" s="75" t="s">
        <v>3339</v>
      </c>
      <c r="B1156" s="75" t="s">
        <v>3340</v>
      </c>
      <c r="C1156" s="75" t="s">
        <v>3341</v>
      </c>
      <c r="D1156" s="75">
        <v>2014</v>
      </c>
      <c r="E1156" s="75" t="s">
        <v>518</v>
      </c>
      <c r="F1156" s="75" t="s">
        <v>1762</v>
      </c>
    </row>
    <row r="1157" spans="1:6" x14ac:dyDescent="0.3">
      <c r="A1157" s="75" t="s">
        <v>3342</v>
      </c>
      <c r="B1157" s="75" t="s">
        <v>3343</v>
      </c>
      <c r="C1157" s="75" t="s">
        <v>3344</v>
      </c>
      <c r="D1157" s="75">
        <v>2015</v>
      </c>
      <c r="E1157" s="75" t="s">
        <v>18</v>
      </c>
      <c r="F1157" s="75" t="s">
        <v>729</v>
      </c>
    </row>
    <row r="1158" spans="1:6" x14ac:dyDescent="0.3">
      <c r="A1158" s="75" t="s">
        <v>3345</v>
      </c>
      <c r="B1158" s="75" t="s">
        <v>3346</v>
      </c>
      <c r="C1158" s="75" t="s">
        <v>3347</v>
      </c>
      <c r="D1158" s="75">
        <v>1981</v>
      </c>
      <c r="E1158" s="75" t="s">
        <v>70</v>
      </c>
      <c r="F1158" s="75" t="s">
        <v>671</v>
      </c>
    </row>
    <row r="1159" spans="1:6" x14ac:dyDescent="0.3">
      <c r="A1159" s="75" t="s">
        <v>3348</v>
      </c>
      <c r="B1159" s="75" t="s">
        <v>3349</v>
      </c>
      <c r="C1159" s="75" t="s">
        <v>3350</v>
      </c>
      <c r="D1159" s="75" t="s">
        <v>13</v>
      </c>
      <c r="E1159" s="75" t="s">
        <v>31</v>
      </c>
      <c r="F1159" s="75" t="s">
        <v>36</v>
      </c>
    </row>
    <row r="1160" spans="1:6" x14ac:dyDescent="0.3">
      <c r="A1160" s="75" t="s">
        <v>3351</v>
      </c>
      <c r="B1160" s="75" t="s">
        <v>3352</v>
      </c>
      <c r="C1160" s="75" t="s">
        <v>3353</v>
      </c>
      <c r="D1160" s="75" t="s">
        <v>13</v>
      </c>
      <c r="E1160" s="75" t="s">
        <v>96</v>
      </c>
      <c r="F1160" s="75" t="s">
        <v>97</v>
      </c>
    </row>
    <row r="1161" spans="1:6" x14ac:dyDescent="0.3">
      <c r="A1161" s="75" t="s">
        <v>3354</v>
      </c>
      <c r="B1161" s="75" t="s">
        <v>3355</v>
      </c>
      <c r="C1161" s="75" t="s">
        <v>3356</v>
      </c>
      <c r="D1161" s="75">
        <v>2003</v>
      </c>
      <c r="E1161" s="75" t="s">
        <v>31</v>
      </c>
      <c r="F1161" s="75" t="s">
        <v>92</v>
      </c>
    </row>
    <row r="1162" spans="1:6" x14ac:dyDescent="0.3">
      <c r="A1162" s="75" t="s">
        <v>3357</v>
      </c>
      <c r="B1162" s="75" t="s">
        <v>3358</v>
      </c>
      <c r="C1162" s="75" t="s">
        <v>3359</v>
      </c>
      <c r="D1162" s="75" t="s">
        <v>13</v>
      </c>
      <c r="E1162" s="75" t="s">
        <v>31</v>
      </c>
      <c r="F1162" s="75" t="s">
        <v>161</v>
      </c>
    </row>
    <row r="1163" spans="1:6" x14ac:dyDescent="0.3">
      <c r="A1163" s="75" t="s">
        <v>3360</v>
      </c>
      <c r="B1163" s="75" t="s">
        <v>3361</v>
      </c>
      <c r="C1163" s="75" t="s">
        <v>3362</v>
      </c>
      <c r="D1163" s="75">
        <v>1996</v>
      </c>
      <c r="E1163" s="75" t="s">
        <v>18</v>
      </c>
      <c r="F1163" s="75" t="s">
        <v>40</v>
      </c>
    </row>
    <row r="1164" spans="1:6" x14ac:dyDescent="0.3">
      <c r="A1164" s="75" t="s">
        <v>3363</v>
      </c>
      <c r="B1164" s="75" t="s">
        <v>3364</v>
      </c>
      <c r="C1164" s="75" t="s">
        <v>3365</v>
      </c>
      <c r="D1164" s="75">
        <v>2016</v>
      </c>
      <c r="E1164" s="75" t="s">
        <v>53</v>
      </c>
      <c r="F1164" s="75" t="s">
        <v>1368</v>
      </c>
    </row>
    <row r="1165" spans="1:6" x14ac:dyDescent="0.3">
      <c r="A1165" s="75" t="s">
        <v>3366</v>
      </c>
      <c r="B1165" s="75" t="s">
        <v>3367</v>
      </c>
      <c r="C1165" s="75" t="s">
        <v>1168</v>
      </c>
      <c r="D1165" s="75">
        <v>2009</v>
      </c>
      <c r="E1165" s="75" t="s">
        <v>31</v>
      </c>
      <c r="F1165" s="75" t="s">
        <v>798</v>
      </c>
    </row>
    <row r="1166" spans="1:6" x14ac:dyDescent="0.3">
      <c r="A1166" s="75" t="s">
        <v>3368</v>
      </c>
      <c r="B1166" s="75" t="s">
        <v>3369</v>
      </c>
      <c r="C1166" s="75" t="s">
        <v>3370</v>
      </c>
      <c r="D1166" s="75" t="s">
        <v>13</v>
      </c>
      <c r="E1166" s="75" t="s">
        <v>70</v>
      </c>
      <c r="F1166" s="75" t="s">
        <v>71</v>
      </c>
    </row>
    <row r="1167" spans="1:6" x14ac:dyDescent="0.3">
      <c r="A1167" s="75" t="s">
        <v>3371</v>
      </c>
      <c r="B1167" s="75" t="s">
        <v>3372</v>
      </c>
      <c r="C1167" s="75" t="s">
        <v>3373</v>
      </c>
      <c r="D1167" s="75">
        <v>2017</v>
      </c>
      <c r="E1167" s="75" t="s">
        <v>8</v>
      </c>
      <c r="F1167" s="75" t="s">
        <v>76</v>
      </c>
    </row>
    <row r="1168" spans="1:6" x14ac:dyDescent="0.3">
      <c r="A1168" s="75" t="s">
        <v>3374</v>
      </c>
      <c r="B1168" s="75" t="s">
        <v>3372</v>
      </c>
      <c r="C1168" s="75" t="s">
        <v>13</v>
      </c>
      <c r="D1168" s="75">
        <v>2017</v>
      </c>
      <c r="E1168" s="75" t="s">
        <v>8</v>
      </c>
      <c r="F1168" s="75" t="s">
        <v>76</v>
      </c>
    </row>
    <row r="1169" spans="1:6" x14ac:dyDescent="0.3">
      <c r="A1169" s="75" t="s">
        <v>3375</v>
      </c>
      <c r="B1169" s="75" t="s">
        <v>3372</v>
      </c>
      <c r="C1169" s="75" t="s">
        <v>13</v>
      </c>
      <c r="D1169" s="75">
        <v>2017</v>
      </c>
      <c r="E1169" s="75" t="s">
        <v>8</v>
      </c>
      <c r="F1169" s="75" t="s">
        <v>76</v>
      </c>
    </row>
    <row r="1170" spans="1:6" x14ac:dyDescent="0.3">
      <c r="A1170" s="75" t="s">
        <v>3376</v>
      </c>
      <c r="B1170" s="75" t="s">
        <v>3372</v>
      </c>
      <c r="C1170" s="75" t="s">
        <v>13</v>
      </c>
      <c r="D1170" s="75">
        <v>2017</v>
      </c>
      <c r="E1170" s="75" t="s">
        <v>8</v>
      </c>
      <c r="F1170" s="75" t="s">
        <v>76</v>
      </c>
    </row>
    <row r="1171" spans="1:6" x14ac:dyDescent="0.3">
      <c r="A1171" s="75" t="s">
        <v>3377</v>
      </c>
      <c r="B1171" s="75" t="s">
        <v>3378</v>
      </c>
      <c r="C1171" s="75" t="s">
        <v>3379</v>
      </c>
      <c r="D1171" s="75" t="s">
        <v>13</v>
      </c>
      <c r="E1171" s="75" t="s">
        <v>283</v>
      </c>
      <c r="F1171" s="75" t="s">
        <v>1345</v>
      </c>
    </row>
    <row r="1172" spans="1:6" x14ac:dyDescent="0.3">
      <c r="A1172" s="75" t="s">
        <v>3380</v>
      </c>
      <c r="B1172" s="75" t="s">
        <v>3381</v>
      </c>
      <c r="C1172" s="75" t="s">
        <v>3382</v>
      </c>
      <c r="D1172" s="75" t="s">
        <v>13</v>
      </c>
      <c r="E1172" s="75" t="s">
        <v>348</v>
      </c>
      <c r="F1172" s="75" t="s">
        <v>2366</v>
      </c>
    </row>
    <row r="1173" spans="1:6" x14ac:dyDescent="0.3">
      <c r="A1173" s="75" t="s">
        <v>3383</v>
      </c>
      <c r="B1173" s="75" t="s">
        <v>3384</v>
      </c>
      <c r="C1173" s="75" t="s">
        <v>2936</v>
      </c>
      <c r="D1173" s="75">
        <v>2014</v>
      </c>
      <c r="E1173" s="75" t="s">
        <v>70</v>
      </c>
      <c r="F1173" s="75" t="s">
        <v>71</v>
      </c>
    </row>
    <row r="1174" spans="1:6" x14ac:dyDescent="0.3">
      <c r="A1174" s="75" t="s">
        <v>3385</v>
      </c>
      <c r="B1174" s="75" t="s">
        <v>3386</v>
      </c>
      <c r="C1174" s="75" t="s">
        <v>3387</v>
      </c>
      <c r="D1174" s="75">
        <v>1993</v>
      </c>
      <c r="E1174" s="75" t="s">
        <v>348</v>
      </c>
      <c r="F1174" s="75" t="s">
        <v>1624</v>
      </c>
    </row>
    <row r="1175" spans="1:6" x14ac:dyDescent="0.3">
      <c r="A1175" s="75" t="s">
        <v>3388</v>
      </c>
      <c r="B1175" s="75" t="s">
        <v>3389</v>
      </c>
      <c r="C1175" s="75" t="s">
        <v>3390</v>
      </c>
      <c r="D1175" s="75">
        <v>2013</v>
      </c>
      <c r="E1175" s="75" t="s">
        <v>70</v>
      </c>
      <c r="F1175" s="75" t="s">
        <v>101</v>
      </c>
    </row>
    <row r="1176" spans="1:6" x14ac:dyDescent="0.3">
      <c r="A1176" s="75" t="s">
        <v>3391</v>
      </c>
      <c r="B1176" s="75" t="s">
        <v>3392</v>
      </c>
      <c r="C1176" s="75" t="s">
        <v>3393</v>
      </c>
      <c r="D1176" s="75">
        <v>2013</v>
      </c>
      <c r="E1176" s="75" t="s">
        <v>348</v>
      </c>
      <c r="F1176" s="75" t="s">
        <v>1732</v>
      </c>
    </row>
    <row r="1177" spans="1:6" x14ac:dyDescent="0.3">
      <c r="A1177" s="75" t="s">
        <v>3394</v>
      </c>
      <c r="B1177" s="75" t="s">
        <v>3395</v>
      </c>
      <c r="C1177" s="75" t="s">
        <v>3396</v>
      </c>
      <c r="D1177" s="75">
        <v>2011</v>
      </c>
      <c r="E1177" s="75" t="s">
        <v>18</v>
      </c>
      <c r="F1177" s="75" t="s">
        <v>762</v>
      </c>
    </row>
    <row r="1178" spans="1:6" x14ac:dyDescent="0.3">
      <c r="A1178" s="75" t="s">
        <v>3397</v>
      </c>
      <c r="B1178" s="75" t="s">
        <v>3398</v>
      </c>
      <c r="C1178" s="75" t="s">
        <v>3399</v>
      </c>
      <c r="D1178" s="75" t="s">
        <v>13</v>
      </c>
      <c r="E1178" s="75" t="s">
        <v>518</v>
      </c>
      <c r="F1178" s="75" t="s">
        <v>519</v>
      </c>
    </row>
    <row r="1179" spans="1:6" x14ac:dyDescent="0.3">
      <c r="A1179" s="75" t="s">
        <v>3400</v>
      </c>
      <c r="B1179" s="75" t="s">
        <v>3401</v>
      </c>
      <c r="C1179" s="75" t="s">
        <v>13</v>
      </c>
      <c r="D1179" s="75" t="s">
        <v>13</v>
      </c>
      <c r="E1179" s="75" t="s">
        <v>13</v>
      </c>
      <c r="F1179" s="75" t="s">
        <v>13</v>
      </c>
    </row>
    <row r="1180" spans="1:6" x14ac:dyDescent="0.3">
      <c r="A1180" s="75" t="s">
        <v>3402</v>
      </c>
      <c r="B1180" s="75" t="s">
        <v>3403</v>
      </c>
      <c r="C1180" s="75" t="s">
        <v>3404</v>
      </c>
      <c r="D1180" s="75">
        <v>1992</v>
      </c>
      <c r="E1180" s="75" t="s">
        <v>18</v>
      </c>
      <c r="F1180" s="75" t="s">
        <v>2123</v>
      </c>
    </row>
    <row r="1181" spans="1:6" x14ac:dyDescent="0.3">
      <c r="A1181" s="75" t="s">
        <v>3405</v>
      </c>
      <c r="B1181" s="75" t="s">
        <v>3406</v>
      </c>
      <c r="C1181" s="75" t="s">
        <v>3407</v>
      </c>
      <c r="D1181" s="75">
        <v>2005</v>
      </c>
      <c r="E1181" s="75" t="s">
        <v>53</v>
      </c>
      <c r="F1181" s="75" t="s">
        <v>508</v>
      </c>
    </row>
    <row r="1182" spans="1:6" x14ac:dyDescent="0.3">
      <c r="A1182" s="75" t="s">
        <v>3408</v>
      </c>
      <c r="B1182" s="75" t="s">
        <v>3409</v>
      </c>
      <c r="C1182" s="75" t="s">
        <v>3350</v>
      </c>
      <c r="D1182" s="75" t="s">
        <v>13</v>
      </c>
      <c r="E1182" s="75" t="s">
        <v>53</v>
      </c>
      <c r="F1182" s="75" t="s">
        <v>229</v>
      </c>
    </row>
    <row r="1183" spans="1:6" x14ac:dyDescent="0.3">
      <c r="A1183" s="75" t="s">
        <v>3410</v>
      </c>
      <c r="B1183" s="75" t="s">
        <v>3411</v>
      </c>
      <c r="C1183" s="75" t="s">
        <v>3412</v>
      </c>
      <c r="D1183" s="75">
        <v>2014</v>
      </c>
      <c r="E1183" s="75" t="s">
        <v>348</v>
      </c>
      <c r="F1183" s="75" t="s">
        <v>1219</v>
      </c>
    </row>
    <row r="1184" spans="1:6" x14ac:dyDescent="0.3">
      <c r="A1184" s="75" t="s">
        <v>3413</v>
      </c>
      <c r="B1184" s="75" t="s">
        <v>3414</v>
      </c>
      <c r="C1184" s="75" t="s">
        <v>3415</v>
      </c>
      <c r="D1184" s="75">
        <v>2013</v>
      </c>
      <c r="E1184" s="75" t="s">
        <v>13</v>
      </c>
      <c r="F1184" s="75" t="s">
        <v>13</v>
      </c>
    </row>
    <row r="1185" spans="1:6" x14ac:dyDescent="0.3">
      <c r="A1185" s="75" t="s">
        <v>3416</v>
      </c>
      <c r="B1185" s="75" t="s">
        <v>3417</v>
      </c>
      <c r="C1185" s="75" t="s">
        <v>3418</v>
      </c>
      <c r="D1185" s="75" t="s">
        <v>13</v>
      </c>
      <c r="E1185" s="75" t="s">
        <v>44</v>
      </c>
      <c r="F1185" s="75" t="s">
        <v>49</v>
      </c>
    </row>
    <row r="1186" spans="1:6" x14ac:dyDescent="0.3">
      <c r="A1186" s="75" t="s">
        <v>3419</v>
      </c>
      <c r="B1186" s="75" t="s">
        <v>3417</v>
      </c>
      <c r="C1186" s="75" t="s">
        <v>13</v>
      </c>
      <c r="D1186" s="75" t="s">
        <v>13</v>
      </c>
      <c r="E1186" s="75" t="s">
        <v>44</v>
      </c>
      <c r="F1186" s="75" t="s">
        <v>49</v>
      </c>
    </row>
    <row r="1187" spans="1:6" x14ac:dyDescent="0.3">
      <c r="A1187" s="75" t="s">
        <v>3420</v>
      </c>
      <c r="B1187" s="75" t="s">
        <v>3421</v>
      </c>
      <c r="C1187" s="75" t="s">
        <v>3422</v>
      </c>
      <c r="D1187" s="75" t="s">
        <v>13</v>
      </c>
      <c r="E1187" s="75" t="s">
        <v>8</v>
      </c>
      <c r="F1187" s="75" t="s">
        <v>1261</v>
      </c>
    </row>
    <row r="1188" spans="1:6" x14ac:dyDescent="0.3">
      <c r="A1188" s="75" t="s">
        <v>3423</v>
      </c>
      <c r="B1188" s="75" t="s">
        <v>3424</v>
      </c>
      <c r="C1188" s="75" t="s">
        <v>3425</v>
      </c>
      <c r="D1188" s="75">
        <v>2012</v>
      </c>
      <c r="E1188" s="75" t="s">
        <v>8</v>
      </c>
      <c r="F1188" s="75" t="s">
        <v>579</v>
      </c>
    </row>
    <row r="1189" spans="1:6" x14ac:dyDescent="0.3">
      <c r="A1189" s="75" t="s">
        <v>3426</v>
      </c>
      <c r="B1189" s="75" t="s">
        <v>3427</v>
      </c>
      <c r="C1189" s="75" t="s">
        <v>3428</v>
      </c>
      <c r="D1189" s="75" t="s">
        <v>13</v>
      </c>
      <c r="E1189" s="75" t="s">
        <v>8</v>
      </c>
      <c r="F1189" s="75" t="s">
        <v>23</v>
      </c>
    </row>
    <row r="1190" spans="1:6" x14ac:dyDescent="0.3">
      <c r="A1190" s="75" t="s">
        <v>3429</v>
      </c>
      <c r="B1190" s="75" t="s">
        <v>3430</v>
      </c>
      <c r="C1190" s="75" t="s">
        <v>3431</v>
      </c>
      <c r="D1190" s="75" t="s">
        <v>13</v>
      </c>
      <c r="E1190" s="75" t="s">
        <v>18</v>
      </c>
      <c r="F1190" s="75" t="s">
        <v>434</v>
      </c>
    </row>
    <row r="1191" spans="1:6" x14ac:dyDescent="0.3">
      <c r="A1191" s="75" t="s">
        <v>3432</v>
      </c>
      <c r="B1191" s="75" t="s">
        <v>3433</v>
      </c>
      <c r="C1191" s="75" t="s">
        <v>3434</v>
      </c>
      <c r="D1191" s="75" t="s">
        <v>13</v>
      </c>
      <c r="E1191" s="75" t="s">
        <v>53</v>
      </c>
      <c r="F1191" s="75" t="s">
        <v>1569</v>
      </c>
    </row>
    <row r="1192" spans="1:6" x14ac:dyDescent="0.3">
      <c r="A1192" s="75" t="s">
        <v>3435</v>
      </c>
      <c r="B1192" s="75" t="s">
        <v>3436</v>
      </c>
      <c r="C1192" s="75" t="s">
        <v>3437</v>
      </c>
      <c r="D1192" s="75" t="s">
        <v>13</v>
      </c>
      <c r="E1192" s="75" t="s">
        <v>96</v>
      </c>
      <c r="F1192" s="75" t="s">
        <v>63</v>
      </c>
    </row>
    <row r="1193" spans="1:6" x14ac:dyDescent="0.3">
      <c r="A1193" s="75" t="s">
        <v>3438</v>
      </c>
      <c r="B1193" s="75" t="s">
        <v>3439</v>
      </c>
      <c r="C1193" s="75" t="s">
        <v>3440</v>
      </c>
      <c r="D1193" s="75">
        <v>2016</v>
      </c>
      <c r="E1193" s="75" t="s">
        <v>70</v>
      </c>
      <c r="F1193" s="75" t="s">
        <v>101</v>
      </c>
    </row>
    <row r="1194" spans="1:6" x14ac:dyDescent="0.3">
      <c r="A1194" s="75" t="s">
        <v>3441</v>
      </c>
      <c r="B1194" s="75" t="s">
        <v>3442</v>
      </c>
      <c r="C1194" s="75" t="s">
        <v>3443</v>
      </c>
      <c r="D1194" s="75">
        <v>2015</v>
      </c>
      <c r="E1194" s="75" t="s">
        <v>348</v>
      </c>
      <c r="F1194" s="75" t="s">
        <v>2366</v>
      </c>
    </row>
    <row r="1195" spans="1:6" x14ac:dyDescent="0.3">
      <c r="A1195" s="75" t="s">
        <v>3444</v>
      </c>
      <c r="B1195" s="75" t="s">
        <v>3445</v>
      </c>
      <c r="C1195" s="75" t="s">
        <v>3446</v>
      </c>
      <c r="D1195" s="75" t="s">
        <v>13</v>
      </c>
      <c r="E1195" s="75" t="s">
        <v>18</v>
      </c>
      <c r="F1195" s="75" t="s">
        <v>1361</v>
      </c>
    </row>
    <row r="1196" spans="1:6" x14ac:dyDescent="0.3">
      <c r="A1196" s="75" t="s">
        <v>3447</v>
      </c>
      <c r="B1196" s="75" t="s">
        <v>3448</v>
      </c>
      <c r="C1196" s="75" t="s">
        <v>3449</v>
      </c>
      <c r="D1196" s="75" t="s">
        <v>13</v>
      </c>
      <c r="E1196" s="75" t="s">
        <v>8</v>
      </c>
      <c r="F1196" s="75" t="s">
        <v>27</v>
      </c>
    </row>
    <row r="1197" spans="1:6" x14ac:dyDescent="0.3">
      <c r="A1197" s="75" t="s">
        <v>3450</v>
      </c>
      <c r="B1197" s="75" t="s">
        <v>3451</v>
      </c>
      <c r="C1197" s="75" t="s">
        <v>3452</v>
      </c>
      <c r="D1197" s="75" t="s">
        <v>13</v>
      </c>
      <c r="E1197" s="75" t="s">
        <v>31</v>
      </c>
      <c r="F1197" s="75" t="s">
        <v>36</v>
      </c>
    </row>
    <row r="1198" spans="1:6" x14ac:dyDescent="0.3">
      <c r="A1198" s="75" t="s">
        <v>3453</v>
      </c>
      <c r="B1198" s="75" t="s">
        <v>3454</v>
      </c>
      <c r="C1198" s="75" t="s">
        <v>3455</v>
      </c>
      <c r="D1198" s="75" t="s">
        <v>13</v>
      </c>
      <c r="E1198" s="75" t="s">
        <v>348</v>
      </c>
      <c r="F1198" s="75" t="s">
        <v>1219</v>
      </c>
    </row>
    <row r="1199" spans="1:6" x14ac:dyDescent="0.3">
      <c r="A1199" s="75" t="s">
        <v>3456</v>
      </c>
      <c r="B1199" s="75" t="s">
        <v>3457</v>
      </c>
      <c r="C1199" s="75" t="s">
        <v>3458</v>
      </c>
      <c r="D1199" s="75">
        <v>2006</v>
      </c>
      <c r="E1199" s="75" t="s">
        <v>53</v>
      </c>
      <c r="F1199" s="75" t="s">
        <v>1762</v>
      </c>
    </row>
    <row r="1200" spans="1:6" x14ac:dyDescent="0.3">
      <c r="A1200" s="75" t="s">
        <v>3459</v>
      </c>
      <c r="B1200" s="75" t="s">
        <v>3460</v>
      </c>
      <c r="C1200" s="75" t="s">
        <v>3461</v>
      </c>
      <c r="D1200" s="75" t="s">
        <v>13</v>
      </c>
      <c r="E1200" s="75" t="s">
        <v>348</v>
      </c>
      <c r="F1200" s="75" t="s">
        <v>1936</v>
      </c>
    </row>
    <row r="1201" spans="1:6" x14ac:dyDescent="0.3">
      <c r="A1201" s="75" t="s">
        <v>3462</v>
      </c>
      <c r="B1201" s="75" t="s">
        <v>3463</v>
      </c>
      <c r="C1201" s="75" t="s">
        <v>3464</v>
      </c>
      <c r="D1201" s="75">
        <v>2017</v>
      </c>
      <c r="E1201" s="75" t="s">
        <v>70</v>
      </c>
      <c r="F1201" s="75" t="s">
        <v>71</v>
      </c>
    </row>
    <row r="1202" spans="1:6" x14ac:dyDescent="0.3">
      <c r="A1202" s="75" t="s">
        <v>3465</v>
      </c>
      <c r="B1202" s="75" t="s">
        <v>3466</v>
      </c>
      <c r="C1202" s="75" t="s">
        <v>13</v>
      </c>
      <c r="D1202" s="75" t="s">
        <v>13</v>
      </c>
      <c r="E1202" s="75" t="s">
        <v>13</v>
      </c>
      <c r="F1202" s="75" t="s">
        <v>13</v>
      </c>
    </row>
    <row r="1203" spans="1:6" x14ac:dyDescent="0.3">
      <c r="A1203" s="75" t="s">
        <v>3467</v>
      </c>
      <c r="B1203" s="75" t="s">
        <v>3466</v>
      </c>
      <c r="C1203" s="75" t="s">
        <v>13</v>
      </c>
      <c r="D1203" s="75" t="s">
        <v>13</v>
      </c>
      <c r="E1203" s="75" t="s">
        <v>13</v>
      </c>
      <c r="F1203" s="75" t="s">
        <v>13</v>
      </c>
    </row>
    <row r="1204" spans="1:6" x14ac:dyDescent="0.3">
      <c r="A1204" s="75" t="s">
        <v>3468</v>
      </c>
      <c r="B1204" s="75" t="s">
        <v>3469</v>
      </c>
      <c r="C1204" s="75" t="s">
        <v>3470</v>
      </c>
      <c r="D1204" s="75">
        <v>1999</v>
      </c>
      <c r="E1204" s="75" t="s">
        <v>18</v>
      </c>
      <c r="F1204" s="75" t="s">
        <v>3471</v>
      </c>
    </row>
    <row r="1205" spans="1:6" x14ac:dyDescent="0.3">
      <c r="A1205" s="75" t="s">
        <v>3472</v>
      </c>
      <c r="B1205" s="75" t="s">
        <v>3473</v>
      </c>
      <c r="C1205" s="75" t="s">
        <v>3474</v>
      </c>
      <c r="D1205" s="75">
        <v>2015</v>
      </c>
      <c r="E1205" s="75" t="s">
        <v>70</v>
      </c>
      <c r="F1205" s="75" t="s">
        <v>71</v>
      </c>
    </row>
    <row r="1206" spans="1:6" x14ac:dyDescent="0.3">
      <c r="A1206" s="75" t="s">
        <v>3475</v>
      </c>
      <c r="B1206" s="75" t="s">
        <v>3476</v>
      </c>
      <c r="C1206" s="75" t="s">
        <v>3477</v>
      </c>
      <c r="D1206" s="75" t="s">
        <v>13</v>
      </c>
      <c r="E1206" s="75" t="s">
        <v>70</v>
      </c>
      <c r="F1206" s="75" t="s">
        <v>71</v>
      </c>
    </row>
    <row r="1207" spans="1:6" x14ac:dyDescent="0.3">
      <c r="A1207" s="75" t="s">
        <v>3478</v>
      </c>
      <c r="B1207" s="75" t="s">
        <v>3479</v>
      </c>
      <c r="C1207" s="75" t="s">
        <v>3480</v>
      </c>
      <c r="D1207" s="75" t="s">
        <v>13</v>
      </c>
      <c r="E1207" s="75" t="s">
        <v>70</v>
      </c>
      <c r="F1207" s="75" t="s">
        <v>71</v>
      </c>
    </row>
    <row r="1208" spans="1:6" x14ac:dyDescent="0.3">
      <c r="A1208" s="75" t="s">
        <v>3481</v>
      </c>
      <c r="B1208" s="75" t="s">
        <v>3482</v>
      </c>
      <c r="C1208" s="75" t="s">
        <v>3483</v>
      </c>
      <c r="D1208" s="75">
        <v>2014</v>
      </c>
      <c r="E1208" s="75" t="s">
        <v>70</v>
      </c>
      <c r="F1208" s="75" t="s">
        <v>71</v>
      </c>
    </row>
    <row r="1209" spans="1:6" x14ac:dyDescent="0.3">
      <c r="A1209" s="75" t="s">
        <v>3484</v>
      </c>
      <c r="B1209" s="75" t="s">
        <v>3485</v>
      </c>
      <c r="C1209" s="75" t="s">
        <v>3486</v>
      </c>
      <c r="D1209" s="75" t="s">
        <v>13</v>
      </c>
      <c r="E1209" s="75" t="s">
        <v>18</v>
      </c>
      <c r="F1209" s="75" t="s">
        <v>266</v>
      </c>
    </row>
    <row r="1210" spans="1:6" x14ac:dyDescent="0.3">
      <c r="A1210" s="75" t="s">
        <v>3487</v>
      </c>
      <c r="B1210" s="75" t="s">
        <v>3488</v>
      </c>
      <c r="C1210" s="75" t="s">
        <v>3489</v>
      </c>
      <c r="D1210" s="75" t="s">
        <v>13</v>
      </c>
      <c r="E1210" s="75" t="s">
        <v>348</v>
      </c>
      <c r="F1210" s="75" t="s">
        <v>1183</v>
      </c>
    </row>
    <row r="1211" spans="1:6" x14ac:dyDescent="0.3">
      <c r="A1211" s="75" t="s">
        <v>3490</v>
      </c>
      <c r="B1211" s="75" t="s">
        <v>3491</v>
      </c>
      <c r="C1211" s="75" t="s">
        <v>3492</v>
      </c>
      <c r="D1211" s="75">
        <v>2000</v>
      </c>
      <c r="E1211" s="75" t="s">
        <v>53</v>
      </c>
      <c r="F1211" s="75" t="s">
        <v>63</v>
      </c>
    </row>
    <row r="1212" spans="1:6" x14ac:dyDescent="0.3">
      <c r="A1212" s="75" t="s">
        <v>3493</v>
      </c>
      <c r="B1212" s="75" t="s">
        <v>3494</v>
      </c>
      <c r="C1212" s="75" t="s">
        <v>3495</v>
      </c>
      <c r="D1212" s="75">
        <v>2013</v>
      </c>
      <c r="E1212" s="75" t="s">
        <v>13</v>
      </c>
      <c r="F1212" s="75" t="s">
        <v>13</v>
      </c>
    </row>
    <row r="1213" spans="1:6" x14ac:dyDescent="0.3">
      <c r="A1213" s="75" t="s">
        <v>3496</v>
      </c>
      <c r="B1213" s="75" t="s">
        <v>3497</v>
      </c>
      <c r="C1213" s="75" t="s">
        <v>3498</v>
      </c>
      <c r="D1213" s="75">
        <v>2016</v>
      </c>
      <c r="E1213" s="75" t="s">
        <v>31</v>
      </c>
      <c r="F1213" s="75" t="s">
        <v>32</v>
      </c>
    </row>
    <row r="1214" spans="1:6" x14ac:dyDescent="0.3">
      <c r="A1214" s="75" t="s">
        <v>3499</v>
      </c>
      <c r="B1214" s="75" t="s">
        <v>3500</v>
      </c>
      <c r="C1214" s="75" t="s">
        <v>3501</v>
      </c>
      <c r="D1214" s="75">
        <v>2016</v>
      </c>
      <c r="E1214" s="75" t="s">
        <v>70</v>
      </c>
      <c r="F1214" s="75" t="s">
        <v>71</v>
      </c>
    </row>
    <row r="1215" spans="1:6" x14ac:dyDescent="0.3">
      <c r="A1215" s="75" t="s">
        <v>3502</v>
      </c>
      <c r="B1215" s="75" t="s">
        <v>3503</v>
      </c>
      <c r="C1215" s="75" t="s">
        <v>3504</v>
      </c>
      <c r="D1215" s="75" t="s">
        <v>13</v>
      </c>
      <c r="E1215" s="75" t="s">
        <v>53</v>
      </c>
      <c r="F1215" s="75" t="s">
        <v>790</v>
      </c>
    </row>
    <row r="1216" spans="1:6" x14ac:dyDescent="0.3">
      <c r="A1216" s="75" t="s">
        <v>3505</v>
      </c>
      <c r="B1216" s="75" t="s">
        <v>3506</v>
      </c>
      <c r="C1216" s="75" t="s">
        <v>3507</v>
      </c>
      <c r="D1216" s="75" t="s">
        <v>13</v>
      </c>
      <c r="E1216" s="75" t="s">
        <v>44</v>
      </c>
      <c r="F1216" s="75" t="s">
        <v>49</v>
      </c>
    </row>
    <row r="1217" spans="1:6" x14ac:dyDescent="0.3">
      <c r="A1217" s="75" t="s">
        <v>3508</v>
      </c>
      <c r="B1217" s="75" t="s">
        <v>3509</v>
      </c>
      <c r="C1217" s="75" t="s">
        <v>3510</v>
      </c>
      <c r="D1217" s="75" t="s">
        <v>13</v>
      </c>
      <c r="E1217" s="75" t="s">
        <v>31</v>
      </c>
      <c r="F1217" s="75" t="s">
        <v>40</v>
      </c>
    </row>
    <row r="1218" spans="1:6" x14ac:dyDescent="0.3">
      <c r="A1218" s="75" t="s">
        <v>3511</v>
      </c>
      <c r="B1218" s="75" t="s">
        <v>3509</v>
      </c>
      <c r="C1218" s="75" t="s">
        <v>13</v>
      </c>
      <c r="D1218" s="75" t="s">
        <v>13</v>
      </c>
      <c r="E1218" s="75" t="s">
        <v>31</v>
      </c>
      <c r="F1218" s="75" t="s">
        <v>40</v>
      </c>
    </row>
    <row r="1219" spans="1:6" x14ac:dyDescent="0.3">
      <c r="A1219" s="75" t="s">
        <v>3512</v>
      </c>
      <c r="B1219" s="75" t="s">
        <v>3509</v>
      </c>
      <c r="C1219" s="75" t="s">
        <v>13</v>
      </c>
      <c r="D1219" s="75" t="s">
        <v>13</v>
      </c>
      <c r="E1219" s="75" t="s">
        <v>31</v>
      </c>
      <c r="F1219" s="75" t="s">
        <v>40</v>
      </c>
    </row>
    <row r="1220" spans="1:6" x14ac:dyDescent="0.3">
      <c r="A1220" s="75" t="s">
        <v>3513</v>
      </c>
      <c r="B1220" s="75" t="s">
        <v>3514</v>
      </c>
      <c r="C1220" s="75" t="s">
        <v>3515</v>
      </c>
      <c r="D1220" s="75" t="s">
        <v>13</v>
      </c>
      <c r="E1220" s="75" t="s">
        <v>70</v>
      </c>
      <c r="F1220" s="75" t="s">
        <v>118</v>
      </c>
    </row>
    <row r="1221" spans="1:6" x14ac:dyDescent="0.3">
      <c r="A1221" s="75" t="s">
        <v>3516</v>
      </c>
      <c r="B1221" s="75" t="s">
        <v>3517</v>
      </c>
      <c r="C1221" s="75" t="s">
        <v>3518</v>
      </c>
      <c r="D1221" s="75" t="s">
        <v>13</v>
      </c>
      <c r="E1221" s="75" t="s">
        <v>18</v>
      </c>
      <c r="F1221" s="75" t="s">
        <v>3471</v>
      </c>
    </row>
    <row r="1222" spans="1:6" x14ac:dyDescent="0.3">
      <c r="A1222" s="75" t="s">
        <v>3519</v>
      </c>
      <c r="B1222" s="75" t="s">
        <v>3520</v>
      </c>
      <c r="C1222" s="75" t="s">
        <v>3521</v>
      </c>
      <c r="D1222" s="75">
        <v>2010</v>
      </c>
      <c r="E1222" s="75" t="s">
        <v>70</v>
      </c>
      <c r="F1222" s="75" t="s">
        <v>80</v>
      </c>
    </row>
    <row r="1223" spans="1:6" x14ac:dyDescent="0.3">
      <c r="A1223" s="75" t="s">
        <v>3522</v>
      </c>
      <c r="B1223" s="75" t="s">
        <v>3523</v>
      </c>
      <c r="C1223" s="75" t="s">
        <v>3524</v>
      </c>
      <c r="D1223" s="75">
        <v>2014</v>
      </c>
      <c r="E1223" s="75" t="s">
        <v>70</v>
      </c>
      <c r="F1223" s="75" t="s">
        <v>118</v>
      </c>
    </row>
    <row r="1224" spans="1:6" x14ac:dyDescent="0.3">
      <c r="A1224" s="75" t="s">
        <v>3525</v>
      </c>
      <c r="B1224" s="75" t="s">
        <v>3526</v>
      </c>
      <c r="C1224" s="75" t="s">
        <v>3117</v>
      </c>
      <c r="D1224" s="75">
        <v>2005</v>
      </c>
      <c r="E1224" s="75" t="s">
        <v>70</v>
      </c>
      <c r="F1224" s="75" t="s">
        <v>101</v>
      </c>
    </row>
    <row r="1225" spans="1:6" x14ac:dyDescent="0.3">
      <c r="A1225" s="75" t="s">
        <v>3527</v>
      </c>
      <c r="B1225" s="75" t="s">
        <v>3528</v>
      </c>
      <c r="C1225" s="75" t="s">
        <v>3529</v>
      </c>
      <c r="D1225" s="75" t="s">
        <v>13</v>
      </c>
      <c r="E1225" s="75" t="s">
        <v>53</v>
      </c>
      <c r="F1225" s="75" t="s">
        <v>193</v>
      </c>
    </row>
    <row r="1226" spans="1:6" x14ac:dyDescent="0.3">
      <c r="A1226" s="75" t="s">
        <v>3530</v>
      </c>
      <c r="B1226" s="75" t="s">
        <v>3531</v>
      </c>
      <c r="C1226" s="75" t="s">
        <v>43</v>
      </c>
      <c r="D1226" s="75" t="s">
        <v>13</v>
      </c>
      <c r="E1226" s="75" t="s">
        <v>53</v>
      </c>
      <c r="F1226" s="75" t="s">
        <v>193</v>
      </c>
    </row>
    <row r="1227" spans="1:6" x14ac:dyDescent="0.3">
      <c r="A1227" s="75" t="s">
        <v>3532</v>
      </c>
      <c r="B1227" s="75" t="s">
        <v>3533</v>
      </c>
      <c r="C1227" s="75" t="s">
        <v>3534</v>
      </c>
      <c r="D1227" s="75" t="s">
        <v>13</v>
      </c>
      <c r="E1227" s="75" t="s">
        <v>53</v>
      </c>
      <c r="F1227" s="75" t="s">
        <v>63</v>
      </c>
    </row>
    <row r="1228" spans="1:6" x14ac:dyDescent="0.3">
      <c r="A1228" s="75" t="s">
        <v>3535</v>
      </c>
      <c r="B1228" s="75" t="s">
        <v>3536</v>
      </c>
      <c r="C1228" s="75" t="s">
        <v>3537</v>
      </c>
      <c r="D1228" s="75" t="s">
        <v>13</v>
      </c>
      <c r="E1228" s="75" t="s">
        <v>8</v>
      </c>
      <c r="F1228" s="75" t="s">
        <v>27</v>
      </c>
    </row>
    <row r="1229" spans="1:6" x14ac:dyDescent="0.3">
      <c r="A1229" s="75" t="s">
        <v>3538</v>
      </c>
      <c r="B1229" s="75" t="s">
        <v>3539</v>
      </c>
      <c r="C1229" s="75" t="s">
        <v>3540</v>
      </c>
      <c r="D1229" s="75">
        <v>1996</v>
      </c>
      <c r="E1229" s="75" t="s">
        <v>70</v>
      </c>
      <c r="F1229" s="75" t="s">
        <v>71</v>
      </c>
    </row>
    <row r="1230" spans="1:6" x14ac:dyDescent="0.3">
      <c r="A1230" s="75" t="s">
        <v>3541</v>
      </c>
      <c r="B1230" s="75" t="s">
        <v>3542</v>
      </c>
      <c r="C1230" s="75" t="s">
        <v>3543</v>
      </c>
      <c r="D1230" s="75">
        <v>2011</v>
      </c>
      <c r="E1230" s="75" t="s">
        <v>58</v>
      </c>
      <c r="F1230" s="75" t="s">
        <v>59</v>
      </c>
    </row>
    <row r="1231" spans="1:6" x14ac:dyDescent="0.3">
      <c r="A1231" s="75" t="s">
        <v>3544</v>
      </c>
      <c r="B1231" s="75" t="s">
        <v>3545</v>
      </c>
      <c r="C1231" s="75" t="s">
        <v>3546</v>
      </c>
      <c r="D1231" s="75">
        <v>1993</v>
      </c>
      <c r="E1231" s="75" t="s">
        <v>53</v>
      </c>
      <c r="F1231" s="75" t="s">
        <v>3547</v>
      </c>
    </row>
    <row r="1232" spans="1:6" x14ac:dyDescent="0.3">
      <c r="A1232" s="75" t="s">
        <v>3548</v>
      </c>
      <c r="B1232" s="75" t="s">
        <v>3549</v>
      </c>
      <c r="C1232" s="75" t="s">
        <v>3550</v>
      </c>
      <c r="D1232" s="75" t="s">
        <v>13</v>
      </c>
      <c r="E1232" s="75" t="s">
        <v>31</v>
      </c>
      <c r="F1232" s="75" t="s">
        <v>32</v>
      </c>
    </row>
    <row r="1233" spans="1:6" x14ac:dyDescent="0.3">
      <c r="A1233" s="75" t="s">
        <v>3551</v>
      </c>
      <c r="B1233" s="75" t="s">
        <v>3552</v>
      </c>
      <c r="C1233" s="75" t="s">
        <v>3553</v>
      </c>
      <c r="D1233" s="75">
        <v>1983</v>
      </c>
      <c r="E1233" s="75" t="s">
        <v>53</v>
      </c>
      <c r="F1233" s="75" t="s">
        <v>229</v>
      </c>
    </row>
    <row r="1234" spans="1:6" x14ac:dyDescent="0.3">
      <c r="A1234" s="75" t="s">
        <v>3554</v>
      </c>
      <c r="B1234" s="75" t="s">
        <v>3555</v>
      </c>
      <c r="C1234" s="75" t="s">
        <v>944</v>
      </c>
      <c r="D1234" s="75">
        <v>1989</v>
      </c>
      <c r="E1234" s="75" t="s">
        <v>348</v>
      </c>
      <c r="F1234" s="75" t="s">
        <v>1059</v>
      </c>
    </row>
    <row r="1235" spans="1:6" x14ac:dyDescent="0.3">
      <c r="A1235" s="75" t="s">
        <v>3556</v>
      </c>
      <c r="B1235" s="75" t="s">
        <v>3557</v>
      </c>
      <c r="C1235" s="75" t="s">
        <v>3558</v>
      </c>
      <c r="D1235" s="75" t="s">
        <v>13</v>
      </c>
      <c r="E1235" s="75" t="s">
        <v>31</v>
      </c>
      <c r="F1235" s="75" t="s">
        <v>291</v>
      </c>
    </row>
    <row r="1236" spans="1:6" x14ac:dyDescent="0.3">
      <c r="A1236" s="75" t="s">
        <v>3559</v>
      </c>
      <c r="B1236" s="75" t="s">
        <v>3560</v>
      </c>
      <c r="C1236" s="75" t="s">
        <v>3561</v>
      </c>
      <c r="D1236" s="75">
        <v>1992</v>
      </c>
      <c r="E1236" s="75" t="s">
        <v>70</v>
      </c>
      <c r="F1236" s="75" t="s">
        <v>118</v>
      </c>
    </row>
    <row r="1237" spans="1:6" x14ac:dyDescent="0.3">
      <c r="A1237" s="75" t="s">
        <v>3562</v>
      </c>
      <c r="B1237" s="75" t="s">
        <v>3563</v>
      </c>
      <c r="C1237" s="75" t="s">
        <v>3284</v>
      </c>
      <c r="D1237" s="75" t="s">
        <v>13</v>
      </c>
      <c r="E1237" s="75" t="s">
        <v>8</v>
      </c>
      <c r="F1237" s="75" t="s">
        <v>27</v>
      </c>
    </row>
    <row r="1238" spans="1:6" x14ac:dyDescent="0.3">
      <c r="A1238" s="75" t="s">
        <v>3564</v>
      </c>
      <c r="B1238" s="75" t="s">
        <v>3565</v>
      </c>
      <c r="C1238" s="75" t="s">
        <v>3566</v>
      </c>
      <c r="D1238" s="75">
        <v>2001</v>
      </c>
      <c r="E1238" s="75" t="s">
        <v>13</v>
      </c>
      <c r="F1238" s="75" t="s">
        <v>13</v>
      </c>
    </row>
    <row r="1239" spans="1:6" x14ac:dyDescent="0.3">
      <c r="A1239" s="75" t="s">
        <v>3567</v>
      </c>
      <c r="B1239" s="75" t="s">
        <v>3565</v>
      </c>
      <c r="C1239" s="75" t="s">
        <v>3568</v>
      </c>
      <c r="D1239" s="75" t="s">
        <v>13</v>
      </c>
      <c r="E1239" s="75" t="s">
        <v>13</v>
      </c>
      <c r="F1239" s="75" t="s">
        <v>13</v>
      </c>
    </row>
    <row r="1240" spans="1:6" x14ac:dyDescent="0.3">
      <c r="A1240" s="75" t="s">
        <v>3569</v>
      </c>
      <c r="B1240" s="75" t="s">
        <v>3570</v>
      </c>
      <c r="C1240" s="75" t="s">
        <v>3571</v>
      </c>
      <c r="D1240" s="75">
        <v>2003</v>
      </c>
      <c r="E1240" s="75" t="s">
        <v>18</v>
      </c>
      <c r="F1240" s="75" t="s">
        <v>1261</v>
      </c>
    </row>
    <row r="1241" spans="1:6" x14ac:dyDescent="0.3">
      <c r="A1241" s="75" t="s">
        <v>3572</v>
      </c>
      <c r="B1241" s="75" t="s">
        <v>3570</v>
      </c>
      <c r="C1241" s="75" t="s">
        <v>13</v>
      </c>
      <c r="D1241" s="75" t="s">
        <v>13</v>
      </c>
      <c r="E1241" s="75" t="s">
        <v>18</v>
      </c>
      <c r="F1241" s="75" t="s">
        <v>1261</v>
      </c>
    </row>
    <row r="1242" spans="1:6" x14ac:dyDescent="0.3">
      <c r="A1242" s="75" t="s">
        <v>3573</v>
      </c>
      <c r="B1242" s="75" t="s">
        <v>3570</v>
      </c>
      <c r="C1242" s="75" t="s">
        <v>3574</v>
      </c>
      <c r="D1242" s="75" t="s">
        <v>13</v>
      </c>
      <c r="E1242" s="75" t="s">
        <v>18</v>
      </c>
      <c r="F1242" s="75" t="s">
        <v>1261</v>
      </c>
    </row>
    <row r="1243" spans="1:6" x14ac:dyDescent="0.3">
      <c r="A1243" s="75" t="s">
        <v>3575</v>
      </c>
      <c r="B1243" s="75" t="s">
        <v>3570</v>
      </c>
      <c r="C1243" s="75" t="s">
        <v>3576</v>
      </c>
      <c r="D1243" s="75" t="s">
        <v>13</v>
      </c>
      <c r="E1243" s="75" t="s">
        <v>18</v>
      </c>
      <c r="F1243" s="75" t="s">
        <v>1261</v>
      </c>
    </row>
    <row r="1244" spans="1:6" x14ac:dyDescent="0.3">
      <c r="A1244" s="75" t="s">
        <v>3577</v>
      </c>
      <c r="B1244" s="75" t="s">
        <v>3578</v>
      </c>
      <c r="C1244" s="75" t="s">
        <v>3579</v>
      </c>
      <c r="D1244" s="75">
        <v>2005</v>
      </c>
      <c r="E1244" s="75" t="s">
        <v>13</v>
      </c>
      <c r="F1244" s="75" t="s">
        <v>13</v>
      </c>
    </row>
    <row r="1245" spans="1:6" x14ac:dyDescent="0.3">
      <c r="A1245" s="75" t="s">
        <v>3580</v>
      </c>
      <c r="B1245" s="75" t="s">
        <v>3578</v>
      </c>
      <c r="C1245" s="75" t="s">
        <v>13</v>
      </c>
      <c r="D1245" s="75" t="s">
        <v>13</v>
      </c>
      <c r="E1245" s="75" t="s">
        <v>13</v>
      </c>
      <c r="F1245" s="75" t="s">
        <v>13</v>
      </c>
    </row>
    <row r="1246" spans="1:6" x14ac:dyDescent="0.3">
      <c r="A1246" s="75" t="s">
        <v>3581</v>
      </c>
      <c r="B1246" s="75" t="s">
        <v>3578</v>
      </c>
      <c r="C1246" s="75" t="s">
        <v>13</v>
      </c>
      <c r="D1246" s="75" t="s">
        <v>13</v>
      </c>
      <c r="E1246" s="75" t="s">
        <v>13</v>
      </c>
      <c r="F1246" s="75" t="s">
        <v>13</v>
      </c>
    </row>
    <row r="1247" spans="1:6" x14ac:dyDescent="0.3">
      <c r="A1247" s="75" t="s">
        <v>3582</v>
      </c>
      <c r="B1247" s="75" t="s">
        <v>3578</v>
      </c>
      <c r="C1247" s="75" t="s">
        <v>13</v>
      </c>
      <c r="D1247" s="75" t="s">
        <v>13</v>
      </c>
      <c r="E1247" s="75" t="s">
        <v>13</v>
      </c>
      <c r="F1247" s="75" t="s">
        <v>13</v>
      </c>
    </row>
    <row r="1248" spans="1:6" x14ac:dyDescent="0.3">
      <c r="A1248" s="75" t="s">
        <v>3583</v>
      </c>
      <c r="B1248" s="75" t="s">
        <v>3584</v>
      </c>
      <c r="C1248" s="75" t="s">
        <v>3585</v>
      </c>
      <c r="D1248" s="75">
        <v>2013</v>
      </c>
      <c r="E1248" s="75" t="s">
        <v>18</v>
      </c>
      <c r="F1248" s="75" t="s">
        <v>266</v>
      </c>
    </row>
    <row r="1249" spans="1:6" x14ac:dyDescent="0.3">
      <c r="A1249" s="75" t="s">
        <v>3586</v>
      </c>
      <c r="B1249" s="75" t="s">
        <v>3584</v>
      </c>
      <c r="C1249" s="75" t="s">
        <v>13</v>
      </c>
      <c r="D1249" s="75" t="s">
        <v>13</v>
      </c>
      <c r="E1249" s="75" t="s">
        <v>18</v>
      </c>
      <c r="F1249" s="75" t="s">
        <v>266</v>
      </c>
    </row>
    <row r="1250" spans="1:6" x14ac:dyDescent="0.3">
      <c r="A1250" s="75" t="s">
        <v>3587</v>
      </c>
      <c r="B1250" s="75" t="s">
        <v>3588</v>
      </c>
      <c r="C1250" s="75" t="s">
        <v>3589</v>
      </c>
      <c r="D1250" s="75" t="s">
        <v>13</v>
      </c>
      <c r="E1250" s="75" t="s">
        <v>8</v>
      </c>
      <c r="F1250" s="75" t="s">
        <v>27</v>
      </c>
    </row>
    <row r="1251" spans="1:6" x14ac:dyDescent="0.3">
      <c r="A1251" s="75" t="s">
        <v>3590</v>
      </c>
      <c r="B1251" s="75" t="s">
        <v>3591</v>
      </c>
      <c r="C1251" s="75" t="s">
        <v>48</v>
      </c>
      <c r="D1251" s="75">
        <v>2015</v>
      </c>
      <c r="E1251" s="75" t="s">
        <v>70</v>
      </c>
      <c r="F1251" s="75" t="s">
        <v>71</v>
      </c>
    </row>
    <row r="1252" spans="1:6" x14ac:dyDescent="0.3">
      <c r="A1252" s="75" t="s">
        <v>3592</v>
      </c>
      <c r="B1252" s="75" t="s">
        <v>3593</v>
      </c>
      <c r="C1252" s="75" t="s">
        <v>3594</v>
      </c>
      <c r="D1252" s="75" t="s">
        <v>13</v>
      </c>
      <c r="E1252" s="75" t="s">
        <v>8</v>
      </c>
      <c r="F1252" s="75" t="s">
        <v>1093</v>
      </c>
    </row>
    <row r="1253" spans="1:6" x14ac:dyDescent="0.3">
      <c r="A1253" s="75" t="s">
        <v>3595</v>
      </c>
      <c r="B1253" s="75" t="s">
        <v>3596</v>
      </c>
      <c r="C1253" s="75" t="s">
        <v>3597</v>
      </c>
      <c r="D1253" s="75">
        <v>2011</v>
      </c>
      <c r="E1253" s="75" t="s">
        <v>18</v>
      </c>
      <c r="F1253" s="75" t="s">
        <v>49</v>
      </c>
    </row>
    <row r="1254" spans="1:6" x14ac:dyDescent="0.3">
      <c r="A1254" s="75" t="s">
        <v>3598</v>
      </c>
      <c r="B1254" s="75" t="s">
        <v>3599</v>
      </c>
      <c r="C1254" s="75" t="s">
        <v>3600</v>
      </c>
      <c r="D1254" s="75" t="s">
        <v>13</v>
      </c>
      <c r="E1254" s="75" t="s">
        <v>8</v>
      </c>
      <c r="F1254" s="75" t="s">
        <v>9</v>
      </c>
    </row>
    <row r="1255" spans="1:6" x14ac:dyDescent="0.3">
      <c r="A1255" s="75" t="s">
        <v>3601</v>
      </c>
      <c r="B1255" s="75" t="s">
        <v>3599</v>
      </c>
      <c r="C1255" s="75" t="s">
        <v>13</v>
      </c>
      <c r="D1255" s="75" t="s">
        <v>13</v>
      </c>
      <c r="E1255" s="75" t="s">
        <v>8</v>
      </c>
      <c r="F1255" s="75" t="s">
        <v>9</v>
      </c>
    </row>
    <row r="1256" spans="1:6" x14ac:dyDescent="0.3">
      <c r="A1256" s="75" t="s">
        <v>3602</v>
      </c>
      <c r="B1256" s="75" t="s">
        <v>3599</v>
      </c>
      <c r="C1256" s="75" t="s">
        <v>13</v>
      </c>
      <c r="D1256" s="75" t="s">
        <v>13</v>
      </c>
      <c r="E1256" s="75" t="s">
        <v>8</v>
      </c>
      <c r="F1256" s="75" t="s">
        <v>9</v>
      </c>
    </row>
    <row r="1257" spans="1:6" x14ac:dyDescent="0.3">
      <c r="A1257" s="75" t="s">
        <v>3603</v>
      </c>
      <c r="B1257" s="75" t="s">
        <v>3604</v>
      </c>
      <c r="C1257" s="75" t="s">
        <v>3605</v>
      </c>
      <c r="D1257" s="75">
        <v>2015</v>
      </c>
      <c r="E1257" s="75" t="s">
        <v>70</v>
      </c>
      <c r="F1257" s="75" t="s">
        <v>1375</v>
      </c>
    </row>
    <row r="1258" spans="1:6" x14ac:dyDescent="0.3">
      <c r="A1258" s="75" t="s">
        <v>3606</v>
      </c>
      <c r="B1258" s="75" t="s">
        <v>3604</v>
      </c>
      <c r="C1258" s="75" t="s">
        <v>13</v>
      </c>
      <c r="D1258" s="75">
        <v>2015</v>
      </c>
      <c r="E1258" s="75" t="s">
        <v>70</v>
      </c>
      <c r="F1258" s="75" t="s">
        <v>1375</v>
      </c>
    </row>
    <row r="1259" spans="1:6" x14ac:dyDescent="0.3">
      <c r="A1259" s="75" t="s">
        <v>3607</v>
      </c>
      <c r="B1259" s="75" t="s">
        <v>3604</v>
      </c>
      <c r="C1259" s="75" t="s">
        <v>13</v>
      </c>
      <c r="D1259" s="75">
        <v>2015</v>
      </c>
      <c r="E1259" s="75" t="s">
        <v>70</v>
      </c>
      <c r="F1259" s="75" t="s">
        <v>1375</v>
      </c>
    </row>
    <row r="1260" spans="1:6" x14ac:dyDescent="0.3">
      <c r="A1260" s="75" t="s">
        <v>3608</v>
      </c>
      <c r="B1260" s="75" t="s">
        <v>3609</v>
      </c>
      <c r="C1260" s="75" t="s">
        <v>3610</v>
      </c>
      <c r="D1260" s="75" t="s">
        <v>13</v>
      </c>
      <c r="E1260" s="75" t="s">
        <v>18</v>
      </c>
      <c r="F1260" s="75" t="s">
        <v>266</v>
      </c>
    </row>
    <row r="1261" spans="1:6" x14ac:dyDescent="0.3">
      <c r="A1261" s="75" t="s">
        <v>3611</v>
      </c>
      <c r="B1261" s="75" t="s">
        <v>3612</v>
      </c>
      <c r="C1261" s="75" t="s">
        <v>3613</v>
      </c>
      <c r="D1261" s="75" t="s">
        <v>13</v>
      </c>
      <c r="E1261" s="75" t="s">
        <v>18</v>
      </c>
      <c r="F1261" s="75" t="s">
        <v>295</v>
      </c>
    </row>
    <row r="1262" spans="1:6" x14ac:dyDescent="0.3">
      <c r="A1262" s="75" t="s">
        <v>3614</v>
      </c>
      <c r="B1262" s="75" t="s">
        <v>3615</v>
      </c>
      <c r="C1262" s="75" t="s">
        <v>3616</v>
      </c>
      <c r="D1262" s="75">
        <v>2016</v>
      </c>
      <c r="E1262" s="75" t="s">
        <v>44</v>
      </c>
      <c r="F1262" s="75" t="s">
        <v>222</v>
      </c>
    </row>
    <row r="1263" spans="1:6" x14ac:dyDescent="0.3">
      <c r="A1263" s="75" t="s">
        <v>3617</v>
      </c>
      <c r="B1263" s="75" t="s">
        <v>3618</v>
      </c>
      <c r="C1263" s="75" t="s">
        <v>13</v>
      </c>
      <c r="D1263" s="75" t="s">
        <v>13</v>
      </c>
      <c r="E1263" s="75" t="s">
        <v>13</v>
      </c>
      <c r="F1263" s="75" t="s">
        <v>13</v>
      </c>
    </row>
    <row r="1264" spans="1:6" x14ac:dyDescent="0.3">
      <c r="A1264" s="75" t="s">
        <v>3619</v>
      </c>
      <c r="B1264" s="75" t="s">
        <v>3620</v>
      </c>
      <c r="C1264" s="75" t="s">
        <v>13</v>
      </c>
      <c r="D1264" s="75" t="s">
        <v>13</v>
      </c>
      <c r="E1264" s="75" t="s">
        <v>13</v>
      </c>
      <c r="F1264" s="75" t="s">
        <v>13</v>
      </c>
    </row>
    <row r="1265" spans="1:6" x14ac:dyDescent="0.3">
      <c r="A1265" s="75" t="s">
        <v>3621</v>
      </c>
      <c r="B1265" s="75" t="s">
        <v>3622</v>
      </c>
      <c r="C1265" s="75" t="s">
        <v>13</v>
      </c>
      <c r="D1265" s="75" t="s">
        <v>13</v>
      </c>
      <c r="E1265" s="75" t="s">
        <v>13</v>
      </c>
      <c r="F1265" s="75" t="s">
        <v>13</v>
      </c>
    </row>
    <row r="1266" spans="1:6" x14ac:dyDescent="0.3">
      <c r="A1266" s="75" t="s">
        <v>3623</v>
      </c>
      <c r="B1266" s="75" t="s">
        <v>3624</v>
      </c>
      <c r="C1266" s="75" t="s">
        <v>13</v>
      </c>
      <c r="D1266" s="75" t="s">
        <v>13</v>
      </c>
      <c r="E1266" s="75" t="s">
        <v>13</v>
      </c>
      <c r="F1266" s="75" t="s">
        <v>13</v>
      </c>
    </row>
    <row r="1267" spans="1:6" x14ac:dyDescent="0.3">
      <c r="A1267" s="75" t="s">
        <v>3625</v>
      </c>
      <c r="B1267" s="75" t="s">
        <v>3626</v>
      </c>
      <c r="C1267" s="75" t="s">
        <v>13</v>
      </c>
      <c r="D1267" s="75" t="s">
        <v>13</v>
      </c>
      <c r="E1267" s="75" t="s">
        <v>13</v>
      </c>
      <c r="F1267" s="75" t="s">
        <v>13</v>
      </c>
    </row>
    <row r="1268" spans="1:6" x14ac:dyDescent="0.3">
      <c r="A1268" s="75" t="s">
        <v>3627</v>
      </c>
      <c r="B1268" s="75" t="s">
        <v>3628</v>
      </c>
      <c r="C1268" s="75" t="s">
        <v>13</v>
      </c>
      <c r="D1268" s="75" t="s">
        <v>13</v>
      </c>
      <c r="E1268" s="75" t="s">
        <v>13</v>
      </c>
      <c r="F1268" s="75" t="s">
        <v>13</v>
      </c>
    </row>
    <row r="1269" spans="1:6" x14ac:dyDescent="0.3">
      <c r="A1269" s="75" t="s">
        <v>3629</v>
      </c>
      <c r="B1269" s="75" t="s">
        <v>3630</v>
      </c>
      <c r="C1269" s="75" t="s">
        <v>3631</v>
      </c>
      <c r="D1269" s="75" t="s">
        <v>13</v>
      </c>
      <c r="E1269" s="75" t="s">
        <v>13</v>
      </c>
      <c r="F1269" s="75" t="s">
        <v>13</v>
      </c>
    </row>
    <row r="1270" spans="1:6" x14ac:dyDescent="0.3">
      <c r="A1270" s="75" t="s">
        <v>3632</v>
      </c>
      <c r="B1270" s="75" t="s">
        <v>3633</v>
      </c>
      <c r="C1270" s="75" t="s">
        <v>13</v>
      </c>
      <c r="D1270" s="75" t="s">
        <v>13</v>
      </c>
      <c r="E1270" s="75" t="s">
        <v>13</v>
      </c>
      <c r="F1270" s="75" t="s">
        <v>13</v>
      </c>
    </row>
    <row r="1271" spans="1:6" x14ac:dyDescent="0.3">
      <c r="A1271" s="75" t="s">
        <v>3634</v>
      </c>
      <c r="B1271" s="75" t="s">
        <v>3635</v>
      </c>
      <c r="C1271" s="75" t="s">
        <v>3636</v>
      </c>
      <c r="D1271" s="75" t="s">
        <v>13</v>
      </c>
      <c r="E1271" s="75" t="s">
        <v>13</v>
      </c>
      <c r="F1271" s="75" t="s">
        <v>13</v>
      </c>
    </row>
    <row r="1272" spans="1:6" x14ac:dyDescent="0.3">
      <c r="A1272" s="75" t="s">
        <v>3637</v>
      </c>
      <c r="B1272" s="75" t="s">
        <v>3638</v>
      </c>
      <c r="C1272" s="75" t="s">
        <v>13</v>
      </c>
      <c r="D1272" s="75" t="s">
        <v>13</v>
      </c>
      <c r="E1272" s="75" t="s">
        <v>13</v>
      </c>
      <c r="F1272" s="75" t="s">
        <v>13</v>
      </c>
    </row>
    <row r="1273" spans="1:6" x14ac:dyDescent="0.3">
      <c r="A1273" s="75" t="s">
        <v>3639</v>
      </c>
      <c r="B1273" s="75" t="s">
        <v>3640</v>
      </c>
      <c r="C1273" s="75" t="s">
        <v>13</v>
      </c>
      <c r="D1273" s="75" t="s">
        <v>13</v>
      </c>
      <c r="E1273" s="75" t="s">
        <v>13</v>
      </c>
      <c r="F1273" s="75" t="s">
        <v>13</v>
      </c>
    </row>
    <row r="1274" spans="1:6" x14ac:dyDescent="0.3">
      <c r="A1274" s="75" t="s">
        <v>3641</v>
      </c>
      <c r="B1274" s="75" t="s">
        <v>3642</v>
      </c>
      <c r="C1274" s="75" t="s">
        <v>3643</v>
      </c>
      <c r="D1274" s="75" t="s">
        <v>13</v>
      </c>
      <c r="E1274" s="75" t="s">
        <v>13</v>
      </c>
      <c r="F1274" s="75" t="s">
        <v>13</v>
      </c>
    </row>
    <row r="1275" spans="1:6" x14ac:dyDescent="0.3">
      <c r="A1275" s="75" t="s">
        <v>3644</v>
      </c>
      <c r="B1275" s="75" t="s">
        <v>3645</v>
      </c>
      <c r="C1275" s="75" t="s">
        <v>13</v>
      </c>
      <c r="D1275" s="75" t="s">
        <v>13</v>
      </c>
      <c r="E1275" s="75" t="s">
        <v>13</v>
      </c>
      <c r="F1275" s="75" t="s">
        <v>13</v>
      </c>
    </row>
    <row r="1276" spans="1:6" x14ac:dyDescent="0.3">
      <c r="A1276" s="75" t="s">
        <v>3646</v>
      </c>
      <c r="B1276" s="75" t="s">
        <v>3647</v>
      </c>
      <c r="C1276" s="75" t="s">
        <v>3648</v>
      </c>
      <c r="D1276" s="75" t="s">
        <v>13</v>
      </c>
      <c r="E1276" s="75" t="s">
        <v>13</v>
      </c>
      <c r="F1276" s="75" t="s">
        <v>13</v>
      </c>
    </row>
    <row r="1277" spans="1:6" x14ac:dyDescent="0.3">
      <c r="A1277" s="75" t="s">
        <v>3649</v>
      </c>
      <c r="B1277" s="75" t="s">
        <v>3650</v>
      </c>
      <c r="C1277" s="75" t="s">
        <v>3651</v>
      </c>
      <c r="D1277" s="75" t="s">
        <v>13</v>
      </c>
      <c r="E1277" s="75" t="s">
        <v>13</v>
      </c>
      <c r="F1277" s="75" t="s">
        <v>13</v>
      </c>
    </row>
    <row r="1278" spans="1:6" x14ac:dyDescent="0.3">
      <c r="A1278" s="75" t="s">
        <v>3652</v>
      </c>
      <c r="B1278" s="75" t="s">
        <v>3653</v>
      </c>
      <c r="C1278" s="75" t="s">
        <v>3654</v>
      </c>
      <c r="D1278" s="75" t="s">
        <v>13</v>
      </c>
      <c r="E1278" s="75" t="s">
        <v>283</v>
      </c>
      <c r="F1278" s="75" t="s">
        <v>1449</v>
      </c>
    </row>
    <row r="1279" spans="1:6" x14ac:dyDescent="0.3">
      <c r="A1279" s="75" t="s">
        <v>3655</v>
      </c>
      <c r="B1279" s="75" t="s">
        <v>3656</v>
      </c>
      <c r="C1279" s="75" t="s">
        <v>3657</v>
      </c>
      <c r="D1279" s="75">
        <v>2007</v>
      </c>
      <c r="E1279" s="75" t="s">
        <v>31</v>
      </c>
      <c r="F1279" s="75" t="s">
        <v>161</v>
      </c>
    </row>
    <row r="1280" spans="1:6" x14ac:dyDescent="0.3">
      <c r="A1280" s="75" t="s">
        <v>3658</v>
      </c>
      <c r="B1280" s="75" t="s">
        <v>3659</v>
      </c>
      <c r="C1280" s="75" t="s">
        <v>3660</v>
      </c>
      <c r="D1280" s="75">
        <v>2014</v>
      </c>
      <c r="E1280" s="75" t="s">
        <v>70</v>
      </c>
      <c r="F1280" s="75" t="s">
        <v>71</v>
      </c>
    </row>
    <row r="1281" spans="1:6" x14ac:dyDescent="0.3">
      <c r="A1281" s="75" t="s">
        <v>3661</v>
      </c>
      <c r="B1281" s="75" t="s">
        <v>3662</v>
      </c>
      <c r="C1281" s="75" t="s">
        <v>196</v>
      </c>
      <c r="D1281" s="75">
        <v>2013</v>
      </c>
      <c r="E1281" s="75" t="s">
        <v>18</v>
      </c>
      <c r="F1281" s="75" t="s">
        <v>49</v>
      </c>
    </row>
    <row r="1282" spans="1:6" x14ac:dyDescent="0.3">
      <c r="A1282" s="75" t="s">
        <v>3663</v>
      </c>
      <c r="B1282" s="75" t="s">
        <v>3664</v>
      </c>
      <c r="C1282" s="75" t="s">
        <v>2504</v>
      </c>
      <c r="D1282" s="75" t="s">
        <v>13</v>
      </c>
      <c r="E1282" s="75" t="s">
        <v>18</v>
      </c>
      <c r="F1282" s="75" t="s">
        <v>1449</v>
      </c>
    </row>
    <row r="1283" spans="1:6" x14ac:dyDescent="0.3">
      <c r="A1283" s="75" t="s">
        <v>3665</v>
      </c>
      <c r="B1283" s="75" t="s">
        <v>3666</v>
      </c>
      <c r="C1283" s="75" t="s">
        <v>2811</v>
      </c>
      <c r="D1283" s="75">
        <v>2011</v>
      </c>
      <c r="E1283" s="75" t="s">
        <v>18</v>
      </c>
      <c r="F1283" s="75" t="s">
        <v>1449</v>
      </c>
    </row>
    <row r="1284" spans="1:6" x14ac:dyDescent="0.3">
      <c r="A1284" s="75" t="s">
        <v>3667</v>
      </c>
      <c r="B1284" s="75" t="s">
        <v>3668</v>
      </c>
      <c r="C1284" s="75" t="s">
        <v>3669</v>
      </c>
      <c r="D1284" s="75" t="s">
        <v>13</v>
      </c>
      <c r="E1284" s="75" t="s">
        <v>18</v>
      </c>
      <c r="F1284" s="75" t="s">
        <v>379</v>
      </c>
    </row>
    <row r="1285" spans="1:6" x14ac:dyDescent="0.3">
      <c r="A1285" s="75" t="s">
        <v>3670</v>
      </c>
      <c r="B1285" s="75" t="s">
        <v>3671</v>
      </c>
      <c r="C1285" s="75" t="s">
        <v>66</v>
      </c>
      <c r="D1285" s="75" t="s">
        <v>13</v>
      </c>
      <c r="E1285" s="75" t="s">
        <v>18</v>
      </c>
      <c r="F1285" s="75" t="s">
        <v>1449</v>
      </c>
    </row>
    <row r="1286" spans="1:6" x14ac:dyDescent="0.3">
      <c r="A1286" s="75" t="s">
        <v>3672</v>
      </c>
      <c r="B1286" s="75" t="s">
        <v>3673</v>
      </c>
      <c r="C1286" s="75" t="s">
        <v>2645</v>
      </c>
      <c r="D1286" s="75">
        <v>2010</v>
      </c>
      <c r="E1286" s="75" t="s">
        <v>13</v>
      </c>
      <c r="F1286" s="75" t="s">
        <v>13</v>
      </c>
    </row>
    <row r="1287" spans="1:6" x14ac:dyDescent="0.3">
      <c r="A1287" s="75" t="s">
        <v>3674</v>
      </c>
      <c r="B1287" s="75" t="s">
        <v>3675</v>
      </c>
      <c r="C1287" s="75" t="s">
        <v>3676</v>
      </c>
      <c r="D1287" s="75" t="s">
        <v>13</v>
      </c>
      <c r="E1287" s="75" t="s">
        <v>18</v>
      </c>
      <c r="F1287" s="75" t="s">
        <v>729</v>
      </c>
    </row>
    <row r="1288" spans="1:6" x14ac:dyDescent="0.3">
      <c r="A1288" s="75" t="s">
        <v>3677</v>
      </c>
      <c r="B1288" s="75" t="s">
        <v>3678</v>
      </c>
      <c r="C1288" s="75" t="s">
        <v>1615</v>
      </c>
      <c r="D1288" s="75">
        <v>2014</v>
      </c>
      <c r="E1288" s="75" t="s">
        <v>96</v>
      </c>
      <c r="F1288" s="75" t="s">
        <v>63</v>
      </c>
    </row>
    <row r="1289" spans="1:6" x14ac:dyDescent="0.3">
      <c r="A1289" s="75" t="s">
        <v>3679</v>
      </c>
      <c r="B1289" s="75" t="s">
        <v>3680</v>
      </c>
      <c r="C1289" s="75" t="s">
        <v>3681</v>
      </c>
      <c r="D1289" s="75">
        <v>2017</v>
      </c>
      <c r="E1289" s="75" t="s">
        <v>8</v>
      </c>
      <c r="F1289" s="75" t="s">
        <v>76</v>
      </c>
    </row>
    <row r="1290" spans="1:6" x14ac:dyDescent="0.3">
      <c r="A1290" s="75" t="s">
        <v>3682</v>
      </c>
      <c r="B1290" s="75" t="s">
        <v>3680</v>
      </c>
      <c r="C1290" s="75" t="s">
        <v>13</v>
      </c>
      <c r="D1290" s="75">
        <v>2017</v>
      </c>
      <c r="E1290" s="75" t="s">
        <v>8</v>
      </c>
      <c r="F1290" s="75" t="s">
        <v>76</v>
      </c>
    </row>
    <row r="1291" spans="1:6" x14ac:dyDescent="0.3">
      <c r="A1291" s="75" t="s">
        <v>3683</v>
      </c>
      <c r="B1291" s="75" t="s">
        <v>3680</v>
      </c>
      <c r="C1291" s="75" t="s">
        <v>13</v>
      </c>
      <c r="D1291" s="75">
        <v>2017</v>
      </c>
      <c r="E1291" s="75" t="s">
        <v>8</v>
      </c>
      <c r="F1291" s="75" t="s">
        <v>76</v>
      </c>
    </row>
    <row r="1292" spans="1:6" x14ac:dyDescent="0.3">
      <c r="A1292" s="75" t="s">
        <v>3684</v>
      </c>
      <c r="B1292" s="75" t="s">
        <v>3685</v>
      </c>
      <c r="C1292" s="75" t="s">
        <v>1243</v>
      </c>
      <c r="D1292" s="75">
        <v>2009</v>
      </c>
      <c r="E1292" s="75" t="s">
        <v>8</v>
      </c>
      <c r="F1292" s="75" t="s">
        <v>1261</v>
      </c>
    </row>
    <row r="1293" spans="1:6" x14ac:dyDescent="0.3">
      <c r="A1293" s="75" t="s">
        <v>3686</v>
      </c>
      <c r="B1293" s="75" t="s">
        <v>3685</v>
      </c>
      <c r="C1293" s="75" t="s">
        <v>13</v>
      </c>
      <c r="D1293" s="75" t="s">
        <v>13</v>
      </c>
      <c r="E1293" s="75" t="s">
        <v>8</v>
      </c>
      <c r="F1293" s="75" t="s">
        <v>1261</v>
      </c>
    </row>
    <row r="1294" spans="1:6" x14ac:dyDescent="0.3">
      <c r="A1294" s="75" t="s">
        <v>3687</v>
      </c>
      <c r="B1294" s="75" t="s">
        <v>3688</v>
      </c>
      <c r="C1294" s="75" t="s">
        <v>3689</v>
      </c>
      <c r="D1294" s="75">
        <v>2015</v>
      </c>
      <c r="E1294" s="75" t="s">
        <v>518</v>
      </c>
      <c r="F1294" s="75" t="s">
        <v>630</v>
      </c>
    </row>
    <row r="1295" spans="1:6" x14ac:dyDescent="0.3">
      <c r="A1295" s="75" t="s">
        <v>3690</v>
      </c>
      <c r="B1295" s="75" t="s">
        <v>3688</v>
      </c>
      <c r="C1295" s="75" t="s">
        <v>13</v>
      </c>
      <c r="D1295" s="75">
        <v>2015</v>
      </c>
      <c r="E1295" s="75" t="s">
        <v>518</v>
      </c>
      <c r="F1295" s="75" t="s">
        <v>630</v>
      </c>
    </row>
    <row r="1296" spans="1:6" x14ac:dyDescent="0.3">
      <c r="A1296" s="75" t="s">
        <v>3691</v>
      </c>
      <c r="B1296" s="75" t="s">
        <v>3688</v>
      </c>
      <c r="C1296" s="75" t="s">
        <v>13</v>
      </c>
      <c r="D1296" s="75">
        <v>2015</v>
      </c>
      <c r="E1296" s="75" t="s">
        <v>518</v>
      </c>
      <c r="F1296" s="75" t="s">
        <v>630</v>
      </c>
    </row>
    <row r="1297" spans="1:6" x14ac:dyDescent="0.3">
      <c r="A1297" s="75" t="s">
        <v>3692</v>
      </c>
      <c r="B1297" s="75" t="s">
        <v>3693</v>
      </c>
      <c r="C1297" s="75" t="s">
        <v>3694</v>
      </c>
      <c r="D1297" s="75">
        <v>2008</v>
      </c>
      <c r="E1297" s="75" t="s">
        <v>18</v>
      </c>
      <c r="F1297" s="75" t="s">
        <v>434</v>
      </c>
    </row>
    <row r="1298" spans="1:6" x14ac:dyDescent="0.3">
      <c r="A1298" s="75" t="s">
        <v>3695</v>
      </c>
      <c r="B1298" s="75" t="s">
        <v>3696</v>
      </c>
      <c r="C1298" s="75" t="s">
        <v>3697</v>
      </c>
      <c r="D1298" s="75">
        <v>2005</v>
      </c>
      <c r="E1298" s="75" t="s">
        <v>96</v>
      </c>
      <c r="F1298" s="75" t="s">
        <v>76</v>
      </c>
    </row>
    <row r="1299" spans="1:6" x14ac:dyDescent="0.3">
      <c r="A1299" s="75" t="s">
        <v>3698</v>
      </c>
      <c r="B1299" s="75" t="s">
        <v>3699</v>
      </c>
      <c r="C1299" s="75" t="s">
        <v>13</v>
      </c>
      <c r="D1299" s="75" t="s">
        <v>13</v>
      </c>
      <c r="E1299" s="75" t="s">
        <v>13</v>
      </c>
      <c r="F1299" s="75" t="s">
        <v>13</v>
      </c>
    </row>
    <row r="1300" spans="1:6" x14ac:dyDescent="0.3">
      <c r="A1300" s="75" t="s">
        <v>3700</v>
      </c>
      <c r="B1300" s="75" t="s">
        <v>3699</v>
      </c>
      <c r="C1300" s="75" t="s">
        <v>3701</v>
      </c>
      <c r="D1300" s="75" t="s">
        <v>13</v>
      </c>
      <c r="E1300" s="75" t="s">
        <v>13</v>
      </c>
      <c r="F1300" s="75" t="s">
        <v>13</v>
      </c>
    </row>
    <row r="1301" spans="1:6" x14ac:dyDescent="0.3">
      <c r="A1301" s="75" t="s">
        <v>3702</v>
      </c>
      <c r="B1301" s="75" t="s">
        <v>3703</v>
      </c>
      <c r="C1301" s="75" t="s">
        <v>3704</v>
      </c>
      <c r="D1301" s="75" t="s">
        <v>13</v>
      </c>
      <c r="E1301" s="75" t="s">
        <v>31</v>
      </c>
      <c r="F1301" s="75" t="s">
        <v>36</v>
      </c>
    </row>
    <row r="1302" spans="1:6" x14ac:dyDescent="0.3">
      <c r="A1302" s="75" t="s">
        <v>3705</v>
      </c>
      <c r="B1302" s="75" t="s">
        <v>3706</v>
      </c>
      <c r="C1302" s="75" t="s">
        <v>3707</v>
      </c>
      <c r="D1302" s="75" t="s">
        <v>13</v>
      </c>
      <c r="E1302" s="75" t="s">
        <v>58</v>
      </c>
      <c r="F1302" s="75" t="s">
        <v>794</v>
      </c>
    </row>
    <row r="1303" spans="1:6" x14ac:dyDescent="0.3">
      <c r="A1303" s="75" t="s">
        <v>3708</v>
      </c>
      <c r="B1303" s="75" t="s">
        <v>3709</v>
      </c>
      <c r="C1303" s="75" t="s">
        <v>3710</v>
      </c>
      <c r="D1303" s="75">
        <v>1989</v>
      </c>
      <c r="E1303" s="75" t="s">
        <v>8</v>
      </c>
      <c r="F1303" s="75" t="s">
        <v>27</v>
      </c>
    </row>
    <row r="1304" spans="1:6" x14ac:dyDescent="0.3">
      <c r="A1304" s="75" t="s">
        <v>3711</v>
      </c>
      <c r="B1304" s="75" t="s">
        <v>3712</v>
      </c>
      <c r="C1304" s="75" t="s">
        <v>3713</v>
      </c>
      <c r="D1304" s="75">
        <v>2014</v>
      </c>
      <c r="E1304" s="75" t="s">
        <v>8</v>
      </c>
      <c r="F1304" s="75" t="s">
        <v>27</v>
      </c>
    </row>
    <row r="1305" spans="1:6" x14ac:dyDescent="0.3">
      <c r="A1305" s="75" t="s">
        <v>3714</v>
      </c>
      <c r="B1305" s="75" t="s">
        <v>3715</v>
      </c>
      <c r="C1305" s="75" t="s">
        <v>3716</v>
      </c>
      <c r="D1305" s="75" t="s">
        <v>13</v>
      </c>
      <c r="E1305" s="75" t="s">
        <v>53</v>
      </c>
      <c r="F1305" s="75" t="s">
        <v>54</v>
      </c>
    </row>
    <row r="1306" spans="1:6" x14ac:dyDescent="0.3">
      <c r="A1306" s="75" t="s">
        <v>3717</v>
      </c>
      <c r="B1306" s="75" t="s">
        <v>3718</v>
      </c>
      <c r="C1306" s="75" t="s">
        <v>3719</v>
      </c>
      <c r="D1306" s="75">
        <v>2015</v>
      </c>
      <c r="E1306" s="75" t="s">
        <v>58</v>
      </c>
      <c r="F1306" s="75" t="s">
        <v>59</v>
      </c>
    </row>
    <row r="1307" spans="1:6" x14ac:dyDescent="0.3">
      <c r="A1307" s="75" t="s">
        <v>3720</v>
      </c>
      <c r="B1307" s="75" t="s">
        <v>3721</v>
      </c>
      <c r="C1307" s="75" t="s">
        <v>3722</v>
      </c>
      <c r="D1307" s="75" t="s">
        <v>13</v>
      </c>
      <c r="E1307" s="75" t="s">
        <v>58</v>
      </c>
      <c r="F1307" s="75" t="s">
        <v>59</v>
      </c>
    </row>
    <row r="1308" spans="1:6" x14ac:dyDescent="0.3">
      <c r="A1308" s="75" t="s">
        <v>3723</v>
      </c>
      <c r="B1308" s="75" t="s">
        <v>3724</v>
      </c>
      <c r="C1308" s="75" t="s">
        <v>3725</v>
      </c>
      <c r="D1308" s="75" t="s">
        <v>13</v>
      </c>
      <c r="E1308" s="75" t="s">
        <v>8</v>
      </c>
      <c r="F1308" s="75" t="s">
        <v>579</v>
      </c>
    </row>
    <row r="1309" spans="1:6" x14ac:dyDescent="0.3">
      <c r="A1309" s="75" t="s">
        <v>3726</v>
      </c>
      <c r="B1309" s="75" t="s">
        <v>3727</v>
      </c>
      <c r="C1309" s="75" t="s">
        <v>3728</v>
      </c>
      <c r="D1309" s="75">
        <v>2007</v>
      </c>
      <c r="E1309" s="75" t="s">
        <v>8</v>
      </c>
      <c r="F1309" s="75" t="s">
        <v>9</v>
      </c>
    </row>
    <row r="1310" spans="1:6" x14ac:dyDescent="0.3">
      <c r="A1310" s="75" t="s">
        <v>3729</v>
      </c>
      <c r="B1310" s="75" t="s">
        <v>3730</v>
      </c>
      <c r="C1310" s="75" t="s">
        <v>3731</v>
      </c>
      <c r="D1310" s="75">
        <v>2016</v>
      </c>
      <c r="E1310" s="75" t="s">
        <v>31</v>
      </c>
      <c r="F1310" s="75" t="s">
        <v>36</v>
      </c>
    </row>
    <row r="1311" spans="1:6" x14ac:dyDescent="0.3">
      <c r="A1311" s="75" t="s">
        <v>3732</v>
      </c>
      <c r="B1311" s="75" t="s">
        <v>3733</v>
      </c>
      <c r="C1311" s="75" t="s">
        <v>3734</v>
      </c>
      <c r="D1311" s="75" t="s">
        <v>13</v>
      </c>
      <c r="E1311" s="75" t="s">
        <v>8</v>
      </c>
      <c r="F1311" s="75" t="s">
        <v>1261</v>
      </c>
    </row>
    <row r="1312" spans="1:6" x14ac:dyDescent="0.3">
      <c r="A1312" s="75" t="s">
        <v>3735</v>
      </c>
      <c r="B1312" s="75" t="s">
        <v>3736</v>
      </c>
      <c r="C1312" s="75" t="s">
        <v>3737</v>
      </c>
      <c r="D1312" s="75" t="s">
        <v>13</v>
      </c>
      <c r="E1312" s="75" t="s">
        <v>70</v>
      </c>
      <c r="F1312" s="75" t="s">
        <v>71</v>
      </c>
    </row>
    <row r="1313" spans="1:6" x14ac:dyDescent="0.3">
      <c r="A1313" s="75" t="s">
        <v>3738</v>
      </c>
      <c r="B1313" s="75" t="s">
        <v>3739</v>
      </c>
      <c r="C1313" s="75" t="s">
        <v>1920</v>
      </c>
      <c r="D1313" s="75">
        <v>2011</v>
      </c>
      <c r="E1313" s="75" t="s">
        <v>31</v>
      </c>
      <c r="F1313" s="75" t="s">
        <v>295</v>
      </c>
    </row>
    <row r="1314" spans="1:6" x14ac:dyDescent="0.3">
      <c r="A1314" s="75" t="s">
        <v>3740</v>
      </c>
      <c r="B1314" s="75" t="s">
        <v>3741</v>
      </c>
      <c r="C1314" s="75" t="s">
        <v>1991</v>
      </c>
      <c r="D1314" s="75">
        <v>2006</v>
      </c>
      <c r="E1314" s="75" t="s">
        <v>283</v>
      </c>
      <c r="F1314" s="75" t="s">
        <v>238</v>
      </c>
    </row>
    <row r="1315" spans="1:6" x14ac:dyDescent="0.3">
      <c r="A1315" s="75" t="s">
        <v>3742</v>
      </c>
      <c r="B1315" s="75" t="s">
        <v>3743</v>
      </c>
      <c r="C1315" s="75" t="s">
        <v>3744</v>
      </c>
      <c r="D1315" s="75" t="s">
        <v>13</v>
      </c>
      <c r="E1315" s="75" t="s">
        <v>8</v>
      </c>
      <c r="F1315" s="75" t="s">
        <v>998</v>
      </c>
    </row>
    <row r="1316" spans="1:6" x14ac:dyDescent="0.3">
      <c r="A1316" s="75" t="s">
        <v>3745</v>
      </c>
      <c r="B1316" s="75" t="s">
        <v>3746</v>
      </c>
      <c r="C1316" s="75" t="s">
        <v>3747</v>
      </c>
      <c r="D1316" s="75">
        <v>2007</v>
      </c>
      <c r="E1316" s="75" t="s">
        <v>31</v>
      </c>
      <c r="F1316" s="75" t="s">
        <v>92</v>
      </c>
    </row>
    <row r="1317" spans="1:6" x14ac:dyDescent="0.3">
      <c r="A1317" s="75" t="s">
        <v>3748</v>
      </c>
      <c r="B1317" s="75" t="s">
        <v>3749</v>
      </c>
      <c r="C1317" s="75" t="s">
        <v>3750</v>
      </c>
      <c r="D1317" s="75">
        <v>2011</v>
      </c>
      <c r="E1317" s="75" t="s">
        <v>13</v>
      </c>
      <c r="F1317" s="75" t="s">
        <v>13</v>
      </c>
    </row>
    <row r="1318" spans="1:6" x14ac:dyDescent="0.3">
      <c r="A1318" s="75" t="s">
        <v>3751</v>
      </c>
      <c r="B1318" s="75" t="s">
        <v>3752</v>
      </c>
      <c r="C1318" s="75" t="s">
        <v>3753</v>
      </c>
      <c r="D1318" s="75">
        <v>2004</v>
      </c>
      <c r="E1318" s="75" t="s">
        <v>70</v>
      </c>
      <c r="F1318" s="75" t="s">
        <v>71</v>
      </c>
    </row>
    <row r="1319" spans="1:6" x14ac:dyDescent="0.3">
      <c r="A1319" s="75" t="s">
        <v>3754</v>
      </c>
      <c r="B1319" s="75" t="s">
        <v>3755</v>
      </c>
      <c r="C1319" s="75" t="s">
        <v>3756</v>
      </c>
      <c r="D1319" s="75">
        <v>2016</v>
      </c>
      <c r="E1319" s="75" t="s">
        <v>8</v>
      </c>
      <c r="F1319" s="75" t="s">
        <v>76</v>
      </c>
    </row>
    <row r="1320" spans="1:6" x14ac:dyDescent="0.3">
      <c r="A1320" s="75" t="s">
        <v>3757</v>
      </c>
      <c r="B1320" s="75" t="s">
        <v>3755</v>
      </c>
      <c r="C1320" s="75" t="s">
        <v>13</v>
      </c>
      <c r="D1320" s="75">
        <v>2016</v>
      </c>
      <c r="E1320" s="75" t="s">
        <v>8</v>
      </c>
      <c r="F1320" s="75" t="s">
        <v>76</v>
      </c>
    </row>
    <row r="1321" spans="1:6" x14ac:dyDescent="0.3">
      <c r="A1321" s="75" t="s">
        <v>3758</v>
      </c>
      <c r="B1321" s="75" t="s">
        <v>3755</v>
      </c>
      <c r="C1321" s="75" t="s">
        <v>13</v>
      </c>
      <c r="D1321" s="75">
        <v>2016</v>
      </c>
      <c r="E1321" s="75" t="s">
        <v>8</v>
      </c>
      <c r="F1321" s="75" t="s">
        <v>76</v>
      </c>
    </row>
    <row r="1322" spans="1:6" x14ac:dyDescent="0.3">
      <c r="A1322" s="75" t="s">
        <v>3759</v>
      </c>
      <c r="B1322" s="75" t="s">
        <v>3760</v>
      </c>
      <c r="C1322" s="75" t="s">
        <v>3761</v>
      </c>
      <c r="D1322" s="75" t="s">
        <v>13</v>
      </c>
      <c r="E1322" s="75" t="s">
        <v>8</v>
      </c>
      <c r="F1322" s="75" t="s">
        <v>27</v>
      </c>
    </row>
    <row r="1323" spans="1:6" x14ac:dyDescent="0.3">
      <c r="A1323" s="75" t="s">
        <v>3762</v>
      </c>
      <c r="B1323" s="75" t="s">
        <v>3763</v>
      </c>
      <c r="C1323" s="75" t="s">
        <v>3764</v>
      </c>
      <c r="D1323" s="75">
        <v>2017</v>
      </c>
      <c r="E1323" s="75" t="s">
        <v>8</v>
      </c>
      <c r="F1323" s="75" t="s">
        <v>27</v>
      </c>
    </row>
    <row r="1324" spans="1:6" x14ac:dyDescent="0.3">
      <c r="A1324" s="75" t="s">
        <v>3765</v>
      </c>
      <c r="B1324" s="75" t="s">
        <v>3766</v>
      </c>
      <c r="C1324" s="75" t="s">
        <v>3767</v>
      </c>
      <c r="D1324" s="75" t="s">
        <v>13</v>
      </c>
      <c r="E1324" s="75" t="s">
        <v>8</v>
      </c>
      <c r="F1324" s="75" t="s">
        <v>27</v>
      </c>
    </row>
    <row r="1325" spans="1:6" x14ac:dyDescent="0.3">
      <c r="A1325" s="75" t="s">
        <v>3768</v>
      </c>
      <c r="B1325" s="75" t="s">
        <v>3769</v>
      </c>
      <c r="C1325" s="75" t="s">
        <v>3770</v>
      </c>
      <c r="D1325" s="75">
        <v>2006</v>
      </c>
      <c r="E1325" s="75" t="s">
        <v>31</v>
      </c>
      <c r="F1325" s="75" t="s">
        <v>36</v>
      </c>
    </row>
    <row r="1326" spans="1:6" x14ac:dyDescent="0.3">
      <c r="A1326" s="75" t="s">
        <v>3771</v>
      </c>
      <c r="B1326" s="75" t="s">
        <v>3772</v>
      </c>
      <c r="C1326" s="75" t="s">
        <v>3773</v>
      </c>
      <c r="D1326" s="75">
        <v>1997</v>
      </c>
      <c r="E1326" s="75" t="s">
        <v>53</v>
      </c>
      <c r="F1326" s="75" t="s">
        <v>519</v>
      </c>
    </row>
    <row r="1327" spans="1:6" x14ac:dyDescent="0.3">
      <c r="A1327" s="75" t="s">
        <v>3774</v>
      </c>
      <c r="B1327" s="75" t="s">
        <v>3775</v>
      </c>
      <c r="C1327" s="75" t="s">
        <v>3776</v>
      </c>
      <c r="D1327" s="75" t="s">
        <v>13</v>
      </c>
      <c r="E1327" s="75" t="s">
        <v>58</v>
      </c>
      <c r="F1327" s="75" t="s">
        <v>59</v>
      </c>
    </row>
    <row r="1328" spans="1:6" x14ac:dyDescent="0.3">
      <c r="A1328" s="75" t="s">
        <v>3777</v>
      </c>
      <c r="B1328" s="75" t="s">
        <v>3778</v>
      </c>
      <c r="C1328" s="75" t="s">
        <v>3206</v>
      </c>
      <c r="D1328" s="75" t="s">
        <v>13</v>
      </c>
      <c r="E1328" s="75" t="s">
        <v>84</v>
      </c>
      <c r="F1328" s="75" t="s">
        <v>85</v>
      </c>
    </row>
    <row r="1329" spans="1:6" x14ac:dyDescent="0.3">
      <c r="A1329" s="75" t="s">
        <v>3779</v>
      </c>
      <c r="B1329" s="75" t="s">
        <v>3780</v>
      </c>
      <c r="C1329" s="75" t="s">
        <v>3781</v>
      </c>
      <c r="D1329" s="75">
        <v>2013</v>
      </c>
      <c r="E1329" s="75" t="s">
        <v>70</v>
      </c>
      <c r="F1329" s="75" t="s">
        <v>71</v>
      </c>
    </row>
    <row r="1330" spans="1:6" x14ac:dyDescent="0.3">
      <c r="A1330" s="75" t="s">
        <v>3782</v>
      </c>
      <c r="B1330" s="75" t="s">
        <v>3783</v>
      </c>
      <c r="C1330" s="75" t="s">
        <v>3784</v>
      </c>
      <c r="D1330" s="75">
        <v>2014</v>
      </c>
      <c r="E1330" s="75" t="s">
        <v>8</v>
      </c>
      <c r="F1330" s="75" t="s">
        <v>497</v>
      </c>
    </row>
    <row r="1331" spans="1:6" x14ac:dyDescent="0.3">
      <c r="A1331" s="75" t="s">
        <v>3785</v>
      </c>
      <c r="B1331" s="75" t="s">
        <v>3786</v>
      </c>
      <c r="C1331" s="75" t="s">
        <v>3787</v>
      </c>
      <c r="D1331" s="75" t="s">
        <v>13</v>
      </c>
      <c r="E1331" s="75" t="s">
        <v>18</v>
      </c>
      <c r="F1331" s="75" t="s">
        <v>2588</v>
      </c>
    </row>
    <row r="1332" spans="1:6" x14ac:dyDescent="0.3">
      <c r="A1332" s="75" t="s">
        <v>3788</v>
      </c>
      <c r="B1332" s="75" t="s">
        <v>3789</v>
      </c>
      <c r="C1332" s="75" t="s">
        <v>3790</v>
      </c>
      <c r="D1332" s="75">
        <v>2006</v>
      </c>
      <c r="E1332" s="75" t="s">
        <v>13</v>
      </c>
      <c r="F1332" s="75" t="s">
        <v>13</v>
      </c>
    </row>
    <row r="1333" spans="1:6" x14ac:dyDescent="0.3">
      <c r="A1333" s="75" t="s">
        <v>3791</v>
      </c>
      <c r="B1333" s="75" t="s">
        <v>3792</v>
      </c>
      <c r="C1333" s="75" t="s">
        <v>3793</v>
      </c>
      <c r="D1333" s="75">
        <v>2015</v>
      </c>
      <c r="E1333" s="75" t="s">
        <v>18</v>
      </c>
      <c r="F1333" s="75" t="s">
        <v>434</v>
      </c>
    </row>
    <row r="1334" spans="1:6" x14ac:dyDescent="0.3">
      <c r="A1334" s="75" t="s">
        <v>3794</v>
      </c>
      <c r="B1334" s="75" t="s">
        <v>3795</v>
      </c>
      <c r="C1334" s="75" t="s">
        <v>3796</v>
      </c>
      <c r="D1334" s="75" t="s">
        <v>13</v>
      </c>
      <c r="E1334" s="75" t="s">
        <v>84</v>
      </c>
      <c r="F1334" s="75" t="s">
        <v>375</v>
      </c>
    </row>
    <row r="1335" spans="1:6" x14ac:dyDescent="0.3">
      <c r="A1335" s="75" t="s">
        <v>3797</v>
      </c>
      <c r="B1335" s="75" t="s">
        <v>3798</v>
      </c>
      <c r="C1335" s="75" t="s">
        <v>3799</v>
      </c>
      <c r="D1335" s="75" t="s">
        <v>13</v>
      </c>
      <c r="E1335" s="75" t="s">
        <v>8</v>
      </c>
      <c r="F1335" s="75" t="s">
        <v>9</v>
      </c>
    </row>
    <row r="1336" spans="1:6" x14ac:dyDescent="0.3">
      <c r="A1336" s="75" t="s">
        <v>3800</v>
      </c>
      <c r="B1336" s="75" t="s">
        <v>3801</v>
      </c>
      <c r="C1336" s="75" t="s">
        <v>62</v>
      </c>
      <c r="D1336" s="75" t="s">
        <v>13</v>
      </c>
      <c r="E1336" s="75" t="s">
        <v>70</v>
      </c>
      <c r="F1336" s="75" t="s">
        <v>118</v>
      </c>
    </row>
    <row r="1337" spans="1:6" x14ac:dyDescent="0.3">
      <c r="A1337" s="75" t="s">
        <v>3802</v>
      </c>
      <c r="B1337" s="75" t="s">
        <v>3803</v>
      </c>
      <c r="C1337" s="75" t="s">
        <v>3804</v>
      </c>
      <c r="D1337" s="75">
        <v>2012</v>
      </c>
      <c r="E1337" s="75" t="s">
        <v>8</v>
      </c>
      <c r="F1337" s="75" t="s">
        <v>23</v>
      </c>
    </row>
    <row r="1338" spans="1:6" x14ac:dyDescent="0.3">
      <c r="A1338" s="75" t="s">
        <v>3805</v>
      </c>
      <c r="B1338" s="75" t="s">
        <v>3806</v>
      </c>
      <c r="C1338" s="75" t="s">
        <v>66</v>
      </c>
      <c r="D1338" s="75">
        <v>2017</v>
      </c>
      <c r="E1338" s="75" t="s">
        <v>8</v>
      </c>
      <c r="F1338" s="75" t="s">
        <v>2382</v>
      </c>
    </row>
    <row r="1339" spans="1:6" x14ac:dyDescent="0.3">
      <c r="A1339" s="75" t="s">
        <v>3807</v>
      </c>
      <c r="B1339" s="75" t="s">
        <v>3808</v>
      </c>
      <c r="C1339" s="75" t="s">
        <v>3809</v>
      </c>
      <c r="D1339" s="75" t="s">
        <v>13</v>
      </c>
      <c r="E1339" s="75" t="s">
        <v>8</v>
      </c>
      <c r="F1339" s="75" t="s">
        <v>27</v>
      </c>
    </row>
    <row r="1340" spans="1:6" x14ac:dyDescent="0.3">
      <c r="A1340" s="75" t="s">
        <v>3810</v>
      </c>
      <c r="B1340" s="75" t="s">
        <v>3808</v>
      </c>
      <c r="C1340" s="75" t="s">
        <v>13</v>
      </c>
      <c r="D1340" s="75" t="s">
        <v>13</v>
      </c>
      <c r="E1340" s="75" t="s">
        <v>8</v>
      </c>
      <c r="F1340" s="75" t="s">
        <v>27</v>
      </c>
    </row>
    <row r="1341" spans="1:6" x14ac:dyDescent="0.3">
      <c r="A1341" s="75" t="s">
        <v>3811</v>
      </c>
      <c r="B1341" s="75" t="s">
        <v>3812</v>
      </c>
      <c r="C1341" s="75" t="s">
        <v>3813</v>
      </c>
      <c r="D1341" s="75" t="s">
        <v>13</v>
      </c>
      <c r="E1341" s="75" t="s">
        <v>53</v>
      </c>
      <c r="F1341" s="75" t="s">
        <v>353</v>
      </c>
    </row>
    <row r="1342" spans="1:6" x14ac:dyDescent="0.3">
      <c r="A1342" s="75" t="s">
        <v>3814</v>
      </c>
      <c r="B1342" s="75" t="s">
        <v>3815</v>
      </c>
      <c r="C1342" s="75" t="s">
        <v>3816</v>
      </c>
      <c r="D1342" s="75" t="s">
        <v>13</v>
      </c>
      <c r="E1342" s="75" t="s">
        <v>8</v>
      </c>
      <c r="F1342" s="75" t="s">
        <v>27</v>
      </c>
    </row>
    <row r="1343" spans="1:6" x14ac:dyDescent="0.3">
      <c r="A1343" s="75" t="s">
        <v>3817</v>
      </c>
      <c r="B1343" s="75" t="s">
        <v>3818</v>
      </c>
      <c r="C1343" s="75" t="s">
        <v>3819</v>
      </c>
      <c r="D1343" s="75" t="s">
        <v>13</v>
      </c>
      <c r="E1343" s="75" t="s">
        <v>31</v>
      </c>
      <c r="F1343" s="75" t="s">
        <v>92</v>
      </c>
    </row>
    <row r="1344" spans="1:6" x14ac:dyDescent="0.3">
      <c r="A1344" s="75" t="s">
        <v>3820</v>
      </c>
      <c r="B1344" s="75" t="s">
        <v>3821</v>
      </c>
      <c r="C1344" s="75" t="s">
        <v>3822</v>
      </c>
      <c r="D1344" s="75">
        <v>2016</v>
      </c>
      <c r="E1344" s="75" t="s">
        <v>8</v>
      </c>
      <c r="F1344" s="75" t="s">
        <v>27</v>
      </c>
    </row>
    <row r="1345" spans="1:6" x14ac:dyDescent="0.3">
      <c r="A1345" s="75" t="s">
        <v>3823</v>
      </c>
      <c r="B1345" s="75" t="s">
        <v>3824</v>
      </c>
      <c r="C1345" s="75" t="s">
        <v>3825</v>
      </c>
      <c r="D1345" s="75">
        <v>1995</v>
      </c>
      <c r="E1345" s="75" t="s">
        <v>53</v>
      </c>
      <c r="F1345" s="75" t="s">
        <v>63</v>
      </c>
    </row>
    <row r="1346" spans="1:6" x14ac:dyDescent="0.3">
      <c r="A1346" s="75" t="s">
        <v>3826</v>
      </c>
      <c r="B1346" s="75" t="s">
        <v>3827</v>
      </c>
      <c r="C1346" s="75" t="s">
        <v>3828</v>
      </c>
      <c r="D1346" s="75">
        <v>1995</v>
      </c>
      <c r="E1346" s="75" t="s">
        <v>31</v>
      </c>
      <c r="F1346" s="75" t="s">
        <v>291</v>
      </c>
    </row>
    <row r="1347" spans="1:6" x14ac:dyDescent="0.3">
      <c r="A1347" s="75" t="s">
        <v>3829</v>
      </c>
      <c r="B1347" s="75" t="s">
        <v>3830</v>
      </c>
      <c r="C1347" s="75" t="s">
        <v>3831</v>
      </c>
      <c r="D1347" s="75">
        <v>2000</v>
      </c>
      <c r="E1347" s="75" t="s">
        <v>53</v>
      </c>
      <c r="F1347" s="75" t="s">
        <v>111</v>
      </c>
    </row>
    <row r="1348" spans="1:6" x14ac:dyDescent="0.3">
      <c r="A1348" s="75" t="s">
        <v>3832</v>
      </c>
      <c r="B1348" s="75" t="s">
        <v>3833</v>
      </c>
      <c r="C1348" s="75" t="s">
        <v>3834</v>
      </c>
      <c r="D1348" s="75" t="s">
        <v>13</v>
      </c>
      <c r="E1348" s="75" t="s">
        <v>13</v>
      </c>
      <c r="F1348" s="75" t="s">
        <v>13</v>
      </c>
    </row>
    <row r="1349" spans="1:6" x14ac:dyDescent="0.3">
      <c r="A1349" s="75" t="s">
        <v>3835</v>
      </c>
      <c r="B1349" s="75" t="s">
        <v>3833</v>
      </c>
      <c r="C1349" s="75" t="s">
        <v>13</v>
      </c>
      <c r="D1349" s="75" t="s">
        <v>13</v>
      </c>
      <c r="E1349" s="75" t="s">
        <v>13</v>
      </c>
      <c r="F1349" s="75" t="s">
        <v>13</v>
      </c>
    </row>
    <row r="1350" spans="1:6" x14ac:dyDescent="0.3">
      <c r="A1350" s="75" t="s">
        <v>3836</v>
      </c>
      <c r="B1350" s="75" t="s">
        <v>3837</v>
      </c>
      <c r="C1350" s="75" t="s">
        <v>3838</v>
      </c>
      <c r="D1350" s="75" t="s">
        <v>13</v>
      </c>
      <c r="E1350" s="75" t="s">
        <v>348</v>
      </c>
      <c r="F1350" s="75" t="s">
        <v>1183</v>
      </c>
    </row>
    <row r="1351" spans="1:6" x14ac:dyDescent="0.3">
      <c r="A1351" s="75" t="s">
        <v>3839</v>
      </c>
      <c r="B1351" s="75" t="s">
        <v>3840</v>
      </c>
      <c r="C1351" s="75" t="s">
        <v>3841</v>
      </c>
      <c r="D1351" s="75" t="s">
        <v>13</v>
      </c>
      <c r="E1351" s="75" t="s">
        <v>283</v>
      </c>
      <c r="F1351" s="75" t="s">
        <v>284</v>
      </c>
    </row>
    <row r="1352" spans="1:6" x14ac:dyDescent="0.3">
      <c r="A1352" s="75" t="s">
        <v>3842</v>
      </c>
      <c r="B1352" s="75" t="s">
        <v>3843</v>
      </c>
      <c r="C1352" s="75" t="s">
        <v>3844</v>
      </c>
      <c r="D1352" s="75" t="s">
        <v>13</v>
      </c>
      <c r="E1352" s="75" t="s">
        <v>18</v>
      </c>
      <c r="F1352" s="75" t="s">
        <v>49</v>
      </c>
    </row>
    <row r="1353" spans="1:6" x14ac:dyDescent="0.3">
      <c r="A1353" s="75" t="s">
        <v>3845</v>
      </c>
      <c r="B1353" s="75" t="s">
        <v>3846</v>
      </c>
      <c r="C1353" s="75" t="s">
        <v>3847</v>
      </c>
      <c r="D1353" s="75" t="s">
        <v>13</v>
      </c>
      <c r="E1353" s="75" t="s">
        <v>518</v>
      </c>
      <c r="F1353" s="75" t="s">
        <v>1762</v>
      </c>
    </row>
    <row r="1354" spans="1:6" x14ac:dyDescent="0.3">
      <c r="A1354" s="75" t="s">
        <v>3848</v>
      </c>
      <c r="B1354" s="75" t="s">
        <v>3849</v>
      </c>
      <c r="C1354" s="75" t="s">
        <v>3850</v>
      </c>
      <c r="D1354" s="75" t="s">
        <v>13</v>
      </c>
      <c r="E1354" s="75" t="s">
        <v>8</v>
      </c>
      <c r="F1354" s="75" t="s">
        <v>27</v>
      </c>
    </row>
    <row r="1355" spans="1:6" x14ac:dyDescent="0.3">
      <c r="A1355" s="75" t="s">
        <v>3851</v>
      </c>
      <c r="B1355" s="75" t="s">
        <v>3852</v>
      </c>
      <c r="C1355" s="75" t="s">
        <v>3853</v>
      </c>
      <c r="D1355" s="75">
        <v>2007</v>
      </c>
      <c r="E1355" s="75" t="s">
        <v>53</v>
      </c>
      <c r="F1355" s="75" t="s">
        <v>3547</v>
      </c>
    </row>
    <row r="1356" spans="1:6" x14ac:dyDescent="0.3">
      <c r="A1356" s="75" t="s">
        <v>3854</v>
      </c>
      <c r="B1356" s="75" t="s">
        <v>3855</v>
      </c>
      <c r="C1356" s="75" t="s">
        <v>3856</v>
      </c>
      <c r="D1356" s="75">
        <v>2013</v>
      </c>
      <c r="E1356" s="75" t="s">
        <v>18</v>
      </c>
      <c r="F1356" s="75" t="s">
        <v>180</v>
      </c>
    </row>
    <row r="1357" spans="1:6" x14ac:dyDescent="0.3">
      <c r="A1357" s="75" t="s">
        <v>3857</v>
      </c>
      <c r="B1357" s="75" t="s">
        <v>3858</v>
      </c>
      <c r="C1357" s="75" t="s">
        <v>3859</v>
      </c>
      <c r="D1357" s="75">
        <v>2013</v>
      </c>
      <c r="E1357" s="75" t="s">
        <v>8</v>
      </c>
      <c r="F1357" s="75" t="s">
        <v>718</v>
      </c>
    </row>
    <row r="1358" spans="1:6" x14ac:dyDescent="0.3">
      <c r="A1358" s="75" t="s">
        <v>3860</v>
      </c>
      <c r="B1358" s="75" t="s">
        <v>3861</v>
      </c>
      <c r="C1358" s="75" t="s">
        <v>3862</v>
      </c>
      <c r="D1358" s="75">
        <v>1983</v>
      </c>
      <c r="E1358" s="75" t="s">
        <v>70</v>
      </c>
      <c r="F1358" s="75" t="s">
        <v>1375</v>
      </c>
    </row>
    <row r="1359" spans="1:6" x14ac:dyDescent="0.3">
      <c r="A1359" s="75" t="s">
        <v>3863</v>
      </c>
      <c r="B1359" s="75" t="s">
        <v>3864</v>
      </c>
      <c r="C1359" s="75" t="s">
        <v>2945</v>
      </c>
      <c r="D1359" s="75">
        <v>2014</v>
      </c>
      <c r="E1359" s="75" t="s">
        <v>96</v>
      </c>
      <c r="F1359" s="75" t="s">
        <v>76</v>
      </c>
    </row>
    <row r="1360" spans="1:6" x14ac:dyDescent="0.3">
      <c r="A1360" s="75" t="s">
        <v>3865</v>
      </c>
      <c r="B1360" s="75" t="s">
        <v>3866</v>
      </c>
      <c r="C1360" s="75" t="s">
        <v>3867</v>
      </c>
      <c r="D1360" s="75">
        <v>2000</v>
      </c>
      <c r="E1360" s="75" t="s">
        <v>31</v>
      </c>
      <c r="F1360" s="75" t="s">
        <v>32</v>
      </c>
    </row>
    <row r="1361" spans="1:6" x14ac:dyDescent="0.3">
      <c r="A1361" s="75" t="s">
        <v>3868</v>
      </c>
      <c r="B1361" s="75" t="s">
        <v>3869</v>
      </c>
      <c r="C1361" s="75" t="s">
        <v>3870</v>
      </c>
      <c r="D1361" s="75">
        <v>1986</v>
      </c>
      <c r="E1361" s="75" t="s">
        <v>283</v>
      </c>
      <c r="F1361" s="75" t="s">
        <v>694</v>
      </c>
    </row>
    <row r="1362" spans="1:6" x14ac:dyDescent="0.3">
      <c r="A1362" s="75" t="s">
        <v>3871</v>
      </c>
      <c r="B1362" s="75" t="s">
        <v>3872</v>
      </c>
      <c r="C1362" s="75" t="s">
        <v>1492</v>
      </c>
      <c r="D1362" s="75" t="s">
        <v>13</v>
      </c>
      <c r="E1362" s="75" t="s">
        <v>8</v>
      </c>
      <c r="F1362" s="75" t="s">
        <v>27</v>
      </c>
    </row>
    <row r="1363" spans="1:6" x14ac:dyDescent="0.3">
      <c r="A1363" s="75" t="s">
        <v>3873</v>
      </c>
      <c r="B1363" s="75" t="s">
        <v>3874</v>
      </c>
      <c r="C1363" s="75" t="s">
        <v>3875</v>
      </c>
      <c r="D1363" s="75">
        <v>2013</v>
      </c>
      <c r="E1363" s="75" t="s">
        <v>70</v>
      </c>
      <c r="F1363" s="75" t="s">
        <v>71</v>
      </c>
    </row>
    <row r="1364" spans="1:6" x14ac:dyDescent="0.3">
      <c r="A1364" s="75" t="s">
        <v>3876</v>
      </c>
      <c r="B1364" s="75" t="s">
        <v>3877</v>
      </c>
      <c r="C1364" s="75" t="s">
        <v>3878</v>
      </c>
      <c r="D1364" s="75">
        <v>2016</v>
      </c>
      <c r="E1364" s="75" t="s">
        <v>53</v>
      </c>
      <c r="F1364" s="75" t="s">
        <v>519</v>
      </c>
    </row>
    <row r="1365" spans="1:6" x14ac:dyDescent="0.3">
      <c r="A1365" s="75" t="s">
        <v>3879</v>
      </c>
      <c r="B1365" s="75" t="s">
        <v>3880</v>
      </c>
      <c r="C1365" s="75" t="s">
        <v>3881</v>
      </c>
      <c r="D1365" s="75">
        <v>1999</v>
      </c>
      <c r="E1365" s="75" t="s">
        <v>31</v>
      </c>
      <c r="F1365" s="75" t="s">
        <v>40</v>
      </c>
    </row>
    <row r="1366" spans="1:6" x14ac:dyDescent="0.3">
      <c r="A1366" s="75" t="s">
        <v>3882</v>
      </c>
      <c r="B1366" s="75" t="s">
        <v>3883</v>
      </c>
      <c r="C1366" s="75" t="s">
        <v>3781</v>
      </c>
      <c r="D1366" s="75" t="s">
        <v>13</v>
      </c>
      <c r="E1366" s="75" t="s">
        <v>518</v>
      </c>
      <c r="F1366" s="75" t="s">
        <v>630</v>
      </c>
    </row>
    <row r="1367" spans="1:6" x14ac:dyDescent="0.3">
      <c r="A1367" s="75" t="s">
        <v>3884</v>
      </c>
      <c r="B1367" s="75" t="s">
        <v>3885</v>
      </c>
      <c r="C1367" s="75" t="s">
        <v>3886</v>
      </c>
      <c r="D1367" s="75" t="s">
        <v>13</v>
      </c>
      <c r="E1367" s="75" t="s">
        <v>18</v>
      </c>
      <c r="F1367" s="75" t="s">
        <v>434</v>
      </c>
    </row>
    <row r="1368" spans="1:6" x14ac:dyDescent="0.3">
      <c r="A1368" s="75" t="s">
        <v>3887</v>
      </c>
      <c r="B1368" s="75" t="s">
        <v>3888</v>
      </c>
      <c r="C1368" s="75" t="s">
        <v>3889</v>
      </c>
      <c r="D1368" s="75" t="s">
        <v>13</v>
      </c>
      <c r="E1368" s="75" t="s">
        <v>18</v>
      </c>
      <c r="F1368" s="75" t="s">
        <v>461</v>
      </c>
    </row>
    <row r="1369" spans="1:6" x14ac:dyDescent="0.3">
      <c r="A1369" s="75" t="s">
        <v>3890</v>
      </c>
      <c r="B1369" s="75" t="s">
        <v>3891</v>
      </c>
      <c r="C1369" s="75" t="s">
        <v>3892</v>
      </c>
      <c r="D1369" s="75" t="s">
        <v>13</v>
      </c>
      <c r="E1369" s="75" t="s">
        <v>8</v>
      </c>
      <c r="F1369" s="75" t="s">
        <v>2382</v>
      </c>
    </row>
    <row r="1370" spans="1:6" x14ac:dyDescent="0.3">
      <c r="A1370" s="75" t="s">
        <v>3893</v>
      </c>
      <c r="B1370" s="75" t="s">
        <v>3894</v>
      </c>
      <c r="C1370" s="75" t="s">
        <v>3895</v>
      </c>
      <c r="D1370" s="75">
        <v>1995</v>
      </c>
      <c r="E1370" s="75" t="s">
        <v>70</v>
      </c>
      <c r="F1370" s="75" t="s">
        <v>101</v>
      </c>
    </row>
    <row r="1371" spans="1:6" x14ac:dyDescent="0.3">
      <c r="A1371" s="75" t="s">
        <v>3896</v>
      </c>
      <c r="B1371" s="75" t="s">
        <v>3897</v>
      </c>
      <c r="C1371" s="75" t="s">
        <v>3898</v>
      </c>
      <c r="D1371" s="75" t="s">
        <v>13</v>
      </c>
      <c r="E1371" s="75" t="s">
        <v>8</v>
      </c>
      <c r="F1371" s="75" t="s">
        <v>27</v>
      </c>
    </row>
    <row r="1372" spans="1:6" x14ac:dyDescent="0.3">
      <c r="A1372" s="75" t="s">
        <v>3899</v>
      </c>
      <c r="B1372" s="75" t="s">
        <v>3900</v>
      </c>
      <c r="C1372" s="75" t="s">
        <v>3901</v>
      </c>
      <c r="D1372" s="75" t="s">
        <v>13</v>
      </c>
      <c r="E1372" s="75" t="s">
        <v>8</v>
      </c>
      <c r="F1372" s="75" t="s">
        <v>579</v>
      </c>
    </row>
    <row r="1373" spans="1:6" x14ac:dyDescent="0.3">
      <c r="A1373" s="75" t="s">
        <v>3902</v>
      </c>
      <c r="B1373" s="75" t="s">
        <v>3903</v>
      </c>
      <c r="C1373" s="75" t="s">
        <v>3904</v>
      </c>
      <c r="D1373" s="75">
        <v>2008</v>
      </c>
      <c r="E1373" s="75" t="s">
        <v>58</v>
      </c>
      <c r="F1373" s="75" t="s">
        <v>96</v>
      </c>
    </row>
    <row r="1374" spans="1:6" x14ac:dyDescent="0.3">
      <c r="A1374" s="75" t="s">
        <v>3905</v>
      </c>
      <c r="B1374" s="75" t="s">
        <v>3906</v>
      </c>
      <c r="C1374" s="75" t="s">
        <v>3206</v>
      </c>
      <c r="D1374" s="75" t="s">
        <v>13</v>
      </c>
      <c r="E1374" s="75" t="s">
        <v>518</v>
      </c>
      <c r="F1374" s="75" t="s">
        <v>180</v>
      </c>
    </row>
    <row r="1375" spans="1:6" x14ac:dyDescent="0.3">
      <c r="A1375" s="75" t="s">
        <v>3907</v>
      </c>
      <c r="B1375" s="75" t="s">
        <v>3908</v>
      </c>
      <c r="C1375" s="75" t="s">
        <v>3909</v>
      </c>
      <c r="D1375" s="75" t="s">
        <v>13</v>
      </c>
      <c r="E1375" s="75" t="s">
        <v>70</v>
      </c>
      <c r="F1375" s="75" t="s">
        <v>71</v>
      </c>
    </row>
    <row r="1376" spans="1:6" x14ac:dyDescent="0.3">
      <c r="A1376" s="75" t="s">
        <v>3910</v>
      </c>
      <c r="B1376" s="75" t="s">
        <v>3911</v>
      </c>
      <c r="C1376" s="75" t="s">
        <v>3912</v>
      </c>
      <c r="D1376" s="75">
        <v>1997</v>
      </c>
      <c r="E1376" s="75" t="s">
        <v>70</v>
      </c>
      <c r="F1376" s="75" t="s">
        <v>118</v>
      </c>
    </row>
    <row r="1377" spans="1:6" x14ac:dyDescent="0.3">
      <c r="A1377" s="75" t="s">
        <v>3913</v>
      </c>
      <c r="B1377" s="75" t="s">
        <v>3914</v>
      </c>
      <c r="C1377" s="75" t="s">
        <v>3915</v>
      </c>
      <c r="D1377" s="75">
        <v>1996</v>
      </c>
      <c r="E1377" s="75" t="s">
        <v>18</v>
      </c>
      <c r="F1377" s="75" t="s">
        <v>19</v>
      </c>
    </row>
    <row r="1378" spans="1:6" x14ac:dyDescent="0.3">
      <c r="A1378" s="75" t="s">
        <v>3916</v>
      </c>
      <c r="B1378" s="75" t="s">
        <v>3917</v>
      </c>
      <c r="C1378" s="75" t="s">
        <v>3918</v>
      </c>
      <c r="D1378" s="75" t="s">
        <v>13</v>
      </c>
      <c r="E1378" s="75" t="s">
        <v>13</v>
      </c>
      <c r="F1378" s="75" t="s">
        <v>13</v>
      </c>
    </row>
    <row r="1379" spans="1:6" x14ac:dyDescent="0.3">
      <c r="A1379" s="75" t="s">
        <v>3919</v>
      </c>
      <c r="B1379" s="75" t="s">
        <v>3920</v>
      </c>
      <c r="C1379" s="75" t="s">
        <v>3921</v>
      </c>
      <c r="D1379" s="75" t="s">
        <v>13</v>
      </c>
      <c r="E1379" s="75" t="s">
        <v>96</v>
      </c>
      <c r="F1379" s="75" t="s">
        <v>63</v>
      </c>
    </row>
    <row r="1380" spans="1:6" x14ac:dyDescent="0.3">
      <c r="A1380" s="75" t="s">
        <v>3922</v>
      </c>
      <c r="B1380" s="75" t="s">
        <v>3923</v>
      </c>
      <c r="C1380" s="75" t="s">
        <v>3924</v>
      </c>
      <c r="D1380" s="75" t="s">
        <v>13</v>
      </c>
      <c r="E1380" s="75" t="s">
        <v>53</v>
      </c>
      <c r="F1380" s="75" t="s">
        <v>519</v>
      </c>
    </row>
    <row r="1381" spans="1:6" x14ac:dyDescent="0.3">
      <c r="A1381" s="75" t="s">
        <v>3925</v>
      </c>
      <c r="B1381" s="75" t="s">
        <v>3926</v>
      </c>
      <c r="C1381" s="75" t="s">
        <v>2594</v>
      </c>
      <c r="D1381" s="75">
        <v>2006</v>
      </c>
      <c r="E1381" s="75" t="s">
        <v>31</v>
      </c>
      <c r="F1381" s="75" t="s">
        <v>92</v>
      </c>
    </row>
    <row r="1382" spans="1:6" x14ac:dyDescent="0.3">
      <c r="A1382" s="75" t="s">
        <v>3927</v>
      </c>
      <c r="B1382" s="75" t="s">
        <v>3928</v>
      </c>
      <c r="C1382" s="75" t="s">
        <v>3929</v>
      </c>
      <c r="D1382" s="75" t="s">
        <v>13</v>
      </c>
      <c r="E1382" s="75" t="s">
        <v>13</v>
      </c>
      <c r="F1382" s="75" t="s">
        <v>13</v>
      </c>
    </row>
    <row r="1383" spans="1:6" x14ac:dyDescent="0.3">
      <c r="A1383" s="75" t="s">
        <v>3930</v>
      </c>
      <c r="B1383" s="75" t="s">
        <v>3931</v>
      </c>
      <c r="C1383" s="75" t="s">
        <v>3932</v>
      </c>
      <c r="D1383" s="75">
        <v>2014</v>
      </c>
      <c r="E1383" s="75" t="s">
        <v>70</v>
      </c>
      <c r="F1383" s="75" t="s">
        <v>353</v>
      </c>
    </row>
    <row r="1384" spans="1:6" x14ac:dyDescent="0.3">
      <c r="A1384" s="75" t="s">
        <v>3933</v>
      </c>
      <c r="B1384" s="75" t="s">
        <v>3934</v>
      </c>
      <c r="C1384" s="75" t="s">
        <v>3935</v>
      </c>
      <c r="D1384" s="75" t="s">
        <v>13</v>
      </c>
      <c r="E1384" s="75" t="s">
        <v>8</v>
      </c>
      <c r="F1384" s="75" t="s">
        <v>23</v>
      </c>
    </row>
    <row r="1385" spans="1:6" x14ac:dyDescent="0.3">
      <c r="A1385" s="75" t="s">
        <v>3936</v>
      </c>
      <c r="B1385" s="75" t="s">
        <v>3937</v>
      </c>
      <c r="C1385" s="75" t="s">
        <v>1615</v>
      </c>
      <c r="D1385" s="75">
        <v>1992</v>
      </c>
      <c r="E1385" s="75" t="s">
        <v>96</v>
      </c>
      <c r="F1385" s="75" t="s">
        <v>76</v>
      </c>
    </row>
    <row r="1386" spans="1:6" x14ac:dyDescent="0.3">
      <c r="A1386" s="75" t="s">
        <v>3938</v>
      </c>
      <c r="B1386" s="75" t="s">
        <v>3939</v>
      </c>
      <c r="C1386" s="75" t="s">
        <v>2936</v>
      </c>
      <c r="D1386" s="75" t="s">
        <v>13</v>
      </c>
      <c r="E1386" s="75" t="s">
        <v>84</v>
      </c>
      <c r="F1386" s="75" t="s">
        <v>63</v>
      </c>
    </row>
    <row r="1387" spans="1:6" x14ac:dyDescent="0.3">
      <c r="A1387" s="75" t="s">
        <v>3940</v>
      </c>
      <c r="B1387" s="75" t="s">
        <v>3941</v>
      </c>
      <c r="C1387" s="75" t="s">
        <v>3942</v>
      </c>
      <c r="D1387" s="75">
        <v>1990</v>
      </c>
      <c r="E1387" s="75" t="s">
        <v>70</v>
      </c>
      <c r="F1387" s="75" t="s">
        <v>1693</v>
      </c>
    </row>
    <row r="1388" spans="1:6" x14ac:dyDescent="0.3">
      <c r="A1388" s="75" t="s">
        <v>3943</v>
      </c>
      <c r="B1388" s="75" t="s">
        <v>3944</v>
      </c>
      <c r="C1388" s="75" t="s">
        <v>3945</v>
      </c>
      <c r="D1388" s="75" t="s">
        <v>13</v>
      </c>
      <c r="E1388" s="75" t="s">
        <v>8</v>
      </c>
      <c r="F1388" s="75" t="s">
        <v>579</v>
      </c>
    </row>
    <row r="1389" spans="1:6" x14ac:dyDescent="0.3">
      <c r="A1389" s="75" t="s">
        <v>3946</v>
      </c>
      <c r="B1389" s="75" t="s">
        <v>3947</v>
      </c>
      <c r="C1389" s="75" t="s">
        <v>3948</v>
      </c>
      <c r="D1389" s="75">
        <v>2006</v>
      </c>
      <c r="E1389" s="75" t="s">
        <v>8</v>
      </c>
      <c r="F1389" s="75" t="s">
        <v>27</v>
      </c>
    </row>
    <row r="1390" spans="1:6" x14ac:dyDescent="0.3">
      <c r="A1390" s="75" t="s">
        <v>3949</v>
      </c>
      <c r="B1390" s="75" t="s">
        <v>3950</v>
      </c>
      <c r="C1390" s="75" t="s">
        <v>3951</v>
      </c>
      <c r="D1390" s="75" t="s">
        <v>13</v>
      </c>
      <c r="E1390" s="75" t="s">
        <v>8</v>
      </c>
      <c r="F1390" s="75" t="s">
        <v>23</v>
      </c>
    </row>
    <row r="1391" spans="1:6" x14ac:dyDescent="0.3">
      <c r="A1391" s="75" t="s">
        <v>3952</v>
      </c>
      <c r="B1391" s="75" t="s">
        <v>3953</v>
      </c>
      <c r="C1391" s="75" t="s">
        <v>3954</v>
      </c>
      <c r="D1391" s="75">
        <v>2012</v>
      </c>
      <c r="E1391" s="75" t="s">
        <v>8</v>
      </c>
      <c r="F1391" s="75" t="s">
        <v>27</v>
      </c>
    </row>
    <row r="1392" spans="1:6" x14ac:dyDescent="0.3">
      <c r="A1392" s="75" t="s">
        <v>3955</v>
      </c>
      <c r="B1392" s="75" t="s">
        <v>3956</v>
      </c>
      <c r="C1392" s="75" t="s">
        <v>3957</v>
      </c>
      <c r="D1392" s="75" t="s">
        <v>13</v>
      </c>
      <c r="E1392" s="75" t="s">
        <v>8</v>
      </c>
      <c r="F1392" s="75" t="s">
        <v>27</v>
      </c>
    </row>
    <row r="1393" spans="1:6" x14ac:dyDescent="0.3">
      <c r="A1393" s="75" t="s">
        <v>3958</v>
      </c>
      <c r="B1393" s="75" t="s">
        <v>3959</v>
      </c>
      <c r="C1393" s="75" t="s">
        <v>3960</v>
      </c>
      <c r="D1393" s="75">
        <v>2012</v>
      </c>
      <c r="E1393" s="75" t="s">
        <v>8</v>
      </c>
      <c r="F1393" s="75" t="s">
        <v>23</v>
      </c>
    </row>
    <row r="1394" spans="1:6" x14ac:dyDescent="0.3">
      <c r="A1394" s="75" t="s">
        <v>3961</v>
      </c>
      <c r="B1394" s="75" t="s">
        <v>3962</v>
      </c>
      <c r="C1394" s="75" t="s">
        <v>3963</v>
      </c>
      <c r="D1394" s="75" t="s">
        <v>13</v>
      </c>
      <c r="E1394" s="75" t="s">
        <v>518</v>
      </c>
      <c r="F1394" s="75" t="s">
        <v>630</v>
      </c>
    </row>
    <row r="1395" spans="1:6" x14ac:dyDescent="0.3">
      <c r="A1395" s="75" t="s">
        <v>3964</v>
      </c>
      <c r="B1395" s="75" t="s">
        <v>3965</v>
      </c>
      <c r="C1395" s="75" t="s">
        <v>970</v>
      </c>
      <c r="D1395" s="75" t="s">
        <v>13</v>
      </c>
      <c r="E1395" s="75" t="s">
        <v>8</v>
      </c>
      <c r="F1395" s="75" t="s">
        <v>27</v>
      </c>
    </row>
    <row r="1396" spans="1:6" x14ac:dyDescent="0.3">
      <c r="A1396" s="75" t="s">
        <v>3966</v>
      </c>
      <c r="B1396" s="75" t="s">
        <v>3967</v>
      </c>
      <c r="C1396" s="75" t="s">
        <v>3968</v>
      </c>
      <c r="D1396" s="75" t="s">
        <v>13</v>
      </c>
      <c r="E1396" s="75" t="s">
        <v>8</v>
      </c>
      <c r="F1396" s="75" t="s">
        <v>27</v>
      </c>
    </row>
    <row r="1397" spans="1:6" x14ac:dyDescent="0.3">
      <c r="A1397" s="75" t="s">
        <v>3969</v>
      </c>
      <c r="B1397" s="75" t="s">
        <v>3970</v>
      </c>
      <c r="C1397" s="75" t="s">
        <v>3971</v>
      </c>
      <c r="D1397" s="75" t="s">
        <v>13</v>
      </c>
      <c r="E1397" s="75" t="s">
        <v>8</v>
      </c>
      <c r="F1397" s="75" t="s">
        <v>27</v>
      </c>
    </row>
    <row r="1398" spans="1:6" x14ac:dyDescent="0.3">
      <c r="A1398" s="75" t="s">
        <v>3972</v>
      </c>
      <c r="B1398" s="75" t="s">
        <v>3973</v>
      </c>
      <c r="C1398" s="75" t="s">
        <v>3974</v>
      </c>
      <c r="D1398" s="75">
        <v>2011</v>
      </c>
      <c r="E1398" s="75" t="s">
        <v>70</v>
      </c>
      <c r="F1398" s="75" t="s">
        <v>71</v>
      </c>
    </row>
    <row r="1399" spans="1:6" x14ac:dyDescent="0.3">
      <c r="A1399" s="75" t="s">
        <v>3975</v>
      </c>
      <c r="B1399" s="75" t="s">
        <v>3976</v>
      </c>
      <c r="C1399" s="75" t="s">
        <v>3977</v>
      </c>
      <c r="D1399" s="75">
        <v>2010</v>
      </c>
      <c r="E1399" s="75" t="s">
        <v>13</v>
      </c>
      <c r="F1399" s="75" t="s">
        <v>13</v>
      </c>
    </row>
    <row r="1400" spans="1:6" x14ac:dyDescent="0.3">
      <c r="A1400" s="75" t="s">
        <v>3978</v>
      </c>
      <c r="B1400" s="75" t="s">
        <v>3979</v>
      </c>
      <c r="C1400" s="75" t="s">
        <v>3980</v>
      </c>
      <c r="D1400" s="75" t="s">
        <v>13</v>
      </c>
      <c r="E1400" s="75" t="s">
        <v>13</v>
      </c>
      <c r="F1400" s="75" t="s">
        <v>13</v>
      </c>
    </row>
    <row r="1401" spans="1:6" x14ac:dyDescent="0.3">
      <c r="A1401" s="75" t="s">
        <v>3981</v>
      </c>
      <c r="B1401" s="75" t="s">
        <v>3982</v>
      </c>
      <c r="C1401" s="75" t="s">
        <v>3983</v>
      </c>
      <c r="D1401" s="75" t="s">
        <v>13</v>
      </c>
      <c r="E1401" s="75" t="s">
        <v>13</v>
      </c>
      <c r="F1401" s="75" t="s">
        <v>13</v>
      </c>
    </row>
    <row r="1402" spans="1:6" x14ac:dyDescent="0.3">
      <c r="A1402" s="75" t="s">
        <v>3984</v>
      </c>
      <c r="B1402" s="75" t="s">
        <v>3985</v>
      </c>
      <c r="C1402" s="75" t="s">
        <v>3986</v>
      </c>
      <c r="D1402" s="75">
        <v>2014</v>
      </c>
      <c r="E1402" s="75" t="s">
        <v>31</v>
      </c>
      <c r="F1402" s="75" t="s">
        <v>36</v>
      </c>
    </row>
    <row r="1403" spans="1:6" x14ac:dyDescent="0.3">
      <c r="A1403" s="75" t="s">
        <v>3987</v>
      </c>
      <c r="B1403" s="75" t="s">
        <v>3988</v>
      </c>
      <c r="C1403" s="75" t="s">
        <v>3989</v>
      </c>
      <c r="D1403" s="75" t="s">
        <v>13</v>
      </c>
      <c r="E1403" s="75" t="s">
        <v>18</v>
      </c>
      <c r="F1403" s="75" t="s">
        <v>266</v>
      </c>
    </row>
    <row r="1404" spans="1:6" x14ac:dyDescent="0.3">
      <c r="A1404" s="75" t="s">
        <v>3990</v>
      </c>
      <c r="B1404" s="75" t="s">
        <v>3991</v>
      </c>
      <c r="C1404" s="75" t="s">
        <v>3992</v>
      </c>
      <c r="D1404" s="75">
        <v>2015</v>
      </c>
      <c r="E1404" s="75" t="s">
        <v>348</v>
      </c>
      <c r="F1404" s="75" t="s">
        <v>1219</v>
      </c>
    </row>
    <row r="1405" spans="1:6" x14ac:dyDescent="0.3">
      <c r="A1405" s="75" t="s">
        <v>3993</v>
      </c>
      <c r="B1405" s="75" t="s">
        <v>3991</v>
      </c>
      <c r="C1405" s="75" t="s">
        <v>13</v>
      </c>
      <c r="D1405" s="75">
        <v>2015</v>
      </c>
      <c r="E1405" s="75" t="s">
        <v>348</v>
      </c>
      <c r="F1405" s="75" t="s">
        <v>1219</v>
      </c>
    </row>
    <row r="1406" spans="1:6" x14ac:dyDescent="0.3">
      <c r="A1406" s="75" t="s">
        <v>3994</v>
      </c>
      <c r="B1406" s="75" t="s">
        <v>3995</v>
      </c>
      <c r="C1406" s="75" t="s">
        <v>1238</v>
      </c>
      <c r="D1406" s="75">
        <v>2013</v>
      </c>
      <c r="E1406" s="75" t="s">
        <v>18</v>
      </c>
      <c r="F1406" s="75" t="s">
        <v>3996</v>
      </c>
    </row>
    <row r="1407" spans="1:6" x14ac:dyDescent="0.3">
      <c r="A1407" s="75" t="s">
        <v>3997</v>
      </c>
      <c r="B1407" s="75" t="s">
        <v>3998</v>
      </c>
      <c r="C1407" s="75" t="s">
        <v>3999</v>
      </c>
      <c r="D1407" s="75">
        <v>2006</v>
      </c>
      <c r="E1407" s="75" t="s">
        <v>348</v>
      </c>
      <c r="F1407" s="75" t="s">
        <v>49</v>
      </c>
    </row>
    <row r="1408" spans="1:6" x14ac:dyDescent="0.3">
      <c r="A1408" s="75" t="s">
        <v>4000</v>
      </c>
      <c r="B1408" s="75" t="s">
        <v>4001</v>
      </c>
      <c r="C1408" s="75" t="s">
        <v>4002</v>
      </c>
      <c r="D1408" s="75" t="s">
        <v>13</v>
      </c>
      <c r="E1408" s="75" t="s">
        <v>53</v>
      </c>
      <c r="F1408" s="75" t="s">
        <v>54</v>
      </c>
    </row>
    <row r="1409" spans="1:6" x14ac:dyDescent="0.3">
      <c r="A1409" s="75" t="s">
        <v>4003</v>
      </c>
      <c r="B1409" s="75" t="s">
        <v>4004</v>
      </c>
      <c r="C1409" s="75" t="s">
        <v>4005</v>
      </c>
      <c r="D1409" s="75" t="s">
        <v>13</v>
      </c>
      <c r="E1409" s="75" t="s">
        <v>8</v>
      </c>
      <c r="F1409" s="75" t="s">
        <v>27</v>
      </c>
    </row>
    <row r="1410" spans="1:6" x14ac:dyDescent="0.3">
      <c r="A1410" s="75" t="s">
        <v>4006</v>
      </c>
      <c r="B1410" s="75" t="s">
        <v>4007</v>
      </c>
      <c r="C1410" s="75" t="s">
        <v>1016</v>
      </c>
      <c r="D1410" s="75" t="s">
        <v>13</v>
      </c>
      <c r="E1410" s="75" t="s">
        <v>18</v>
      </c>
      <c r="F1410" s="75" t="s">
        <v>19</v>
      </c>
    </row>
    <row r="1411" spans="1:6" x14ac:dyDescent="0.3">
      <c r="A1411" s="75" t="s">
        <v>4008</v>
      </c>
      <c r="B1411" s="75" t="s">
        <v>4009</v>
      </c>
      <c r="C1411" s="75" t="s">
        <v>4010</v>
      </c>
      <c r="D1411" s="75">
        <v>2015</v>
      </c>
      <c r="E1411" s="75" t="s">
        <v>53</v>
      </c>
      <c r="F1411" s="75" t="s">
        <v>111</v>
      </c>
    </row>
    <row r="1412" spans="1:6" x14ac:dyDescent="0.3">
      <c r="A1412" s="75" t="s">
        <v>4011</v>
      </c>
      <c r="B1412" s="75" t="s">
        <v>4012</v>
      </c>
      <c r="C1412" s="75" t="s">
        <v>1079</v>
      </c>
      <c r="D1412" s="75">
        <v>1996</v>
      </c>
      <c r="E1412" s="75" t="s">
        <v>283</v>
      </c>
      <c r="F1412" s="75" t="s">
        <v>1345</v>
      </c>
    </row>
    <row r="1413" spans="1:6" x14ac:dyDescent="0.3">
      <c r="A1413" s="75" t="s">
        <v>4013</v>
      </c>
      <c r="B1413" s="75" t="s">
        <v>4014</v>
      </c>
      <c r="C1413" s="75" t="s">
        <v>4015</v>
      </c>
      <c r="D1413" s="75" t="s">
        <v>13</v>
      </c>
      <c r="E1413" s="75" t="s">
        <v>31</v>
      </c>
      <c r="F1413" s="75" t="s">
        <v>1032</v>
      </c>
    </row>
    <row r="1414" spans="1:6" x14ac:dyDescent="0.3">
      <c r="A1414" s="75" t="s">
        <v>4016</v>
      </c>
      <c r="B1414" s="75" t="s">
        <v>4017</v>
      </c>
      <c r="C1414" s="75" t="s">
        <v>4018</v>
      </c>
      <c r="D1414" s="75" t="s">
        <v>13</v>
      </c>
      <c r="E1414" s="75" t="s">
        <v>518</v>
      </c>
      <c r="F1414" s="75" t="s">
        <v>353</v>
      </c>
    </row>
    <row r="1415" spans="1:6" x14ac:dyDescent="0.3">
      <c r="A1415" s="75" t="s">
        <v>4019</v>
      </c>
      <c r="B1415" s="75" t="s">
        <v>4020</v>
      </c>
      <c r="C1415" s="75" t="s">
        <v>4021</v>
      </c>
      <c r="D1415" s="75">
        <v>2017</v>
      </c>
      <c r="E1415" s="75" t="s">
        <v>283</v>
      </c>
      <c r="F1415" s="75" t="s">
        <v>1345</v>
      </c>
    </row>
    <row r="1416" spans="1:6" x14ac:dyDescent="0.3">
      <c r="A1416" s="75" t="s">
        <v>4022</v>
      </c>
      <c r="B1416" s="75" t="s">
        <v>4020</v>
      </c>
      <c r="C1416" s="75" t="s">
        <v>13</v>
      </c>
      <c r="D1416" s="75">
        <v>2016</v>
      </c>
      <c r="E1416" s="75" t="s">
        <v>283</v>
      </c>
      <c r="F1416" s="75" t="s">
        <v>1345</v>
      </c>
    </row>
    <row r="1417" spans="1:6" x14ac:dyDescent="0.3">
      <c r="A1417" s="75" t="s">
        <v>4023</v>
      </c>
      <c r="B1417" s="75" t="s">
        <v>4020</v>
      </c>
      <c r="C1417" s="75" t="s">
        <v>13</v>
      </c>
      <c r="D1417" s="75">
        <v>2017</v>
      </c>
      <c r="E1417" s="75" t="s">
        <v>283</v>
      </c>
      <c r="F1417" s="75" t="s">
        <v>1345</v>
      </c>
    </row>
    <row r="1418" spans="1:6" x14ac:dyDescent="0.3">
      <c r="A1418" s="75" t="s">
        <v>4024</v>
      </c>
      <c r="B1418" s="75" t="s">
        <v>4025</v>
      </c>
      <c r="C1418" s="75" t="s">
        <v>4026</v>
      </c>
      <c r="D1418" s="75" t="s">
        <v>13</v>
      </c>
      <c r="E1418" s="75" t="s">
        <v>8</v>
      </c>
      <c r="F1418" s="75" t="s">
        <v>27</v>
      </c>
    </row>
    <row r="1419" spans="1:6" x14ac:dyDescent="0.3">
      <c r="A1419" s="75" t="s">
        <v>4027</v>
      </c>
      <c r="B1419" s="75" t="s">
        <v>4025</v>
      </c>
      <c r="C1419" s="75" t="s">
        <v>13</v>
      </c>
      <c r="D1419" s="75" t="s">
        <v>13</v>
      </c>
      <c r="E1419" s="75" t="s">
        <v>8</v>
      </c>
      <c r="F1419" s="75" t="s">
        <v>27</v>
      </c>
    </row>
    <row r="1420" spans="1:6" x14ac:dyDescent="0.3">
      <c r="A1420" s="75" t="s">
        <v>4028</v>
      </c>
      <c r="B1420" s="75" t="s">
        <v>4025</v>
      </c>
      <c r="C1420" s="75" t="s">
        <v>2805</v>
      </c>
      <c r="D1420" s="75" t="s">
        <v>13</v>
      </c>
      <c r="E1420" s="75" t="s">
        <v>8</v>
      </c>
      <c r="F1420" s="75" t="s">
        <v>27</v>
      </c>
    </row>
    <row r="1421" spans="1:6" x14ac:dyDescent="0.3">
      <c r="A1421" s="75" t="s">
        <v>4029</v>
      </c>
      <c r="B1421" s="75" t="s">
        <v>4025</v>
      </c>
      <c r="C1421" s="75" t="s">
        <v>13</v>
      </c>
      <c r="D1421" s="75" t="s">
        <v>13</v>
      </c>
      <c r="E1421" s="75" t="s">
        <v>8</v>
      </c>
      <c r="F1421" s="75" t="s">
        <v>27</v>
      </c>
    </row>
    <row r="1422" spans="1:6" x14ac:dyDescent="0.3">
      <c r="A1422" s="75" t="s">
        <v>4030</v>
      </c>
      <c r="B1422" s="75" t="s">
        <v>4031</v>
      </c>
      <c r="C1422" s="75" t="s">
        <v>4032</v>
      </c>
      <c r="D1422" s="75" t="s">
        <v>13</v>
      </c>
      <c r="E1422" s="75" t="s">
        <v>53</v>
      </c>
      <c r="F1422" s="75" t="s">
        <v>63</v>
      </c>
    </row>
    <row r="1423" spans="1:6" x14ac:dyDescent="0.3">
      <c r="A1423" s="75" t="s">
        <v>4033</v>
      </c>
      <c r="B1423" s="75" t="s">
        <v>4034</v>
      </c>
      <c r="C1423" s="75" t="s">
        <v>4035</v>
      </c>
      <c r="D1423" s="75">
        <v>2004</v>
      </c>
      <c r="E1423" s="75" t="s">
        <v>18</v>
      </c>
      <c r="F1423" s="75" t="s">
        <v>1032</v>
      </c>
    </row>
    <row r="1424" spans="1:6" x14ac:dyDescent="0.3">
      <c r="A1424" s="75" t="s">
        <v>4036</v>
      </c>
      <c r="B1424" s="75" t="s">
        <v>4037</v>
      </c>
      <c r="C1424" s="75" t="s">
        <v>1703</v>
      </c>
      <c r="D1424" s="75">
        <v>2016</v>
      </c>
      <c r="E1424" s="75" t="s">
        <v>70</v>
      </c>
      <c r="F1424" s="75" t="s">
        <v>71</v>
      </c>
    </row>
    <row r="1425" spans="1:6" x14ac:dyDescent="0.3">
      <c r="A1425" s="75" t="s">
        <v>4038</v>
      </c>
      <c r="B1425" s="75" t="s">
        <v>4039</v>
      </c>
      <c r="C1425" s="75" t="s">
        <v>4040</v>
      </c>
      <c r="D1425" s="75" t="s">
        <v>13</v>
      </c>
      <c r="E1425" s="75" t="s">
        <v>18</v>
      </c>
      <c r="F1425" s="75" t="s">
        <v>1048</v>
      </c>
    </row>
    <row r="1426" spans="1:6" x14ac:dyDescent="0.3">
      <c r="A1426" s="75" t="s">
        <v>4041</v>
      </c>
      <c r="B1426" s="75" t="s">
        <v>4042</v>
      </c>
      <c r="C1426" s="75" t="s">
        <v>4043</v>
      </c>
      <c r="D1426" s="75">
        <v>2017</v>
      </c>
      <c r="E1426" s="75" t="s">
        <v>8</v>
      </c>
      <c r="F1426" s="75" t="s">
        <v>27</v>
      </c>
    </row>
    <row r="1427" spans="1:6" x14ac:dyDescent="0.3">
      <c r="A1427" s="75" t="s">
        <v>4044</v>
      </c>
      <c r="B1427" s="75" t="s">
        <v>4045</v>
      </c>
      <c r="C1427" s="75" t="s">
        <v>4046</v>
      </c>
      <c r="D1427" s="75" t="s">
        <v>13</v>
      </c>
      <c r="E1427" s="75" t="s">
        <v>58</v>
      </c>
      <c r="F1427" s="75" t="s">
        <v>59</v>
      </c>
    </row>
    <row r="1428" spans="1:6" x14ac:dyDescent="0.3">
      <c r="A1428" s="75" t="s">
        <v>4047</v>
      </c>
      <c r="B1428" s="75" t="s">
        <v>4048</v>
      </c>
      <c r="C1428" s="75" t="s">
        <v>4049</v>
      </c>
      <c r="D1428" s="75">
        <v>1999</v>
      </c>
      <c r="E1428" s="75" t="s">
        <v>518</v>
      </c>
      <c r="F1428" s="75" t="s">
        <v>49</v>
      </c>
    </row>
    <row r="1429" spans="1:6" x14ac:dyDescent="0.3">
      <c r="A1429" s="75" t="s">
        <v>4050</v>
      </c>
      <c r="B1429" s="75" t="s">
        <v>4051</v>
      </c>
      <c r="C1429" s="75" t="s">
        <v>4052</v>
      </c>
      <c r="D1429" s="75" t="s">
        <v>13</v>
      </c>
      <c r="E1429" s="75" t="s">
        <v>18</v>
      </c>
      <c r="F1429" s="75" t="s">
        <v>19</v>
      </c>
    </row>
    <row r="1430" spans="1:6" x14ac:dyDescent="0.3">
      <c r="A1430" s="75" t="s">
        <v>4053</v>
      </c>
      <c r="B1430" s="75" t="s">
        <v>4054</v>
      </c>
      <c r="C1430" s="75" t="s">
        <v>4055</v>
      </c>
      <c r="D1430" s="75" t="s">
        <v>13</v>
      </c>
      <c r="E1430" s="75" t="s">
        <v>8</v>
      </c>
      <c r="F1430" s="75" t="s">
        <v>27</v>
      </c>
    </row>
    <row r="1431" spans="1:6" x14ac:dyDescent="0.3">
      <c r="A1431" s="75" t="s">
        <v>4056</v>
      </c>
      <c r="B1431" s="75" t="s">
        <v>4054</v>
      </c>
      <c r="C1431" s="75" t="s">
        <v>13</v>
      </c>
      <c r="D1431" s="75" t="s">
        <v>13</v>
      </c>
      <c r="E1431" s="75" t="s">
        <v>8</v>
      </c>
      <c r="F1431" s="75" t="s">
        <v>27</v>
      </c>
    </row>
    <row r="1432" spans="1:6" x14ac:dyDescent="0.3">
      <c r="A1432" s="75" t="s">
        <v>4057</v>
      </c>
      <c r="B1432" s="75" t="s">
        <v>4054</v>
      </c>
      <c r="C1432" s="75" t="s">
        <v>13</v>
      </c>
      <c r="D1432" s="75" t="s">
        <v>13</v>
      </c>
      <c r="E1432" s="75" t="s">
        <v>8</v>
      </c>
      <c r="F1432" s="75" t="s">
        <v>27</v>
      </c>
    </row>
    <row r="1433" spans="1:6" x14ac:dyDescent="0.3">
      <c r="A1433" s="75" t="s">
        <v>4058</v>
      </c>
      <c r="B1433" s="75" t="s">
        <v>4059</v>
      </c>
      <c r="C1433" s="75" t="s">
        <v>4060</v>
      </c>
      <c r="D1433" s="75" t="s">
        <v>13</v>
      </c>
      <c r="E1433" s="75" t="s">
        <v>70</v>
      </c>
      <c r="F1433" s="75" t="s">
        <v>80</v>
      </c>
    </row>
    <row r="1434" spans="1:6" x14ac:dyDescent="0.3">
      <c r="A1434" s="75" t="s">
        <v>4061</v>
      </c>
      <c r="B1434" s="75" t="s">
        <v>4062</v>
      </c>
      <c r="C1434" s="75" t="s">
        <v>4063</v>
      </c>
      <c r="D1434" s="75" t="s">
        <v>13</v>
      </c>
      <c r="E1434" s="75" t="s">
        <v>53</v>
      </c>
      <c r="F1434" s="75" t="s">
        <v>193</v>
      </c>
    </row>
    <row r="1435" spans="1:6" x14ac:dyDescent="0.3">
      <c r="A1435" s="75" t="s">
        <v>4064</v>
      </c>
      <c r="B1435" s="75" t="s">
        <v>4065</v>
      </c>
      <c r="C1435" s="75" t="s">
        <v>4066</v>
      </c>
      <c r="D1435" s="75">
        <v>2017</v>
      </c>
      <c r="E1435" s="75" t="s">
        <v>8</v>
      </c>
      <c r="F1435" s="75" t="s">
        <v>9</v>
      </c>
    </row>
    <row r="1436" spans="1:6" x14ac:dyDescent="0.3">
      <c r="A1436" s="75" t="s">
        <v>4067</v>
      </c>
      <c r="B1436" s="75" t="s">
        <v>4068</v>
      </c>
      <c r="C1436" s="75" t="s">
        <v>4069</v>
      </c>
      <c r="D1436" s="75">
        <v>2006</v>
      </c>
      <c r="E1436" s="75" t="s">
        <v>18</v>
      </c>
      <c r="F1436" s="75" t="s">
        <v>1032</v>
      </c>
    </row>
    <row r="1437" spans="1:6" x14ac:dyDescent="0.3">
      <c r="A1437" s="75" t="s">
        <v>4070</v>
      </c>
      <c r="B1437" s="75" t="s">
        <v>4071</v>
      </c>
      <c r="C1437" s="75" t="s">
        <v>4072</v>
      </c>
      <c r="D1437" s="75">
        <v>2016</v>
      </c>
      <c r="E1437" s="75" t="s">
        <v>31</v>
      </c>
      <c r="F1437" s="75" t="s">
        <v>92</v>
      </c>
    </row>
    <row r="1438" spans="1:6" x14ac:dyDescent="0.3">
      <c r="A1438" s="75" t="s">
        <v>4073</v>
      </c>
      <c r="B1438" s="75" t="s">
        <v>4074</v>
      </c>
      <c r="C1438" s="75" t="s">
        <v>4075</v>
      </c>
      <c r="D1438" s="75">
        <v>1998</v>
      </c>
      <c r="E1438" s="75" t="s">
        <v>70</v>
      </c>
      <c r="F1438" s="75" t="s">
        <v>326</v>
      </c>
    </row>
    <row r="1439" spans="1:6" x14ac:dyDescent="0.3">
      <c r="A1439" s="75" t="s">
        <v>4076</v>
      </c>
      <c r="B1439" s="75" t="s">
        <v>4077</v>
      </c>
      <c r="C1439" s="75" t="s">
        <v>4078</v>
      </c>
      <c r="D1439" s="75" t="s">
        <v>13</v>
      </c>
      <c r="E1439" s="75" t="s">
        <v>348</v>
      </c>
      <c r="F1439" s="75" t="s">
        <v>2177</v>
      </c>
    </row>
    <row r="1440" spans="1:6" x14ac:dyDescent="0.3">
      <c r="A1440" s="75" t="s">
        <v>4079</v>
      </c>
      <c r="B1440" s="75" t="s">
        <v>4080</v>
      </c>
      <c r="C1440" s="75" t="s">
        <v>4081</v>
      </c>
      <c r="D1440" s="75">
        <v>1992</v>
      </c>
      <c r="E1440" s="75" t="s">
        <v>70</v>
      </c>
      <c r="F1440" s="75" t="s">
        <v>80</v>
      </c>
    </row>
    <row r="1441" spans="1:6" x14ac:dyDescent="0.3">
      <c r="A1441" s="75" t="s">
        <v>4082</v>
      </c>
      <c r="B1441" s="75" t="s">
        <v>4083</v>
      </c>
      <c r="C1441" s="75" t="s">
        <v>3787</v>
      </c>
      <c r="D1441" s="75">
        <v>2013</v>
      </c>
      <c r="E1441" s="75" t="s">
        <v>84</v>
      </c>
      <c r="F1441" s="75" t="s">
        <v>63</v>
      </c>
    </row>
    <row r="1442" spans="1:6" x14ac:dyDescent="0.3">
      <c r="A1442" s="75" t="s">
        <v>4084</v>
      </c>
      <c r="B1442" s="75" t="s">
        <v>4085</v>
      </c>
      <c r="C1442" s="75" t="s">
        <v>4086</v>
      </c>
      <c r="D1442" s="75" t="s">
        <v>13</v>
      </c>
      <c r="E1442" s="75" t="s">
        <v>31</v>
      </c>
      <c r="F1442" s="75" t="s">
        <v>798</v>
      </c>
    </row>
    <row r="1443" spans="1:6" x14ac:dyDescent="0.3">
      <c r="A1443" s="75" t="s">
        <v>4087</v>
      </c>
      <c r="B1443" s="75" t="s">
        <v>4088</v>
      </c>
      <c r="C1443" s="75" t="s">
        <v>4089</v>
      </c>
      <c r="D1443" s="75" t="s">
        <v>13</v>
      </c>
      <c r="E1443" s="75" t="s">
        <v>70</v>
      </c>
      <c r="F1443" s="75" t="s">
        <v>118</v>
      </c>
    </row>
    <row r="1444" spans="1:6" x14ac:dyDescent="0.3">
      <c r="A1444" s="75" t="s">
        <v>4090</v>
      </c>
      <c r="B1444" s="75" t="s">
        <v>4091</v>
      </c>
      <c r="C1444" s="75" t="s">
        <v>4092</v>
      </c>
      <c r="D1444" s="75">
        <v>1991</v>
      </c>
      <c r="E1444" s="75" t="s">
        <v>70</v>
      </c>
      <c r="F1444" s="75" t="s">
        <v>137</v>
      </c>
    </row>
    <row r="1445" spans="1:6" x14ac:dyDescent="0.3">
      <c r="A1445" s="75" t="s">
        <v>4093</v>
      </c>
      <c r="B1445" s="75" t="s">
        <v>4094</v>
      </c>
      <c r="C1445" s="75" t="s">
        <v>4095</v>
      </c>
      <c r="D1445" s="75" t="s">
        <v>13</v>
      </c>
      <c r="E1445" s="75" t="s">
        <v>53</v>
      </c>
      <c r="F1445" s="75" t="s">
        <v>1728</v>
      </c>
    </row>
    <row r="1446" spans="1:6" x14ac:dyDescent="0.3">
      <c r="A1446" s="75" t="s">
        <v>4096</v>
      </c>
      <c r="B1446" s="75" t="s">
        <v>4097</v>
      </c>
      <c r="C1446" s="75" t="s">
        <v>4098</v>
      </c>
      <c r="D1446" s="75">
        <v>2011</v>
      </c>
      <c r="E1446" s="75" t="s">
        <v>8</v>
      </c>
      <c r="F1446" s="75" t="s">
        <v>23</v>
      </c>
    </row>
    <row r="1447" spans="1:6" x14ac:dyDescent="0.3">
      <c r="A1447" s="75" t="s">
        <v>4099</v>
      </c>
      <c r="B1447" s="75" t="s">
        <v>4100</v>
      </c>
      <c r="C1447" s="75" t="s">
        <v>4101</v>
      </c>
      <c r="D1447" s="75" t="s">
        <v>13</v>
      </c>
      <c r="E1447" s="75" t="s">
        <v>18</v>
      </c>
      <c r="F1447" s="75" t="s">
        <v>2312</v>
      </c>
    </row>
    <row r="1448" spans="1:6" x14ac:dyDescent="0.3">
      <c r="A1448" s="75" t="s">
        <v>4102</v>
      </c>
      <c r="B1448" s="75" t="s">
        <v>4103</v>
      </c>
      <c r="C1448" s="75" t="s">
        <v>4104</v>
      </c>
      <c r="D1448" s="75" t="s">
        <v>13</v>
      </c>
      <c r="E1448" s="75" t="s">
        <v>70</v>
      </c>
      <c r="F1448" s="75" t="s">
        <v>71</v>
      </c>
    </row>
    <row r="1449" spans="1:6" x14ac:dyDescent="0.3">
      <c r="A1449" s="75" t="s">
        <v>4105</v>
      </c>
      <c r="B1449" s="75" t="s">
        <v>4106</v>
      </c>
      <c r="C1449" s="75" t="s">
        <v>4107</v>
      </c>
      <c r="D1449" s="75">
        <v>2014</v>
      </c>
      <c r="E1449" s="75" t="s">
        <v>31</v>
      </c>
      <c r="F1449" s="75" t="s">
        <v>32</v>
      </c>
    </row>
    <row r="1450" spans="1:6" x14ac:dyDescent="0.3">
      <c r="A1450" s="75" t="s">
        <v>4108</v>
      </c>
      <c r="B1450" s="75" t="s">
        <v>4109</v>
      </c>
      <c r="C1450" s="75" t="s">
        <v>35</v>
      </c>
      <c r="D1450" s="75">
        <v>1987</v>
      </c>
      <c r="E1450" s="75" t="s">
        <v>53</v>
      </c>
      <c r="F1450" s="75" t="s">
        <v>1427</v>
      </c>
    </row>
    <row r="1451" spans="1:6" x14ac:dyDescent="0.3">
      <c r="A1451" s="75" t="s">
        <v>4110</v>
      </c>
      <c r="B1451" s="75" t="s">
        <v>4111</v>
      </c>
      <c r="C1451" s="75" t="s">
        <v>4112</v>
      </c>
      <c r="D1451" s="75">
        <v>2014</v>
      </c>
      <c r="E1451" s="75" t="s">
        <v>70</v>
      </c>
      <c r="F1451" s="75" t="s">
        <v>176</v>
      </c>
    </row>
    <row r="1452" spans="1:6" x14ac:dyDescent="0.3">
      <c r="A1452" s="75" t="s">
        <v>4113</v>
      </c>
      <c r="B1452" s="75" t="s">
        <v>4114</v>
      </c>
      <c r="C1452" s="75" t="s">
        <v>4115</v>
      </c>
      <c r="D1452" s="75" t="s">
        <v>13</v>
      </c>
      <c r="E1452" s="75" t="s">
        <v>96</v>
      </c>
      <c r="F1452" s="75" t="s">
        <v>63</v>
      </c>
    </row>
    <row r="1453" spans="1:6" x14ac:dyDescent="0.3">
      <c r="A1453" s="75" t="s">
        <v>4116</v>
      </c>
      <c r="B1453" s="75" t="s">
        <v>4117</v>
      </c>
      <c r="C1453" s="75" t="s">
        <v>4118</v>
      </c>
      <c r="D1453" s="75" t="s">
        <v>13</v>
      </c>
      <c r="E1453" s="75" t="s">
        <v>8</v>
      </c>
      <c r="F1453" s="75" t="s">
        <v>1261</v>
      </c>
    </row>
    <row r="1454" spans="1:6" x14ac:dyDescent="0.3">
      <c r="A1454" s="75" t="s">
        <v>4119</v>
      </c>
      <c r="B1454" s="75" t="s">
        <v>4120</v>
      </c>
      <c r="C1454" s="75" t="s">
        <v>4121</v>
      </c>
      <c r="D1454" s="75">
        <v>2000</v>
      </c>
      <c r="E1454" s="75" t="s">
        <v>53</v>
      </c>
      <c r="F1454" s="75" t="s">
        <v>111</v>
      </c>
    </row>
    <row r="1455" spans="1:6" x14ac:dyDescent="0.3">
      <c r="A1455" s="75" t="s">
        <v>4122</v>
      </c>
      <c r="B1455" s="75" t="s">
        <v>4123</v>
      </c>
      <c r="C1455" s="75" t="s">
        <v>4124</v>
      </c>
      <c r="D1455" s="75">
        <v>1995</v>
      </c>
      <c r="E1455" s="75" t="s">
        <v>53</v>
      </c>
      <c r="F1455" s="75" t="s">
        <v>63</v>
      </c>
    </row>
    <row r="1456" spans="1:6" x14ac:dyDescent="0.3">
      <c r="A1456" s="75" t="s">
        <v>4125</v>
      </c>
      <c r="B1456" s="75" t="s">
        <v>4126</v>
      </c>
      <c r="C1456" s="75" t="s">
        <v>4127</v>
      </c>
      <c r="D1456" s="75">
        <v>1999</v>
      </c>
      <c r="E1456" s="75" t="s">
        <v>31</v>
      </c>
      <c r="F1456" s="75" t="s">
        <v>798</v>
      </c>
    </row>
    <row r="1457" spans="1:6" x14ac:dyDescent="0.3">
      <c r="A1457" s="75" t="s">
        <v>4128</v>
      </c>
      <c r="B1457" s="75" t="s">
        <v>4129</v>
      </c>
      <c r="C1457" s="75" t="s">
        <v>4130</v>
      </c>
      <c r="D1457" s="75">
        <v>1987</v>
      </c>
      <c r="E1457" s="75" t="s">
        <v>70</v>
      </c>
      <c r="F1457" s="75" t="s">
        <v>137</v>
      </c>
    </row>
    <row r="1458" spans="1:6" x14ac:dyDescent="0.3">
      <c r="A1458" s="75" t="s">
        <v>4131</v>
      </c>
      <c r="B1458" s="75" t="s">
        <v>4132</v>
      </c>
      <c r="C1458" s="75" t="s">
        <v>4133</v>
      </c>
      <c r="D1458" s="75">
        <v>2014</v>
      </c>
      <c r="E1458" s="75" t="s">
        <v>70</v>
      </c>
      <c r="F1458" s="75" t="s">
        <v>71</v>
      </c>
    </row>
    <row r="1459" spans="1:6" x14ac:dyDescent="0.3">
      <c r="A1459" s="75" t="s">
        <v>4134</v>
      </c>
      <c r="B1459" s="75" t="s">
        <v>4135</v>
      </c>
      <c r="C1459" s="75" t="s">
        <v>4136</v>
      </c>
      <c r="D1459" s="75" t="s">
        <v>13</v>
      </c>
      <c r="E1459" s="75" t="s">
        <v>70</v>
      </c>
      <c r="F1459" s="75" t="s">
        <v>71</v>
      </c>
    </row>
    <row r="1460" spans="1:6" x14ac:dyDescent="0.3">
      <c r="A1460" s="75" t="s">
        <v>4137</v>
      </c>
      <c r="B1460" s="75" t="s">
        <v>4138</v>
      </c>
      <c r="C1460" s="75" t="s">
        <v>4139</v>
      </c>
      <c r="D1460" s="75">
        <v>1989</v>
      </c>
      <c r="E1460" s="75" t="s">
        <v>70</v>
      </c>
      <c r="F1460" s="75" t="s">
        <v>71</v>
      </c>
    </row>
    <row r="1461" spans="1:6" x14ac:dyDescent="0.3">
      <c r="A1461" s="75" t="s">
        <v>4140</v>
      </c>
      <c r="B1461" s="75" t="s">
        <v>4141</v>
      </c>
      <c r="C1461" s="75" t="s">
        <v>4142</v>
      </c>
      <c r="D1461" s="75" t="s">
        <v>13</v>
      </c>
      <c r="E1461" s="75" t="s">
        <v>70</v>
      </c>
      <c r="F1461" s="75" t="s">
        <v>137</v>
      </c>
    </row>
    <row r="1462" spans="1:6" x14ac:dyDescent="0.3">
      <c r="A1462" s="75" t="s">
        <v>4143</v>
      </c>
      <c r="B1462" s="75" t="s">
        <v>4144</v>
      </c>
      <c r="C1462" s="75" t="s">
        <v>4145</v>
      </c>
      <c r="D1462" s="75">
        <v>2017</v>
      </c>
      <c r="E1462" s="75" t="s">
        <v>70</v>
      </c>
      <c r="F1462" s="75" t="s">
        <v>71</v>
      </c>
    </row>
    <row r="1463" spans="1:6" x14ac:dyDescent="0.3">
      <c r="A1463" s="75" t="s">
        <v>4146</v>
      </c>
      <c r="B1463" s="75" t="s">
        <v>4144</v>
      </c>
      <c r="C1463" s="75" t="s">
        <v>13</v>
      </c>
      <c r="D1463" s="75">
        <v>2017</v>
      </c>
      <c r="E1463" s="75" t="s">
        <v>70</v>
      </c>
      <c r="F1463" s="75" t="s">
        <v>71</v>
      </c>
    </row>
    <row r="1464" spans="1:6" x14ac:dyDescent="0.3">
      <c r="A1464" s="75" t="s">
        <v>4147</v>
      </c>
      <c r="B1464" s="75" t="s">
        <v>4148</v>
      </c>
      <c r="C1464" s="75" t="s">
        <v>2645</v>
      </c>
      <c r="D1464" s="75" t="s">
        <v>13</v>
      </c>
      <c r="E1464" s="75" t="s">
        <v>70</v>
      </c>
      <c r="F1464" s="75" t="s">
        <v>71</v>
      </c>
    </row>
    <row r="1465" spans="1:6" x14ac:dyDescent="0.3">
      <c r="A1465" s="75" t="s">
        <v>4149</v>
      </c>
      <c r="B1465" s="75" t="s">
        <v>4150</v>
      </c>
      <c r="C1465" s="75" t="s">
        <v>4151</v>
      </c>
      <c r="D1465" s="75" t="s">
        <v>13</v>
      </c>
      <c r="E1465" s="75" t="s">
        <v>31</v>
      </c>
      <c r="F1465" s="75" t="s">
        <v>36</v>
      </c>
    </row>
    <row r="1466" spans="1:6" x14ac:dyDescent="0.3">
      <c r="A1466" s="75" t="s">
        <v>4152</v>
      </c>
      <c r="B1466" s="75" t="s">
        <v>4153</v>
      </c>
      <c r="C1466" s="75" t="s">
        <v>4154</v>
      </c>
      <c r="D1466" s="75">
        <v>2016</v>
      </c>
      <c r="E1466" s="75" t="s">
        <v>53</v>
      </c>
      <c r="F1466" s="75" t="s">
        <v>63</v>
      </c>
    </row>
    <row r="1467" spans="1:6" x14ac:dyDescent="0.3">
      <c r="A1467" s="75" t="s">
        <v>4155</v>
      </c>
      <c r="B1467" s="75" t="s">
        <v>4156</v>
      </c>
      <c r="C1467" s="75" t="s">
        <v>4157</v>
      </c>
      <c r="D1467" s="75" t="s">
        <v>13</v>
      </c>
      <c r="E1467" s="75" t="s">
        <v>70</v>
      </c>
      <c r="F1467" s="75" t="s">
        <v>71</v>
      </c>
    </row>
    <row r="1468" spans="1:6" x14ac:dyDescent="0.3">
      <c r="A1468" s="75" t="s">
        <v>4158</v>
      </c>
      <c r="B1468" s="75" t="s">
        <v>4159</v>
      </c>
      <c r="C1468" s="75" t="s">
        <v>4160</v>
      </c>
      <c r="D1468" s="75">
        <v>2014</v>
      </c>
      <c r="E1468" s="75" t="s">
        <v>70</v>
      </c>
      <c r="F1468" s="75" t="s">
        <v>326</v>
      </c>
    </row>
    <row r="1469" spans="1:6" x14ac:dyDescent="0.3">
      <c r="A1469" s="75" t="s">
        <v>4161</v>
      </c>
      <c r="B1469" s="75" t="s">
        <v>4162</v>
      </c>
      <c r="C1469" s="75" t="s">
        <v>4163</v>
      </c>
      <c r="D1469" s="75" t="s">
        <v>13</v>
      </c>
      <c r="E1469" s="75" t="s">
        <v>70</v>
      </c>
      <c r="F1469" s="75" t="s">
        <v>326</v>
      </c>
    </row>
    <row r="1470" spans="1:6" x14ac:dyDescent="0.3">
      <c r="A1470" s="75" t="s">
        <v>4164</v>
      </c>
      <c r="B1470" s="75" t="s">
        <v>4165</v>
      </c>
      <c r="C1470" s="75" t="s">
        <v>1233</v>
      </c>
      <c r="D1470" s="75" t="s">
        <v>13</v>
      </c>
      <c r="E1470" s="75" t="s">
        <v>8</v>
      </c>
      <c r="F1470" s="75" t="s">
        <v>27</v>
      </c>
    </row>
    <row r="1471" spans="1:6" x14ac:dyDescent="0.3">
      <c r="A1471" s="75" t="s">
        <v>4166</v>
      </c>
      <c r="B1471" s="75" t="s">
        <v>4167</v>
      </c>
      <c r="C1471" s="75" t="s">
        <v>4168</v>
      </c>
      <c r="D1471" s="75" t="s">
        <v>13</v>
      </c>
      <c r="E1471" s="75" t="s">
        <v>8</v>
      </c>
      <c r="F1471" s="75" t="s">
        <v>27</v>
      </c>
    </row>
    <row r="1472" spans="1:6" x14ac:dyDescent="0.3">
      <c r="A1472" s="75" t="s">
        <v>4169</v>
      </c>
      <c r="B1472" s="75" t="s">
        <v>4170</v>
      </c>
      <c r="C1472" s="75" t="s">
        <v>530</v>
      </c>
      <c r="D1472" s="75">
        <v>2013</v>
      </c>
      <c r="E1472" s="75" t="s">
        <v>8</v>
      </c>
      <c r="F1472" s="75" t="s">
        <v>27</v>
      </c>
    </row>
    <row r="1473" spans="1:6" x14ac:dyDescent="0.3">
      <c r="A1473" s="75" t="s">
        <v>4171</v>
      </c>
      <c r="B1473" s="75" t="s">
        <v>4172</v>
      </c>
      <c r="C1473" s="75" t="s">
        <v>13</v>
      </c>
      <c r="D1473" s="75">
        <v>2017</v>
      </c>
      <c r="E1473" s="75" t="s">
        <v>8</v>
      </c>
      <c r="F1473" s="75" t="s">
        <v>76</v>
      </c>
    </row>
    <row r="1474" spans="1:6" x14ac:dyDescent="0.3">
      <c r="A1474" s="75" t="s">
        <v>4173</v>
      </c>
      <c r="B1474" s="75" t="s">
        <v>4174</v>
      </c>
      <c r="C1474" s="75" t="s">
        <v>4175</v>
      </c>
      <c r="D1474" s="75" t="s">
        <v>13</v>
      </c>
      <c r="E1474" s="75" t="s">
        <v>518</v>
      </c>
      <c r="F1474" s="75" t="s">
        <v>353</v>
      </c>
    </row>
    <row r="1475" spans="1:6" x14ac:dyDescent="0.3">
      <c r="A1475" s="75" t="s">
        <v>4176</v>
      </c>
      <c r="B1475" s="75" t="s">
        <v>4177</v>
      </c>
      <c r="C1475" s="75" t="s">
        <v>643</v>
      </c>
      <c r="D1475" s="75">
        <v>2007</v>
      </c>
      <c r="E1475" s="75" t="s">
        <v>44</v>
      </c>
      <c r="F1475" s="75" t="s">
        <v>49</v>
      </c>
    </row>
    <row r="1476" spans="1:6" x14ac:dyDescent="0.3">
      <c r="A1476" s="75" t="s">
        <v>4178</v>
      </c>
      <c r="B1476" s="75" t="s">
        <v>4179</v>
      </c>
      <c r="C1476" s="75" t="s">
        <v>4180</v>
      </c>
      <c r="D1476" s="75" t="s">
        <v>13</v>
      </c>
      <c r="E1476" s="75" t="s">
        <v>70</v>
      </c>
      <c r="F1476" s="75" t="s">
        <v>71</v>
      </c>
    </row>
    <row r="1477" spans="1:6" x14ac:dyDescent="0.3">
      <c r="A1477" s="75" t="s">
        <v>4181</v>
      </c>
      <c r="B1477" s="75" t="s">
        <v>4182</v>
      </c>
      <c r="C1477" s="75" t="s">
        <v>1367</v>
      </c>
      <c r="D1477" s="75">
        <v>2003</v>
      </c>
      <c r="E1477" s="75" t="s">
        <v>8</v>
      </c>
      <c r="F1477" s="75" t="s">
        <v>9</v>
      </c>
    </row>
    <row r="1478" spans="1:6" x14ac:dyDescent="0.3">
      <c r="A1478" s="75" t="s">
        <v>4183</v>
      </c>
      <c r="B1478" s="75" t="s">
        <v>4184</v>
      </c>
      <c r="C1478" s="75" t="s">
        <v>4185</v>
      </c>
      <c r="D1478" s="75" t="s">
        <v>13</v>
      </c>
      <c r="E1478" s="75" t="s">
        <v>18</v>
      </c>
      <c r="F1478" s="75" t="s">
        <v>1032</v>
      </c>
    </row>
    <row r="1479" spans="1:6" x14ac:dyDescent="0.3">
      <c r="A1479" s="75" t="s">
        <v>4186</v>
      </c>
      <c r="B1479" s="75" t="s">
        <v>4187</v>
      </c>
      <c r="C1479" s="75" t="s">
        <v>4188</v>
      </c>
      <c r="D1479" s="75" t="s">
        <v>13</v>
      </c>
      <c r="E1479" s="75" t="s">
        <v>348</v>
      </c>
      <c r="F1479" s="75" t="s">
        <v>1427</v>
      </c>
    </row>
    <row r="1480" spans="1:6" x14ac:dyDescent="0.3">
      <c r="A1480" s="75" t="s">
        <v>4189</v>
      </c>
      <c r="B1480" s="75" t="s">
        <v>4190</v>
      </c>
      <c r="C1480" s="75" t="s">
        <v>4191</v>
      </c>
      <c r="D1480" s="75">
        <v>1987</v>
      </c>
      <c r="E1480" s="75" t="s">
        <v>18</v>
      </c>
      <c r="F1480" s="75" t="s">
        <v>2312</v>
      </c>
    </row>
    <row r="1481" spans="1:6" x14ac:dyDescent="0.3">
      <c r="A1481" s="75" t="s">
        <v>4192</v>
      </c>
      <c r="B1481" s="75" t="s">
        <v>4193</v>
      </c>
      <c r="C1481" s="75" t="s">
        <v>4194</v>
      </c>
      <c r="D1481" s="75">
        <v>2006</v>
      </c>
      <c r="E1481" s="75" t="s">
        <v>518</v>
      </c>
      <c r="F1481" s="75" t="s">
        <v>1642</v>
      </c>
    </row>
    <row r="1482" spans="1:6" x14ac:dyDescent="0.3">
      <c r="A1482" s="75" t="s">
        <v>4195</v>
      </c>
      <c r="B1482" s="75" t="s">
        <v>4196</v>
      </c>
      <c r="C1482" s="75" t="s">
        <v>4197</v>
      </c>
      <c r="D1482" s="75">
        <v>1993</v>
      </c>
      <c r="E1482" s="75" t="s">
        <v>31</v>
      </c>
      <c r="F1482" s="75" t="s">
        <v>161</v>
      </c>
    </row>
    <row r="1483" spans="1:6" x14ac:dyDescent="0.3">
      <c r="A1483" s="75" t="s">
        <v>4198</v>
      </c>
      <c r="B1483" s="75" t="s">
        <v>4199</v>
      </c>
      <c r="C1483" s="75" t="s">
        <v>4200</v>
      </c>
      <c r="D1483" s="75">
        <v>2006</v>
      </c>
      <c r="E1483" s="75" t="s">
        <v>518</v>
      </c>
      <c r="F1483" s="75" t="s">
        <v>1762</v>
      </c>
    </row>
    <row r="1484" spans="1:6" x14ac:dyDescent="0.3">
      <c r="A1484" s="75" t="s">
        <v>4201</v>
      </c>
      <c r="B1484" s="75" t="s">
        <v>4202</v>
      </c>
      <c r="C1484" s="75" t="s">
        <v>3507</v>
      </c>
      <c r="D1484" s="75" t="s">
        <v>13</v>
      </c>
      <c r="E1484" s="75" t="s">
        <v>58</v>
      </c>
      <c r="F1484" s="75" t="s">
        <v>59</v>
      </c>
    </row>
    <row r="1485" spans="1:6" x14ac:dyDescent="0.3">
      <c r="A1485" s="75" t="s">
        <v>4203</v>
      </c>
      <c r="B1485" s="75" t="s">
        <v>4204</v>
      </c>
      <c r="C1485" s="75" t="s">
        <v>4205</v>
      </c>
      <c r="D1485" s="75">
        <v>2000</v>
      </c>
      <c r="E1485" s="75" t="s">
        <v>31</v>
      </c>
      <c r="F1485" s="75" t="s">
        <v>161</v>
      </c>
    </row>
    <row r="1486" spans="1:6" x14ac:dyDescent="0.3">
      <c r="A1486" s="75" t="s">
        <v>4206</v>
      </c>
      <c r="B1486" s="75" t="s">
        <v>4207</v>
      </c>
      <c r="C1486" s="75" t="s">
        <v>1492</v>
      </c>
      <c r="D1486" s="75" t="s">
        <v>13</v>
      </c>
      <c r="E1486" s="75" t="s">
        <v>70</v>
      </c>
      <c r="F1486" s="75" t="s">
        <v>71</v>
      </c>
    </row>
    <row r="1487" spans="1:6" x14ac:dyDescent="0.3">
      <c r="A1487" s="75" t="s">
        <v>4208</v>
      </c>
      <c r="B1487" s="75" t="s">
        <v>4209</v>
      </c>
      <c r="C1487" s="75" t="s">
        <v>1460</v>
      </c>
      <c r="D1487" s="75">
        <v>2014</v>
      </c>
      <c r="E1487" s="75" t="s">
        <v>70</v>
      </c>
      <c r="F1487" s="75" t="s">
        <v>353</v>
      </c>
    </row>
    <row r="1488" spans="1:6" x14ac:dyDescent="0.3">
      <c r="A1488" s="75" t="s">
        <v>4210</v>
      </c>
      <c r="B1488" s="75" t="s">
        <v>4211</v>
      </c>
      <c r="C1488" s="75" t="s">
        <v>4212</v>
      </c>
      <c r="D1488" s="75">
        <v>2015</v>
      </c>
      <c r="E1488" s="75" t="s">
        <v>70</v>
      </c>
      <c r="F1488" s="75" t="s">
        <v>71</v>
      </c>
    </row>
    <row r="1489" spans="1:6" x14ac:dyDescent="0.3">
      <c r="A1489" s="75" t="s">
        <v>4213</v>
      </c>
      <c r="B1489" s="75" t="s">
        <v>4214</v>
      </c>
      <c r="C1489" s="75" t="s">
        <v>368</v>
      </c>
      <c r="D1489" s="75">
        <v>2015</v>
      </c>
      <c r="E1489" s="75" t="s">
        <v>31</v>
      </c>
      <c r="F1489" s="75" t="s">
        <v>161</v>
      </c>
    </row>
    <row r="1490" spans="1:6" x14ac:dyDescent="0.3">
      <c r="A1490" s="75" t="s">
        <v>4215</v>
      </c>
      <c r="B1490" s="75" t="s">
        <v>4216</v>
      </c>
      <c r="C1490" s="75" t="s">
        <v>4217</v>
      </c>
      <c r="D1490" s="75" t="s">
        <v>13</v>
      </c>
      <c r="E1490" s="75" t="s">
        <v>70</v>
      </c>
      <c r="F1490" s="75" t="s">
        <v>80</v>
      </c>
    </row>
    <row r="1491" spans="1:6" x14ac:dyDescent="0.3">
      <c r="A1491" s="75" t="s">
        <v>4218</v>
      </c>
      <c r="B1491" s="75" t="s">
        <v>4219</v>
      </c>
      <c r="C1491" s="75" t="s">
        <v>4220</v>
      </c>
      <c r="D1491" s="75">
        <v>2014</v>
      </c>
      <c r="E1491" s="75" t="s">
        <v>31</v>
      </c>
      <c r="F1491" s="75" t="s">
        <v>161</v>
      </c>
    </row>
    <row r="1492" spans="1:6" x14ac:dyDescent="0.3">
      <c r="A1492" s="75" t="s">
        <v>4221</v>
      </c>
      <c r="B1492" s="75" t="s">
        <v>4222</v>
      </c>
      <c r="C1492" s="75" t="s">
        <v>4223</v>
      </c>
      <c r="D1492" s="75" t="s">
        <v>13</v>
      </c>
      <c r="E1492" s="75" t="s">
        <v>518</v>
      </c>
      <c r="F1492" s="75" t="s">
        <v>49</v>
      </c>
    </row>
    <row r="1493" spans="1:6" x14ac:dyDescent="0.3">
      <c r="A1493" s="75" t="s">
        <v>4224</v>
      </c>
      <c r="B1493" s="75" t="s">
        <v>4225</v>
      </c>
      <c r="C1493" s="75" t="s">
        <v>4226</v>
      </c>
      <c r="D1493" s="75">
        <v>1995</v>
      </c>
      <c r="E1493" s="75" t="s">
        <v>18</v>
      </c>
      <c r="F1493" s="75" t="s">
        <v>450</v>
      </c>
    </row>
    <row r="1494" spans="1:6" x14ac:dyDescent="0.3">
      <c r="A1494" s="75" t="s">
        <v>4227</v>
      </c>
      <c r="B1494" s="75" t="s">
        <v>4228</v>
      </c>
      <c r="C1494" s="75" t="s">
        <v>4229</v>
      </c>
      <c r="D1494" s="75">
        <v>1991</v>
      </c>
      <c r="E1494" s="75" t="s">
        <v>18</v>
      </c>
      <c r="F1494" s="75" t="s">
        <v>295</v>
      </c>
    </row>
    <row r="1495" spans="1:6" x14ac:dyDescent="0.3">
      <c r="A1495" s="75" t="s">
        <v>4230</v>
      </c>
      <c r="B1495" s="75" t="s">
        <v>4231</v>
      </c>
      <c r="C1495" s="75" t="s">
        <v>4232</v>
      </c>
      <c r="D1495" s="75" t="s">
        <v>13</v>
      </c>
      <c r="E1495" s="75" t="s">
        <v>70</v>
      </c>
      <c r="F1495" s="75" t="s">
        <v>71</v>
      </c>
    </row>
    <row r="1496" spans="1:6" x14ac:dyDescent="0.3">
      <c r="A1496" s="75" t="s">
        <v>4233</v>
      </c>
      <c r="B1496" s="75" t="s">
        <v>4234</v>
      </c>
      <c r="C1496" s="75" t="s">
        <v>4235</v>
      </c>
      <c r="D1496" s="75">
        <v>2014</v>
      </c>
      <c r="E1496" s="75" t="s">
        <v>31</v>
      </c>
      <c r="F1496" s="75" t="s">
        <v>36</v>
      </c>
    </row>
    <row r="1497" spans="1:6" x14ac:dyDescent="0.3">
      <c r="A1497" s="75" t="s">
        <v>4236</v>
      </c>
      <c r="B1497" s="75" t="s">
        <v>4237</v>
      </c>
      <c r="C1497" s="75" t="s">
        <v>4238</v>
      </c>
      <c r="D1497" s="75" t="s">
        <v>13</v>
      </c>
      <c r="E1497" s="75" t="s">
        <v>53</v>
      </c>
      <c r="F1497" s="75" t="s">
        <v>3547</v>
      </c>
    </row>
    <row r="1498" spans="1:6" x14ac:dyDescent="0.3">
      <c r="A1498" s="75" t="s">
        <v>4239</v>
      </c>
      <c r="B1498" s="75" t="s">
        <v>4240</v>
      </c>
      <c r="C1498" s="75" t="s">
        <v>4241</v>
      </c>
      <c r="D1498" s="75">
        <v>2007</v>
      </c>
      <c r="E1498" s="75" t="s">
        <v>70</v>
      </c>
      <c r="F1498" s="75" t="s">
        <v>80</v>
      </c>
    </row>
    <row r="1499" spans="1:6" x14ac:dyDescent="0.3">
      <c r="A1499" s="75" t="s">
        <v>4242</v>
      </c>
      <c r="B1499" s="75" t="s">
        <v>4243</v>
      </c>
      <c r="C1499" s="75" t="s">
        <v>4244</v>
      </c>
      <c r="D1499" s="75">
        <v>2013</v>
      </c>
      <c r="E1499" s="75" t="s">
        <v>70</v>
      </c>
      <c r="F1499" s="75" t="s">
        <v>71</v>
      </c>
    </row>
    <row r="1500" spans="1:6" x14ac:dyDescent="0.3">
      <c r="A1500" s="75" t="s">
        <v>4245</v>
      </c>
      <c r="B1500" s="75" t="s">
        <v>4246</v>
      </c>
      <c r="C1500" s="75" t="s">
        <v>4247</v>
      </c>
      <c r="D1500" s="75">
        <v>2015</v>
      </c>
      <c r="E1500" s="75" t="s">
        <v>70</v>
      </c>
      <c r="F1500" s="75" t="s">
        <v>71</v>
      </c>
    </row>
    <row r="1501" spans="1:6" x14ac:dyDescent="0.3">
      <c r="A1501" s="75" t="s">
        <v>4248</v>
      </c>
      <c r="B1501" s="75" t="s">
        <v>4249</v>
      </c>
      <c r="C1501" s="75" t="s">
        <v>3809</v>
      </c>
      <c r="D1501" s="75" t="s">
        <v>13</v>
      </c>
      <c r="E1501" s="75" t="s">
        <v>53</v>
      </c>
      <c r="F1501" s="75" t="s">
        <v>111</v>
      </c>
    </row>
    <row r="1502" spans="1:6" x14ac:dyDescent="0.3">
      <c r="A1502" s="75" t="s">
        <v>4250</v>
      </c>
      <c r="B1502" s="75" t="s">
        <v>4251</v>
      </c>
      <c r="C1502" s="75" t="s">
        <v>496</v>
      </c>
      <c r="D1502" s="75">
        <v>1984</v>
      </c>
      <c r="E1502" s="75" t="s">
        <v>31</v>
      </c>
      <c r="F1502" s="75" t="s">
        <v>92</v>
      </c>
    </row>
    <row r="1503" spans="1:6" x14ac:dyDescent="0.3">
      <c r="A1503" s="75" t="s">
        <v>4252</v>
      </c>
      <c r="B1503" s="75" t="s">
        <v>4253</v>
      </c>
      <c r="C1503" s="75" t="s">
        <v>13</v>
      </c>
      <c r="D1503" s="75" t="s">
        <v>13</v>
      </c>
      <c r="E1503" s="75" t="s">
        <v>13</v>
      </c>
      <c r="F1503" s="75" t="s">
        <v>13</v>
      </c>
    </row>
    <row r="1504" spans="1:6" x14ac:dyDescent="0.3">
      <c r="A1504" s="75" t="s">
        <v>4254</v>
      </c>
      <c r="B1504" s="75" t="s">
        <v>4255</v>
      </c>
      <c r="C1504" s="75" t="s">
        <v>4256</v>
      </c>
      <c r="D1504" s="75" t="s">
        <v>13</v>
      </c>
      <c r="E1504" s="75" t="s">
        <v>31</v>
      </c>
      <c r="F1504" s="75" t="s">
        <v>92</v>
      </c>
    </row>
    <row r="1505" spans="1:6" x14ac:dyDescent="0.3">
      <c r="A1505" s="75" t="s">
        <v>4257</v>
      </c>
      <c r="B1505" s="75" t="s">
        <v>4258</v>
      </c>
      <c r="C1505" s="75" t="s">
        <v>4259</v>
      </c>
      <c r="D1505" s="75">
        <v>2016</v>
      </c>
      <c r="E1505" s="75" t="s">
        <v>70</v>
      </c>
      <c r="F1505" s="75" t="s">
        <v>137</v>
      </c>
    </row>
    <row r="1506" spans="1:6" x14ac:dyDescent="0.3">
      <c r="A1506" s="75" t="s">
        <v>4260</v>
      </c>
      <c r="B1506" s="75" t="s">
        <v>4261</v>
      </c>
      <c r="C1506" s="75" t="s">
        <v>4262</v>
      </c>
      <c r="D1506" s="75" t="s">
        <v>13</v>
      </c>
      <c r="E1506" s="75" t="s">
        <v>70</v>
      </c>
      <c r="F1506" s="75" t="s">
        <v>71</v>
      </c>
    </row>
    <row r="1507" spans="1:6" x14ac:dyDescent="0.3">
      <c r="A1507" s="75" t="s">
        <v>4263</v>
      </c>
      <c r="B1507" s="75" t="s">
        <v>4264</v>
      </c>
      <c r="C1507" s="75" t="s">
        <v>1483</v>
      </c>
      <c r="D1507" s="75" t="s">
        <v>13</v>
      </c>
      <c r="E1507" s="75" t="s">
        <v>348</v>
      </c>
      <c r="F1507" s="75" t="s">
        <v>4265</v>
      </c>
    </row>
    <row r="1508" spans="1:6" x14ac:dyDescent="0.3">
      <c r="A1508" s="75" t="s">
        <v>4266</v>
      </c>
      <c r="B1508" s="75" t="s">
        <v>4267</v>
      </c>
      <c r="C1508" s="75" t="s">
        <v>4268</v>
      </c>
      <c r="D1508" s="75" t="s">
        <v>13</v>
      </c>
      <c r="E1508" s="75" t="s">
        <v>8</v>
      </c>
      <c r="F1508" s="75" t="s">
        <v>1093</v>
      </c>
    </row>
    <row r="1509" spans="1:6" x14ac:dyDescent="0.3">
      <c r="A1509" s="75" t="s">
        <v>4269</v>
      </c>
      <c r="B1509" s="75" t="s">
        <v>4270</v>
      </c>
      <c r="C1509" s="75" t="s">
        <v>4271</v>
      </c>
      <c r="D1509" s="75">
        <v>2012</v>
      </c>
      <c r="E1509" s="75" t="s">
        <v>70</v>
      </c>
      <c r="F1509" s="75" t="s">
        <v>71</v>
      </c>
    </row>
    <row r="1510" spans="1:6" x14ac:dyDescent="0.3">
      <c r="A1510" s="75" t="s">
        <v>4272</v>
      </c>
      <c r="B1510" s="75" t="s">
        <v>4273</v>
      </c>
      <c r="C1510" s="75" t="s">
        <v>2997</v>
      </c>
      <c r="D1510" s="75" t="s">
        <v>13</v>
      </c>
      <c r="E1510" s="75" t="s">
        <v>96</v>
      </c>
      <c r="F1510" s="75" t="s">
        <v>97</v>
      </c>
    </row>
    <row r="1511" spans="1:6" x14ac:dyDescent="0.3">
      <c r="A1511" s="75" t="s">
        <v>4274</v>
      </c>
      <c r="B1511" s="75" t="s">
        <v>4275</v>
      </c>
      <c r="C1511" s="75" t="s">
        <v>4276</v>
      </c>
      <c r="D1511" s="75" t="s">
        <v>13</v>
      </c>
      <c r="E1511" s="75" t="s">
        <v>518</v>
      </c>
      <c r="F1511" s="75" t="s">
        <v>630</v>
      </c>
    </row>
    <row r="1512" spans="1:6" x14ac:dyDescent="0.3">
      <c r="A1512" s="75" t="s">
        <v>4277</v>
      </c>
      <c r="B1512" s="75" t="s">
        <v>4278</v>
      </c>
      <c r="C1512" s="75" t="s">
        <v>4279</v>
      </c>
      <c r="D1512" s="75" t="s">
        <v>13</v>
      </c>
      <c r="E1512" s="75" t="s">
        <v>31</v>
      </c>
      <c r="F1512" s="75" t="s">
        <v>798</v>
      </c>
    </row>
    <row r="1513" spans="1:6" x14ac:dyDescent="0.3">
      <c r="A1513" s="75" t="s">
        <v>4280</v>
      </c>
      <c r="B1513" s="75" t="s">
        <v>4281</v>
      </c>
      <c r="C1513" s="75" t="s">
        <v>4282</v>
      </c>
      <c r="D1513" s="75">
        <v>2011</v>
      </c>
      <c r="E1513" s="75" t="s">
        <v>31</v>
      </c>
      <c r="F1513" s="75" t="s">
        <v>92</v>
      </c>
    </row>
    <row r="1514" spans="1:6" x14ac:dyDescent="0.3">
      <c r="A1514" s="75" t="s">
        <v>4283</v>
      </c>
      <c r="B1514" s="75" t="s">
        <v>4284</v>
      </c>
      <c r="C1514" s="75" t="s">
        <v>4285</v>
      </c>
      <c r="D1514" s="75">
        <v>1999</v>
      </c>
      <c r="E1514" s="75" t="s">
        <v>31</v>
      </c>
      <c r="F1514" s="75" t="s">
        <v>32</v>
      </c>
    </row>
    <row r="1515" spans="1:6" x14ac:dyDescent="0.3">
      <c r="A1515" s="75" t="s">
        <v>4286</v>
      </c>
      <c r="B1515" s="75" t="s">
        <v>4287</v>
      </c>
      <c r="C1515" s="75" t="s">
        <v>2907</v>
      </c>
      <c r="D1515" s="75" t="s">
        <v>13</v>
      </c>
      <c r="E1515" s="75" t="s">
        <v>8</v>
      </c>
      <c r="F1515" s="75" t="s">
        <v>27</v>
      </c>
    </row>
    <row r="1516" spans="1:6" x14ac:dyDescent="0.3">
      <c r="A1516" s="75" t="s">
        <v>4288</v>
      </c>
      <c r="B1516" s="75" t="s">
        <v>4289</v>
      </c>
      <c r="C1516" s="75" t="s">
        <v>4226</v>
      </c>
      <c r="D1516" s="75">
        <v>1996</v>
      </c>
      <c r="E1516" s="75" t="s">
        <v>18</v>
      </c>
      <c r="F1516" s="75" t="s">
        <v>379</v>
      </c>
    </row>
    <row r="1517" spans="1:6" x14ac:dyDescent="0.3">
      <c r="A1517" s="75" t="s">
        <v>4290</v>
      </c>
      <c r="B1517" s="75" t="s">
        <v>4291</v>
      </c>
      <c r="C1517" s="75" t="s">
        <v>4292</v>
      </c>
      <c r="D1517" s="75">
        <v>1999</v>
      </c>
      <c r="E1517" s="75" t="s">
        <v>44</v>
      </c>
      <c r="F1517" s="75" t="s">
        <v>49</v>
      </c>
    </row>
    <row r="1518" spans="1:6" x14ac:dyDescent="0.3">
      <c r="A1518" s="75" t="s">
        <v>4293</v>
      </c>
      <c r="B1518" s="75" t="s">
        <v>4294</v>
      </c>
      <c r="C1518" s="75" t="s">
        <v>4295</v>
      </c>
      <c r="D1518" s="75" t="s">
        <v>13</v>
      </c>
      <c r="E1518" s="75" t="s">
        <v>31</v>
      </c>
      <c r="F1518" s="75" t="s">
        <v>32</v>
      </c>
    </row>
    <row r="1519" spans="1:6" x14ac:dyDescent="0.3">
      <c r="A1519" s="75" t="s">
        <v>4296</v>
      </c>
      <c r="B1519" s="75" t="s">
        <v>4297</v>
      </c>
      <c r="C1519" s="75" t="s">
        <v>4298</v>
      </c>
      <c r="D1519" s="75" t="s">
        <v>13</v>
      </c>
      <c r="E1519" s="75" t="s">
        <v>70</v>
      </c>
      <c r="F1519" s="75" t="s">
        <v>80</v>
      </c>
    </row>
    <row r="1520" spans="1:6" x14ac:dyDescent="0.3">
      <c r="A1520" s="75" t="s">
        <v>4299</v>
      </c>
      <c r="B1520" s="75" t="s">
        <v>4300</v>
      </c>
      <c r="C1520" s="75" t="s">
        <v>4301</v>
      </c>
      <c r="D1520" s="75">
        <v>2014</v>
      </c>
      <c r="E1520" s="75" t="s">
        <v>70</v>
      </c>
      <c r="F1520" s="75" t="s">
        <v>80</v>
      </c>
    </row>
    <row r="1521" spans="1:6" x14ac:dyDescent="0.3">
      <c r="A1521" s="75" t="s">
        <v>4302</v>
      </c>
      <c r="B1521" s="75" t="s">
        <v>4303</v>
      </c>
      <c r="C1521" s="75" t="s">
        <v>4304</v>
      </c>
      <c r="D1521" s="75">
        <v>2004</v>
      </c>
      <c r="E1521" s="75" t="s">
        <v>31</v>
      </c>
      <c r="F1521" s="75" t="s">
        <v>161</v>
      </c>
    </row>
    <row r="1522" spans="1:6" x14ac:dyDescent="0.3">
      <c r="A1522" s="75" t="s">
        <v>4305</v>
      </c>
      <c r="B1522" s="75" t="s">
        <v>4306</v>
      </c>
      <c r="C1522" s="75" t="s">
        <v>4307</v>
      </c>
      <c r="D1522" s="75">
        <v>1995</v>
      </c>
      <c r="E1522" s="75" t="s">
        <v>31</v>
      </c>
      <c r="F1522" s="75" t="s">
        <v>63</v>
      </c>
    </row>
    <row r="1523" spans="1:6" x14ac:dyDescent="0.3">
      <c r="A1523" s="75" t="s">
        <v>4308</v>
      </c>
      <c r="B1523" s="75" t="s">
        <v>4309</v>
      </c>
      <c r="C1523" s="75" t="s">
        <v>4310</v>
      </c>
      <c r="D1523" s="75" t="s">
        <v>13</v>
      </c>
      <c r="E1523" s="75" t="s">
        <v>8</v>
      </c>
      <c r="F1523" s="75" t="s">
        <v>1093</v>
      </c>
    </row>
    <row r="1524" spans="1:6" x14ac:dyDescent="0.3">
      <c r="A1524" s="75" t="s">
        <v>4311</v>
      </c>
      <c r="B1524" s="75" t="s">
        <v>4312</v>
      </c>
      <c r="C1524" s="75" t="s">
        <v>4313</v>
      </c>
      <c r="D1524" s="75" t="s">
        <v>13</v>
      </c>
      <c r="E1524" s="75" t="s">
        <v>70</v>
      </c>
      <c r="F1524" s="75" t="s">
        <v>71</v>
      </c>
    </row>
    <row r="1525" spans="1:6" x14ac:dyDescent="0.3">
      <c r="A1525" s="75" t="s">
        <v>4314</v>
      </c>
      <c r="B1525" s="75" t="s">
        <v>4315</v>
      </c>
      <c r="C1525" s="75" t="s">
        <v>4316</v>
      </c>
      <c r="D1525" s="75" t="s">
        <v>13</v>
      </c>
      <c r="E1525" s="75" t="s">
        <v>53</v>
      </c>
      <c r="F1525" s="75" t="s">
        <v>229</v>
      </c>
    </row>
    <row r="1526" spans="1:6" x14ac:dyDescent="0.3">
      <c r="A1526" s="75" t="s">
        <v>4317</v>
      </c>
      <c r="B1526" s="75" t="s">
        <v>4318</v>
      </c>
      <c r="C1526" s="75" t="s">
        <v>4319</v>
      </c>
      <c r="D1526" s="75">
        <v>1993</v>
      </c>
      <c r="E1526" s="75" t="s">
        <v>31</v>
      </c>
      <c r="F1526" s="75" t="s">
        <v>36</v>
      </c>
    </row>
    <row r="1527" spans="1:6" x14ac:dyDescent="0.3">
      <c r="A1527" s="75" t="s">
        <v>4320</v>
      </c>
      <c r="B1527" s="75" t="s">
        <v>4321</v>
      </c>
      <c r="C1527" s="75" t="s">
        <v>4322</v>
      </c>
      <c r="D1527" s="75">
        <v>2000</v>
      </c>
      <c r="E1527" s="75" t="s">
        <v>70</v>
      </c>
      <c r="F1527" s="75" t="s">
        <v>353</v>
      </c>
    </row>
    <row r="1528" spans="1:6" x14ac:dyDescent="0.3">
      <c r="A1528" s="75" t="s">
        <v>4323</v>
      </c>
      <c r="B1528" s="75" t="s">
        <v>4324</v>
      </c>
      <c r="C1528" s="75" t="s">
        <v>4325</v>
      </c>
      <c r="D1528" s="75">
        <v>1996</v>
      </c>
      <c r="E1528" s="75" t="s">
        <v>348</v>
      </c>
      <c r="F1528" s="75" t="s">
        <v>1219</v>
      </c>
    </row>
    <row r="1529" spans="1:6" x14ac:dyDescent="0.3">
      <c r="A1529" s="75" t="s">
        <v>4326</v>
      </c>
      <c r="B1529" s="75" t="s">
        <v>4327</v>
      </c>
      <c r="C1529" s="75" t="s">
        <v>4328</v>
      </c>
      <c r="D1529" s="75">
        <v>2014</v>
      </c>
      <c r="E1529" s="75" t="s">
        <v>8</v>
      </c>
      <c r="F1529" s="75" t="s">
        <v>27</v>
      </c>
    </row>
    <row r="1530" spans="1:6" x14ac:dyDescent="0.3">
      <c r="A1530" s="75" t="s">
        <v>4329</v>
      </c>
      <c r="B1530" s="75" t="s">
        <v>4330</v>
      </c>
      <c r="C1530" s="75" t="s">
        <v>2982</v>
      </c>
      <c r="D1530" s="75" t="s">
        <v>13</v>
      </c>
      <c r="E1530" s="75" t="s">
        <v>8</v>
      </c>
      <c r="F1530" s="75" t="s">
        <v>27</v>
      </c>
    </row>
    <row r="1531" spans="1:6" x14ac:dyDescent="0.3">
      <c r="A1531" s="75" t="s">
        <v>4331</v>
      </c>
      <c r="B1531" s="75" t="s">
        <v>4332</v>
      </c>
      <c r="C1531" s="75" t="s">
        <v>4333</v>
      </c>
      <c r="D1531" s="75" t="s">
        <v>13</v>
      </c>
      <c r="E1531" s="75" t="s">
        <v>8</v>
      </c>
      <c r="F1531" s="75" t="s">
        <v>718</v>
      </c>
    </row>
    <row r="1532" spans="1:6" x14ac:dyDescent="0.3">
      <c r="A1532" s="75" t="s">
        <v>4334</v>
      </c>
      <c r="B1532" s="75" t="s">
        <v>4335</v>
      </c>
      <c r="C1532" s="75" t="s">
        <v>4336</v>
      </c>
      <c r="D1532" s="75" t="s">
        <v>13</v>
      </c>
      <c r="E1532" s="75" t="s">
        <v>70</v>
      </c>
      <c r="F1532" s="75" t="s">
        <v>80</v>
      </c>
    </row>
    <row r="1533" spans="1:6" x14ac:dyDescent="0.3">
      <c r="A1533" s="75" t="s">
        <v>4337</v>
      </c>
      <c r="B1533" s="75" t="s">
        <v>4338</v>
      </c>
      <c r="C1533" s="75" t="s">
        <v>4339</v>
      </c>
      <c r="D1533" s="75">
        <v>2015</v>
      </c>
      <c r="E1533" s="75" t="s">
        <v>70</v>
      </c>
      <c r="F1533" s="75" t="s">
        <v>80</v>
      </c>
    </row>
    <row r="1534" spans="1:6" x14ac:dyDescent="0.3">
      <c r="A1534" s="75" t="s">
        <v>4340</v>
      </c>
      <c r="B1534" s="75" t="s">
        <v>4341</v>
      </c>
      <c r="C1534" s="75" t="s">
        <v>4342</v>
      </c>
      <c r="D1534" s="75" t="s">
        <v>13</v>
      </c>
      <c r="E1534" s="75" t="s">
        <v>70</v>
      </c>
      <c r="F1534" s="75" t="s">
        <v>71</v>
      </c>
    </row>
    <row r="1535" spans="1:6" x14ac:dyDescent="0.3">
      <c r="A1535" s="75" t="s">
        <v>4343</v>
      </c>
      <c r="B1535" s="75" t="s">
        <v>4344</v>
      </c>
      <c r="C1535" s="75" t="s">
        <v>4345</v>
      </c>
      <c r="D1535" s="75" t="s">
        <v>13</v>
      </c>
      <c r="E1535" s="75" t="s">
        <v>70</v>
      </c>
      <c r="F1535" s="75" t="s">
        <v>118</v>
      </c>
    </row>
    <row r="1536" spans="1:6" x14ac:dyDescent="0.3">
      <c r="A1536" s="75" t="s">
        <v>4346</v>
      </c>
      <c r="B1536" s="75" t="s">
        <v>4347</v>
      </c>
      <c r="C1536" s="75" t="s">
        <v>4348</v>
      </c>
      <c r="D1536" s="75">
        <v>2003</v>
      </c>
      <c r="E1536" s="75" t="s">
        <v>31</v>
      </c>
      <c r="F1536" s="75" t="s">
        <v>161</v>
      </c>
    </row>
    <row r="1537" spans="1:6" x14ac:dyDescent="0.3">
      <c r="A1537" s="75" t="s">
        <v>4349</v>
      </c>
      <c r="B1537" s="75" t="s">
        <v>4350</v>
      </c>
      <c r="C1537" s="75" t="s">
        <v>4351</v>
      </c>
      <c r="D1537" s="75" t="s">
        <v>13</v>
      </c>
      <c r="E1537" s="75" t="s">
        <v>8</v>
      </c>
      <c r="F1537" s="75" t="s">
        <v>998</v>
      </c>
    </row>
    <row r="1538" spans="1:6" x14ac:dyDescent="0.3">
      <c r="A1538" s="75" t="s">
        <v>4352</v>
      </c>
      <c r="B1538" s="75" t="s">
        <v>4353</v>
      </c>
      <c r="C1538" s="75" t="s">
        <v>4354</v>
      </c>
      <c r="D1538" s="75" t="s">
        <v>13</v>
      </c>
      <c r="E1538" s="75" t="s">
        <v>8</v>
      </c>
      <c r="F1538" s="75" t="s">
        <v>998</v>
      </c>
    </row>
    <row r="1539" spans="1:6" x14ac:dyDescent="0.3">
      <c r="A1539" s="75" t="s">
        <v>4355</v>
      </c>
      <c r="B1539" s="75" t="s">
        <v>4356</v>
      </c>
      <c r="C1539" s="75" t="s">
        <v>4357</v>
      </c>
      <c r="D1539" s="75" t="s">
        <v>13</v>
      </c>
      <c r="E1539" s="75" t="s">
        <v>8</v>
      </c>
      <c r="F1539" s="75" t="s">
        <v>998</v>
      </c>
    </row>
    <row r="1540" spans="1:6" x14ac:dyDescent="0.3">
      <c r="A1540" s="75" t="s">
        <v>4358</v>
      </c>
      <c r="B1540" s="75" t="s">
        <v>4359</v>
      </c>
      <c r="C1540" s="75" t="s">
        <v>4360</v>
      </c>
      <c r="D1540" s="75" t="s">
        <v>13</v>
      </c>
      <c r="E1540" s="75" t="s">
        <v>8</v>
      </c>
      <c r="F1540" s="75" t="s">
        <v>998</v>
      </c>
    </row>
    <row r="1541" spans="1:6" x14ac:dyDescent="0.3">
      <c r="A1541" s="75" t="s">
        <v>4361</v>
      </c>
      <c r="B1541" s="75" t="s">
        <v>4362</v>
      </c>
      <c r="C1541" s="75" t="s">
        <v>4363</v>
      </c>
      <c r="D1541" s="75" t="s">
        <v>13</v>
      </c>
      <c r="E1541" s="75" t="s">
        <v>8</v>
      </c>
      <c r="F1541" s="75" t="s">
        <v>998</v>
      </c>
    </row>
    <row r="1542" spans="1:6" x14ac:dyDescent="0.3">
      <c r="A1542" s="75" t="s">
        <v>4364</v>
      </c>
      <c r="B1542" s="75" t="s">
        <v>4365</v>
      </c>
      <c r="C1542" s="75" t="s">
        <v>4366</v>
      </c>
      <c r="D1542" s="75" t="s">
        <v>13</v>
      </c>
      <c r="E1542" s="75" t="s">
        <v>8</v>
      </c>
      <c r="F1542" s="75" t="s">
        <v>998</v>
      </c>
    </row>
    <row r="1543" spans="1:6" x14ac:dyDescent="0.3">
      <c r="A1543" s="75" t="s">
        <v>4367</v>
      </c>
      <c r="B1543" s="75" t="s">
        <v>4368</v>
      </c>
      <c r="C1543" s="75" t="s">
        <v>4369</v>
      </c>
      <c r="D1543" s="75" t="s">
        <v>13</v>
      </c>
      <c r="E1543" s="75" t="s">
        <v>8</v>
      </c>
      <c r="F1543" s="75" t="s">
        <v>998</v>
      </c>
    </row>
    <row r="1544" spans="1:6" x14ac:dyDescent="0.3">
      <c r="A1544" s="75" t="s">
        <v>4370</v>
      </c>
      <c r="B1544" s="75" t="s">
        <v>4371</v>
      </c>
      <c r="C1544" s="75" t="s">
        <v>4372</v>
      </c>
      <c r="D1544" s="75" t="s">
        <v>13</v>
      </c>
      <c r="E1544" s="75" t="s">
        <v>8</v>
      </c>
      <c r="F1544" s="75" t="s">
        <v>998</v>
      </c>
    </row>
    <row r="1545" spans="1:6" x14ac:dyDescent="0.3">
      <c r="A1545" s="75" t="s">
        <v>4373</v>
      </c>
      <c r="B1545" s="75" t="s">
        <v>4374</v>
      </c>
      <c r="C1545" s="75" t="s">
        <v>4375</v>
      </c>
      <c r="D1545" s="75" t="s">
        <v>13</v>
      </c>
      <c r="E1545" s="75" t="s">
        <v>8</v>
      </c>
      <c r="F1545" s="75" t="s">
        <v>998</v>
      </c>
    </row>
    <row r="1546" spans="1:6" x14ac:dyDescent="0.3">
      <c r="A1546" s="75" t="s">
        <v>4376</v>
      </c>
      <c r="B1546" s="75" t="s">
        <v>4377</v>
      </c>
      <c r="C1546" s="75" t="s">
        <v>4378</v>
      </c>
      <c r="D1546" s="75" t="s">
        <v>13</v>
      </c>
      <c r="E1546" s="75" t="s">
        <v>8</v>
      </c>
      <c r="F1546" s="75" t="s">
        <v>998</v>
      </c>
    </row>
    <row r="1547" spans="1:6" x14ac:dyDescent="0.3">
      <c r="A1547" s="75" t="s">
        <v>4379</v>
      </c>
      <c r="B1547" s="75" t="s">
        <v>4380</v>
      </c>
      <c r="C1547" s="75" t="s">
        <v>4381</v>
      </c>
      <c r="D1547" s="75">
        <v>2006</v>
      </c>
      <c r="E1547" s="75" t="s">
        <v>31</v>
      </c>
      <c r="F1547" s="75" t="s">
        <v>92</v>
      </c>
    </row>
    <row r="1548" spans="1:6" x14ac:dyDescent="0.3">
      <c r="A1548" s="75" t="s">
        <v>4382</v>
      </c>
      <c r="B1548" s="75" t="s">
        <v>4383</v>
      </c>
      <c r="C1548" s="75" t="s">
        <v>4384</v>
      </c>
      <c r="D1548" s="75" t="s">
        <v>13</v>
      </c>
      <c r="E1548" s="75" t="s">
        <v>13</v>
      </c>
      <c r="F1548" s="75" t="s">
        <v>13</v>
      </c>
    </row>
    <row r="1549" spans="1:6" x14ac:dyDescent="0.3">
      <c r="A1549" s="75" t="s">
        <v>4385</v>
      </c>
      <c r="B1549" s="75" t="s">
        <v>4386</v>
      </c>
      <c r="C1549" s="75" t="s">
        <v>4387</v>
      </c>
      <c r="D1549" s="75">
        <v>2014</v>
      </c>
      <c r="E1549" s="75" t="s">
        <v>70</v>
      </c>
      <c r="F1549" s="75" t="s">
        <v>80</v>
      </c>
    </row>
    <row r="1550" spans="1:6" x14ac:dyDescent="0.3">
      <c r="A1550" s="75" t="s">
        <v>4388</v>
      </c>
      <c r="B1550" s="75" t="s">
        <v>4389</v>
      </c>
      <c r="C1550" s="75" t="s">
        <v>4390</v>
      </c>
      <c r="D1550" s="75">
        <v>2016</v>
      </c>
      <c r="E1550" s="75" t="s">
        <v>70</v>
      </c>
      <c r="F1550" s="75" t="s">
        <v>80</v>
      </c>
    </row>
    <row r="1551" spans="1:6" x14ac:dyDescent="0.3">
      <c r="A1551" s="75" t="s">
        <v>4391</v>
      </c>
      <c r="B1551" s="75" t="s">
        <v>4392</v>
      </c>
      <c r="C1551" s="75" t="s">
        <v>4393</v>
      </c>
      <c r="D1551" s="75">
        <v>1996</v>
      </c>
      <c r="E1551" s="75" t="s">
        <v>70</v>
      </c>
      <c r="F1551" s="75" t="s">
        <v>671</v>
      </c>
    </row>
    <row r="1552" spans="1:6" x14ac:dyDescent="0.3">
      <c r="A1552" s="75" t="s">
        <v>4394</v>
      </c>
      <c r="B1552" s="75" t="s">
        <v>4395</v>
      </c>
      <c r="C1552" s="75" t="s">
        <v>4396</v>
      </c>
      <c r="D1552" s="75" t="s">
        <v>13</v>
      </c>
      <c r="E1552" s="75" t="s">
        <v>518</v>
      </c>
      <c r="F1552" s="75" t="s">
        <v>49</v>
      </c>
    </row>
    <row r="1553" spans="1:6" x14ac:dyDescent="0.3">
      <c r="A1553" s="75" t="s">
        <v>4397</v>
      </c>
      <c r="B1553" s="75" t="s">
        <v>4395</v>
      </c>
      <c r="C1553" s="75" t="s">
        <v>4398</v>
      </c>
      <c r="D1553" s="75" t="s">
        <v>13</v>
      </c>
      <c r="E1553" s="75" t="s">
        <v>518</v>
      </c>
      <c r="F1553" s="75" t="s">
        <v>49</v>
      </c>
    </row>
    <row r="1554" spans="1:6" x14ac:dyDescent="0.3">
      <c r="A1554" s="75" t="s">
        <v>4399</v>
      </c>
      <c r="B1554" s="75" t="s">
        <v>4400</v>
      </c>
      <c r="C1554" s="75" t="s">
        <v>4401</v>
      </c>
      <c r="D1554" s="75">
        <v>2005</v>
      </c>
      <c r="E1554" s="75" t="s">
        <v>518</v>
      </c>
      <c r="F1554" s="75" t="s">
        <v>4402</v>
      </c>
    </row>
    <row r="1555" spans="1:6" x14ac:dyDescent="0.3">
      <c r="A1555" s="75" t="s">
        <v>4403</v>
      </c>
      <c r="B1555" s="75" t="s">
        <v>4404</v>
      </c>
      <c r="C1555" s="75" t="s">
        <v>1672</v>
      </c>
      <c r="D1555" s="75">
        <v>2010</v>
      </c>
      <c r="E1555" s="75" t="s">
        <v>70</v>
      </c>
      <c r="F1555" s="75" t="s">
        <v>71</v>
      </c>
    </row>
    <row r="1556" spans="1:6" x14ac:dyDescent="0.3">
      <c r="A1556" s="75" t="s">
        <v>4405</v>
      </c>
      <c r="B1556" s="75" t="s">
        <v>4406</v>
      </c>
      <c r="C1556" s="75" t="s">
        <v>2991</v>
      </c>
      <c r="D1556" s="75" t="s">
        <v>13</v>
      </c>
      <c r="E1556" s="75" t="s">
        <v>18</v>
      </c>
      <c r="F1556" s="75" t="s">
        <v>2588</v>
      </c>
    </row>
    <row r="1557" spans="1:6" x14ac:dyDescent="0.3">
      <c r="A1557" s="75" t="s">
        <v>4407</v>
      </c>
      <c r="B1557" s="75" t="s">
        <v>4408</v>
      </c>
      <c r="C1557" s="75" t="s">
        <v>4409</v>
      </c>
      <c r="D1557" s="75" t="s">
        <v>13</v>
      </c>
      <c r="E1557" s="75" t="s">
        <v>13</v>
      </c>
      <c r="F1557" s="75" t="s">
        <v>13</v>
      </c>
    </row>
    <row r="1558" spans="1:6" x14ac:dyDescent="0.3">
      <c r="A1558" s="75" t="s">
        <v>4410</v>
      </c>
      <c r="B1558" s="75" t="s">
        <v>4411</v>
      </c>
      <c r="C1558" s="75" t="s">
        <v>4412</v>
      </c>
      <c r="D1558" s="75" t="s">
        <v>13</v>
      </c>
      <c r="E1558" s="75" t="s">
        <v>13</v>
      </c>
      <c r="F1558" s="75" t="s">
        <v>13</v>
      </c>
    </row>
    <row r="1559" spans="1:6" x14ac:dyDescent="0.3">
      <c r="A1559" s="75" t="s">
        <v>4413</v>
      </c>
      <c r="B1559" s="75" t="s">
        <v>4414</v>
      </c>
      <c r="C1559" s="75" t="s">
        <v>4415</v>
      </c>
      <c r="D1559" s="75" t="s">
        <v>13</v>
      </c>
      <c r="E1559" s="75" t="s">
        <v>13</v>
      </c>
      <c r="F1559" s="75" t="s">
        <v>13</v>
      </c>
    </row>
    <row r="1560" spans="1:6" x14ac:dyDescent="0.3">
      <c r="A1560" s="75" t="s">
        <v>4416</v>
      </c>
      <c r="B1560" s="75" t="s">
        <v>4417</v>
      </c>
      <c r="C1560" s="75" t="s">
        <v>4418</v>
      </c>
      <c r="D1560" s="75" t="s">
        <v>13</v>
      </c>
      <c r="E1560" s="75" t="s">
        <v>13</v>
      </c>
      <c r="F1560" s="75" t="s">
        <v>13</v>
      </c>
    </row>
    <row r="1561" spans="1:6" x14ac:dyDescent="0.3">
      <c r="A1561" s="75" t="s">
        <v>4419</v>
      </c>
      <c r="B1561" s="75" t="s">
        <v>4420</v>
      </c>
      <c r="C1561" s="75" t="s">
        <v>4421</v>
      </c>
      <c r="D1561" s="75" t="s">
        <v>13</v>
      </c>
      <c r="E1561" s="75" t="s">
        <v>13</v>
      </c>
      <c r="F1561" s="75" t="s">
        <v>13</v>
      </c>
    </row>
    <row r="1562" spans="1:6" x14ac:dyDescent="0.3">
      <c r="A1562" s="75" t="s">
        <v>4422</v>
      </c>
      <c r="B1562" s="75" t="s">
        <v>4423</v>
      </c>
      <c r="C1562" s="75" t="s">
        <v>79</v>
      </c>
      <c r="D1562" s="75" t="s">
        <v>13</v>
      </c>
      <c r="E1562" s="75" t="s">
        <v>13</v>
      </c>
      <c r="F1562" s="75" t="s">
        <v>13</v>
      </c>
    </row>
    <row r="1563" spans="1:6" x14ac:dyDescent="0.3">
      <c r="A1563" s="75" t="s">
        <v>4424</v>
      </c>
      <c r="B1563" s="75" t="s">
        <v>4425</v>
      </c>
      <c r="C1563" s="75" t="s">
        <v>4426</v>
      </c>
      <c r="D1563" s="75" t="s">
        <v>13</v>
      </c>
      <c r="E1563" s="75" t="s">
        <v>13</v>
      </c>
      <c r="F1563" s="75" t="s">
        <v>13</v>
      </c>
    </row>
    <row r="1564" spans="1:6" x14ac:dyDescent="0.3">
      <c r="A1564" s="75" t="s">
        <v>4427</v>
      </c>
      <c r="B1564" s="75" t="s">
        <v>4428</v>
      </c>
      <c r="C1564" s="75" t="s">
        <v>1769</v>
      </c>
      <c r="D1564" s="75" t="s">
        <v>13</v>
      </c>
      <c r="E1564" s="75" t="s">
        <v>13</v>
      </c>
      <c r="F1564" s="75" t="s">
        <v>13</v>
      </c>
    </row>
    <row r="1565" spans="1:6" x14ac:dyDescent="0.3">
      <c r="A1565" s="75" t="s">
        <v>4429</v>
      </c>
      <c r="B1565" s="75" t="s">
        <v>4430</v>
      </c>
      <c r="C1565" s="75" t="s">
        <v>4431</v>
      </c>
      <c r="D1565" s="75" t="s">
        <v>13</v>
      </c>
      <c r="E1565" s="75" t="s">
        <v>13</v>
      </c>
      <c r="F1565" s="75" t="s">
        <v>13</v>
      </c>
    </row>
    <row r="1566" spans="1:6" x14ac:dyDescent="0.3">
      <c r="A1566" s="75" t="s">
        <v>4432</v>
      </c>
      <c r="B1566" s="75" t="s">
        <v>4433</v>
      </c>
      <c r="C1566" s="75" t="s">
        <v>4434</v>
      </c>
      <c r="D1566" s="75" t="s">
        <v>13</v>
      </c>
      <c r="E1566" s="75" t="s">
        <v>13</v>
      </c>
      <c r="F1566" s="75" t="s">
        <v>13</v>
      </c>
    </row>
    <row r="1567" spans="1:6" x14ac:dyDescent="0.3">
      <c r="A1567" s="75" t="s">
        <v>4435</v>
      </c>
      <c r="B1567" s="75" t="s">
        <v>4436</v>
      </c>
      <c r="C1567" s="75" t="s">
        <v>3162</v>
      </c>
      <c r="D1567" s="75" t="s">
        <v>13</v>
      </c>
      <c r="E1567" s="75" t="s">
        <v>13</v>
      </c>
      <c r="F1567" s="75" t="s">
        <v>13</v>
      </c>
    </row>
    <row r="1568" spans="1:6" x14ac:dyDescent="0.3">
      <c r="A1568" s="75" t="s">
        <v>4437</v>
      </c>
      <c r="B1568" s="75" t="s">
        <v>4438</v>
      </c>
      <c r="C1568" s="75" t="s">
        <v>4439</v>
      </c>
      <c r="D1568" s="75" t="s">
        <v>13</v>
      </c>
      <c r="E1568" s="75" t="s">
        <v>13</v>
      </c>
      <c r="F1568" s="75" t="s">
        <v>13</v>
      </c>
    </row>
    <row r="1569" spans="1:6" x14ac:dyDescent="0.3">
      <c r="A1569" s="75" t="s">
        <v>4440</v>
      </c>
      <c r="B1569" s="75" t="s">
        <v>4441</v>
      </c>
      <c r="C1569" s="75" t="s">
        <v>1738</v>
      </c>
      <c r="D1569" s="75" t="s">
        <v>13</v>
      </c>
      <c r="E1569" s="75" t="s">
        <v>13</v>
      </c>
      <c r="F1569" s="75" t="s">
        <v>13</v>
      </c>
    </row>
    <row r="1570" spans="1:6" x14ac:dyDescent="0.3">
      <c r="A1570" s="75" t="s">
        <v>4442</v>
      </c>
      <c r="B1570" s="75" t="s">
        <v>4443</v>
      </c>
      <c r="C1570" s="75" t="s">
        <v>4444</v>
      </c>
      <c r="D1570" s="75" t="s">
        <v>13</v>
      </c>
      <c r="E1570" s="75" t="s">
        <v>13</v>
      </c>
      <c r="F1570" s="75" t="s">
        <v>13</v>
      </c>
    </row>
    <row r="1571" spans="1:6" x14ac:dyDescent="0.3">
      <c r="A1571" s="75" t="s">
        <v>4445</v>
      </c>
      <c r="B1571" s="75" t="s">
        <v>4446</v>
      </c>
      <c r="C1571" s="75" t="s">
        <v>2645</v>
      </c>
      <c r="D1571" s="75" t="s">
        <v>13</v>
      </c>
      <c r="E1571" s="75" t="s">
        <v>13</v>
      </c>
      <c r="F1571" s="75" t="s">
        <v>13</v>
      </c>
    </row>
    <row r="1572" spans="1:6" x14ac:dyDescent="0.3">
      <c r="A1572" s="75" t="s">
        <v>4447</v>
      </c>
      <c r="B1572" s="75" t="s">
        <v>4448</v>
      </c>
      <c r="C1572" s="75" t="s">
        <v>4449</v>
      </c>
      <c r="D1572" s="75" t="s">
        <v>13</v>
      </c>
      <c r="E1572" s="75" t="s">
        <v>13</v>
      </c>
      <c r="F1572" s="75" t="s">
        <v>13</v>
      </c>
    </row>
    <row r="1573" spans="1:6" x14ac:dyDescent="0.3">
      <c r="A1573" s="75" t="s">
        <v>4450</v>
      </c>
      <c r="B1573" s="75" t="s">
        <v>4451</v>
      </c>
      <c r="C1573" s="75" t="s">
        <v>4452</v>
      </c>
      <c r="D1573" s="75" t="s">
        <v>13</v>
      </c>
      <c r="E1573" s="75" t="s">
        <v>13</v>
      </c>
      <c r="F1573" s="75" t="s">
        <v>13</v>
      </c>
    </row>
    <row r="1574" spans="1:6" x14ac:dyDescent="0.3">
      <c r="A1574" s="75" t="s">
        <v>4453</v>
      </c>
      <c r="B1574" s="75" t="s">
        <v>4454</v>
      </c>
      <c r="C1574" s="75" t="s">
        <v>4455</v>
      </c>
      <c r="D1574" s="75" t="s">
        <v>13</v>
      </c>
      <c r="E1574" s="75" t="s">
        <v>13</v>
      </c>
      <c r="F1574" s="75" t="s">
        <v>13</v>
      </c>
    </row>
    <row r="1575" spans="1:6" x14ac:dyDescent="0.3">
      <c r="A1575" s="75" t="s">
        <v>4456</v>
      </c>
      <c r="B1575" s="75" t="s">
        <v>4457</v>
      </c>
      <c r="C1575" s="75" t="s">
        <v>867</v>
      </c>
      <c r="D1575" s="75" t="s">
        <v>13</v>
      </c>
      <c r="E1575" s="75" t="s">
        <v>13</v>
      </c>
      <c r="F1575" s="75" t="s">
        <v>13</v>
      </c>
    </row>
    <row r="1576" spans="1:6" x14ac:dyDescent="0.3">
      <c r="A1576" s="75" t="s">
        <v>4458</v>
      </c>
      <c r="B1576" s="75" t="s">
        <v>4459</v>
      </c>
      <c r="C1576" s="75" t="s">
        <v>4460</v>
      </c>
      <c r="D1576" s="75" t="s">
        <v>13</v>
      </c>
      <c r="E1576" s="75" t="s">
        <v>13</v>
      </c>
      <c r="F1576" s="75" t="s">
        <v>13</v>
      </c>
    </row>
    <row r="1577" spans="1:6" x14ac:dyDescent="0.3">
      <c r="A1577" s="75" t="s">
        <v>4461</v>
      </c>
      <c r="B1577" s="75" t="s">
        <v>4462</v>
      </c>
      <c r="C1577" s="75" t="s">
        <v>4463</v>
      </c>
      <c r="D1577" s="75" t="s">
        <v>13</v>
      </c>
      <c r="E1577" s="75" t="s">
        <v>13</v>
      </c>
      <c r="F1577" s="75" t="s">
        <v>13</v>
      </c>
    </row>
    <row r="1578" spans="1:6" x14ac:dyDescent="0.3">
      <c r="A1578" s="75" t="s">
        <v>4464</v>
      </c>
      <c r="B1578" s="75" t="s">
        <v>4465</v>
      </c>
      <c r="C1578" s="75" t="s">
        <v>4466</v>
      </c>
      <c r="D1578" s="75" t="s">
        <v>13</v>
      </c>
      <c r="E1578" s="75" t="s">
        <v>13</v>
      </c>
      <c r="F1578" s="75" t="s">
        <v>13</v>
      </c>
    </row>
    <row r="1579" spans="1:6" x14ac:dyDescent="0.3">
      <c r="A1579" s="75" t="s">
        <v>4467</v>
      </c>
      <c r="B1579" s="75" t="s">
        <v>4468</v>
      </c>
      <c r="C1579" s="75" t="s">
        <v>2811</v>
      </c>
      <c r="D1579" s="75" t="s">
        <v>13</v>
      </c>
      <c r="E1579" s="75" t="s">
        <v>13</v>
      </c>
      <c r="F1579" s="75" t="s">
        <v>13</v>
      </c>
    </row>
    <row r="1580" spans="1:6" x14ac:dyDescent="0.3">
      <c r="A1580" s="75" t="s">
        <v>4469</v>
      </c>
      <c r="B1580" s="75" t="s">
        <v>4470</v>
      </c>
      <c r="C1580" s="75" t="s">
        <v>4471</v>
      </c>
      <c r="D1580" s="75" t="s">
        <v>13</v>
      </c>
      <c r="E1580" s="75" t="s">
        <v>13</v>
      </c>
      <c r="F1580" s="75" t="s">
        <v>13</v>
      </c>
    </row>
    <row r="1581" spans="1:6" x14ac:dyDescent="0.3">
      <c r="A1581" s="75" t="s">
        <v>4472</v>
      </c>
      <c r="B1581" s="75" t="s">
        <v>4473</v>
      </c>
      <c r="C1581" s="75" t="s">
        <v>4474</v>
      </c>
      <c r="D1581" s="75" t="s">
        <v>13</v>
      </c>
      <c r="E1581" s="75" t="s">
        <v>13</v>
      </c>
      <c r="F1581" s="75" t="s">
        <v>13</v>
      </c>
    </row>
    <row r="1582" spans="1:6" x14ac:dyDescent="0.3">
      <c r="A1582" s="75" t="s">
        <v>4475</v>
      </c>
      <c r="B1582" s="75" t="s">
        <v>4476</v>
      </c>
      <c r="C1582" s="75" t="s">
        <v>4477</v>
      </c>
      <c r="D1582" s="75" t="s">
        <v>13</v>
      </c>
      <c r="E1582" s="75" t="s">
        <v>13</v>
      </c>
      <c r="F1582" s="75" t="s">
        <v>13</v>
      </c>
    </row>
    <row r="1583" spans="1:6" x14ac:dyDescent="0.3">
      <c r="A1583" s="75" t="s">
        <v>4478</v>
      </c>
      <c r="B1583" s="75" t="s">
        <v>4479</v>
      </c>
      <c r="C1583" s="75" t="s">
        <v>4480</v>
      </c>
      <c r="D1583" s="75" t="s">
        <v>13</v>
      </c>
      <c r="E1583" s="75" t="s">
        <v>13</v>
      </c>
      <c r="F1583" s="75" t="s">
        <v>13</v>
      </c>
    </row>
    <row r="1584" spans="1:6" x14ac:dyDescent="0.3">
      <c r="A1584" s="75" t="s">
        <v>4481</v>
      </c>
      <c r="B1584" s="75" t="s">
        <v>4482</v>
      </c>
      <c r="C1584" s="75" t="s">
        <v>4483</v>
      </c>
      <c r="D1584" s="75" t="s">
        <v>13</v>
      </c>
      <c r="E1584" s="75" t="s">
        <v>13</v>
      </c>
      <c r="F1584" s="75" t="s">
        <v>13</v>
      </c>
    </row>
    <row r="1585" spans="1:6" x14ac:dyDescent="0.3">
      <c r="A1585" s="75" t="s">
        <v>4484</v>
      </c>
      <c r="B1585" s="75" t="s">
        <v>4485</v>
      </c>
      <c r="C1585" s="75" t="s">
        <v>4486</v>
      </c>
      <c r="D1585" s="75" t="s">
        <v>13</v>
      </c>
      <c r="E1585" s="75" t="s">
        <v>13</v>
      </c>
      <c r="F1585" s="75" t="s">
        <v>13</v>
      </c>
    </row>
    <row r="1586" spans="1:6" x14ac:dyDescent="0.3">
      <c r="A1586" s="75" t="s">
        <v>4487</v>
      </c>
      <c r="B1586" s="75" t="s">
        <v>4488</v>
      </c>
      <c r="C1586" s="75" t="s">
        <v>4489</v>
      </c>
      <c r="D1586" s="75" t="s">
        <v>13</v>
      </c>
      <c r="E1586" s="75" t="s">
        <v>13</v>
      </c>
      <c r="F1586" s="75" t="s">
        <v>13</v>
      </c>
    </row>
    <row r="1587" spans="1:6" x14ac:dyDescent="0.3">
      <c r="A1587" s="75" t="s">
        <v>4490</v>
      </c>
      <c r="B1587" s="75" t="s">
        <v>4491</v>
      </c>
      <c r="C1587" s="75" t="s">
        <v>4271</v>
      </c>
      <c r="D1587" s="75" t="s">
        <v>13</v>
      </c>
      <c r="E1587" s="75" t="s">
        <v>13</v>
      </c>
      <c r="F1587" s="75" t="s">
        <v>13</v>
      </c>
    </row>
    <row r="1588" spans="1:6" x14ac:dyDescent="0.3">
      <c r="A1588" s="75" t="s">
        <v>4492</v>
      </c>
      <c r="B1588" s="75" t="s">
        <v>4493</v>
      </c>
      <c r="C1588" s="75" t="s">
        <v>4494</v>
      </c>
      <c r="D1588" s="75" t="s">
        <v>13</v>
      </c>
      <c r="E1588" s="75" t="s">
        <v>13</v>
      </c>
      <c r="F1588" s="75" t="s">
        <v>13</v>
      </c>
    </row>
    <row r="1589" spans="1:6" x14ac:dyDescent="0.3">
      <c r="A1589" s="75" t="s">
        <v>4495</v>
      </c>
      <c r="B1589" s="75" t="s">
        <v>4496</v>
      </c>
      <c r="C1589" s="75" t="s">
        <v>1550</v>
      </c>
      <c r="D1589" s="75" t="s">
        <v>13</v>
      </c>
      <c r="E1589" s="75" t="s">
        <v>13</v>
      </c>
      <c r="F1589" s="75" t="s">
        <v>13</v>
      </c>
    </row>
    <row r="1590" spans="1:6" x14ac:dyDescent="0.3">
      <c r="A1590" s="75" t="s">
        <v>4497</v>
      </c>
      <c r="B1590" s="75" t="s">
        <v>4498</v>
      </c>
      <c r="C1590" s="75" t="s">
        <v>4499</v>
      </c>
      <c r="D1590" s="75" t="s">
        <v>13</v>
      </c>
      <c r="E1590" s="75" t="s">
        <v>13</v>
      </c>
      <c r="F1590" s="75" t="s">
        <v>13</v>
      </c>
    </row>
    <row r="1591" spans="1:6" x14ac:dyDescent="0.3">
      <c r="A1591" s="75" t="s">
        <v>4500</v>
      </c>
      <c r="B1591" s="75" t="s">
        <v>4501</v>
      </c>
      <c r="C1591" s="75" t="s">
        <v>4502</v>
      </c>
      <c r="D1591" s="75" t="s">
        <v>13</v>
      </c>
      <c r="E1591" s="75" t="s">
        <v>13</v>
      </c>
      <c r="F1591" s="75" t="s">
        <v>13</v>
      </c>
    </row>
    <row r="1592" spans="1:6" x14ac:dyDescent="0.3">
      <c r="A1592" s="75" t="s">
        <v>4503</v>
      </c>
      <c r="B1592" s="75" t="s">
        <v>4504</v>
      </c>
      <c r="C1592" s="75" t="s">
        <v>4505</v>
      </c>
      <c r="D1592" s="75" t="s">
        <v>13</v>
      </c>
      <c r="E1592" s="75" t="s">
        <v>13</v>
      </c>
      <c r="F1592" s="75" t="s">
        <v>13</v>
      </c>
    </row>
    <row r="1593" spans="1:6" x14ac:dyDescent="0.3">
      <c r="A1593" s="75" t="s">
        <v>4506</v>
      </c>
      <c r="B1593" s="75" t="s">
        <v>4507</v>
      </c>
      <c r="C1593" s="75" t="s">
        <v>4508</v>
      </c>
      <c r="D1593" s="75" t="s">
        <v>13</v>
      </c>
      <c r="E1593" s="75" t="s">
        <v>13</v>
      </c>
      <c r="F1593" s="75" t="s">
        <v>13</v>
      </c>
    </row>
    <row r="1594" spans="1:6" x14ac:dyDescent="0.3">
      <c r="A1594" s="75" t="s">
        <v>4509</v>
      </c>
      <c r="B1594" s="75" t="s">
        <v>4510</v>
      </c>
      <c r="C1594" s="75" t="s">
        <v>4511</v>
      </c>
      <c r="D1594" s="75" t="s">
        <v>13</v>
      </c>
      <c r="E1594" s="75" t="s">
        <v>13</v>
      </c>
      <c r="F1594" s="75" t="s">
        <v>13</v>
      </c>
    </row>
    <row r="1595" spans="1:6" x14ac:dyDescent="0.3">
      <c r="A1595" s="75" t="s">
        <v>4512</v>
      </c>
      <c r="B1595" s="75" t="s">
        <v>4513</v>
      </c>
      <c r="C1595" s="75" t="s">
        <v>4514</v>
      </c>
      <c r="D1595" s="75" t="s">
        <v>13</v>
      </c>
      <c r="E1595" s="75" t="s">
        <v>13</v>
      </c>
      <c r="F1595" s="75" t="s">
        <v>13</v>
      </c>
    </row>
    <row r="1596" spans="1:6" x14ac:dyDescent="0.3">
      <c r="A1596" s="75" t="s">
        <v>4515</v>
      </c>
      <c r="B1596" s="75" t="s">
        <v>4516</v>
      </c>
      <c r="C1596" s="75" t="s">
        <v>4455</v>
      </c>
      <c r="D1596" s="75" t="s">
        <v>13</v>
      </c>
      <c r="E1596" s="75" t="s">
        <v>13</v>
      </c>
      <c r="F1596" s="75" t="s">
        <v>13</v>
      </c>
    </row>
    <row r="1597" spans="1:6" x14ac:dyDescent="0.3">
      <c r="A1597" s="75" t="s">
        <v>4517</v>
      </c>
      <c r="B1597" s="75" t="s">
        <v>4518</v>
      </c>
      <c r="C1597" s="75" t="s">
        <v>1407</v>
      </c>
      <c r="D1597" s="75" t="s">
        <v>13</v>
      </c>
      <c r="E1597" s="75" t="s">
        <v>13</v>
      </c>
      <c r="F1597" s="75" t="s">
        <v>13</v>
      </c>
    </row>
    <row r="1598" spans="1:6" x14ac:dyDescent="0.3">
      <c r="A1598" s="75" t="s">
        <v>4519</v>
      </c>
      <c r="B1598" s="75" t="s">
        <v>4520</v>
      </c>
      <c r="C1598" s="75" t="s">
        <v>4521</v>
      </c>
      <c r="D1598" s="75" t="s">
        <v>13</v>
      </c>
      <c r="E1598" s="75" t="s">
        <v>13</v>
      </c>
      <c r="F1598" s="75" t="s">
        <v>13</v>
      </c>
    </row>
    <row r="1599" spans="1:6" x14ac:dyDescent="0.3">
      <c r="A1599" s="75" t="s">
        <v>4522</v>
      </c>
      <c r="B1599" s="75" t="s">
        <v>4523</v>
      </c>
      <c r="C1599" s="75" t="s">
        <v>4524</v>
      </c>
      <c r="D1599" s="75" t="s">
        <v>13</v>
      </c>
      <c r="E1599" s="75" t="s">
        <v>13</v>
      </c>
      <c r="F1599" s="75" t="s">
        <v>13</v>
      </c>
    </row>
    <row r="1600" spans="1:6" x14ac:dyDescent="0.3">
      <c r="A1600" s="75" t="s">
        <v>4525</v>
      </c>
      <c r="B1600" s="75" t="s">
        <v>4526</v>
      </c>
      <c r="C1600" s="75" t="s">
        <v>4527</v>
      </c>
      <c r="D1600" s="75" t="s">
        <v>13</v>
      </c>
      <c r="E1600" s="75" t="s">
        <v>13</v>
      </c>
      <c r="F1600" s="75" t="s">
        <v>13</v>
      </c>
    </row>
    <row r="1601" spans="1:6" x14ac:dyDescent="0.3">
      <c r="A1601" s="75" t="s">
        <v>4528</v>
      </c>
      <c r="B1601" s="75" t="s">
        <v>4529</v>
      </c>
      <c r="C1601" s="75" t="s">
        <v>4530</v>
      </c>
      <c r="D1601" s="75" t="s">
        <v>13</v>
      </c>
      <c r="E1601" s="75" t="s">
        <v>13</v>
      </c>
      <c r="F1601" s="75" t="s">
        <v>13</v>
      </c>
    </row>
    <row r="1602" spans="1:6" x14ac:dyDescent="0.3">
      <c r="A1602" s="75" t="s">
        <v>4531</v>
      </c>
      <c r="B1602" s="75" t="s">
        <v>4532</v>
      </c>
      <c r="C1602" s="75" t="s">
        <v>4533</v>
      </c>
      <c r="D1602" s="75" t="s">
        <v>13</v>
      </c>
      <c r="E1602" s="75" t="s">
        <v>13</v>
      </c>
      <c r="F1602" s="75" t="s">
        <v>13</v>
      </c>
    </row>
    <row r="1603" spans="1:6" x14ac:dyDescent="0.3">
      <c r="A1603" s="75" t="s">
        <v>4534</v>
      </c>
      <c r="B1603" s="75" t="s">
        <v>4535</v>
      </c>
      <c r="C1603" s="75" t="s">
        <v>4536</v>
      </c>
      <c r="D1603" s="75" t="s">
        <v>13</v>
      </c>
      <c r="E1603" s="75" t="s">
        <v>13</v>
      </c>
      <c r="F1603" s="75" t="s">
        <v>13</v>
      </c>
    </row>
    <row r="1604" spans="1:6" x14ac:dyDescent="0.3">
      <c r="A1604" s="75" t="s">
        <v>4537</v>
      </c>
      <c r="B1604" s="75" t="s">
        <v>4538</v>
      </c>
      <c r="C1604" s="75" t="s">
        <v>4539</v>
      </c>
      <c r="D1604" s="75" t="s">
        <v>13</v>
      </c>
      <c r="E1604" s="75" t="s">
        <v>13</v>
      </c>
      <c r="F1604" s="75" t="s">
        <v>13</v>
      </c>
    </row>
    <row r="1605" spans="1:6" x14ac:dyDescent="0.3">
      <c r="A1605" s="75" t="s">
        <v>4540</v>
      </c>
      <c r="B1605" s="75" t="s">
        <v>4541</v>
      </c>
      <c r="C1605" s="75" t="s">
        <v>4542</v>
      </c>
      <c r="D1605" s="75" t="s">
        <v>13</v>
      </c>
      <c r="E1605" s="75" t="s">
        <v>13</v>
      </c>
      <c r="F1605" s="75" t="s">
        <v>13</v>
      </c>
    </row>
    <row r="1606" spans="1:6" x14ac:dyDescent="0.3">
      <c r="A1606" s="75" t="s">
        <v>4543</v>
      </c>
      <c r="B1606" s="75" t="s">
        <v>4544</v>
      </c>
      <c r="C1606" s="75" t="s">
        <v>4545</v>
      </c>
      <c r="D1606" s="75" t="s">
        <v>13</v>
      </c>
      <c r="E1606" s="75" t="s">
        <v>13</v>
      </c>
      <c r="F1606" s="75" t="s">
        <v>13</v>
      </c>
    </row>
    <row r="1607" spans="1:6" x14ac:dyDescent="0.3">
      <c r="A1607" s="75" t="s">
        <v>4546</v>
      </c>
      <c r="B1607" s="75" t="s">
        <v>4547</v>
      </c>
      <c r="C1607" s="75" t="s">
        <v>2645</v>
      </c>
      <c r="D1607" s="75" t="s">
        <v>13</v>
      </c>
      <c r="E1607" s="75" t="s">
        <v>13</v>
      </c>
      <c r="F1607" s="75" t="s">
        <v>13</v>
      </c>
    </row>
    <row r="1608" spans="1:6" x14ac:dyDescent="0.3">
      <c r="A1608" s="75" t="s">
        <v>4548</v>
      </c>
      <c r="B1608" s="75" t="s">
        <v>4549</v>
      </c>
      <c r="C1608" s="75" t="s">
        <v>4550</v>
      </c>
      <c r="D1608" s="75" t="s">
        <v>13</v>
      </c>
      <c r="E1608" s="75" t="s">
        <v>13</v>
      </c>
      <c r="F1608" s="75" t="s">
        <v>13</v>
      </c>
    </row>
    <row r="1609" spans="1:6" x14ac:dyDescent="0.3">
      <c r="A1609" s="75" t="s">
        <v>4551</v>
      </c>
      <c r="B1609" s="75" t="s">
        <v>4552</v>
      </c>
      <c r="C1609" s="75" t="s">
        <v>4553</v>
      </c>
      <c r="D1609" s="75" t="s">
        <v>13</v>
      </c>
      <c r="E1609" s="75" t="s">
        <v>13</v>
      </c>
      <c r="F1609" s="75" t="s">
        <v>13</v>
      </c>
    </row>
    <row r="1610" spans="1:6" x14ac:dyDescent="0.3">
      <c r="A1610" s="75" t="s">
        <v>4554</v>
      </c>
      <c r="B1610" s="75" t="s">
        <v>4555</v>
      </c>
      <c r="C1610" s="75" t="s">
        <v>4556</v>
      </c>
      <c r="D1610" s="75" t="s">
        <v>13</v>
      </c>
      <c r="E1610" s="75" t="s">
        <v>13</v>
      </c>
      <c r="F1610" s="75" t="s">
        <v>13</v>
      </c>
    </row>
    <row r="1611" spans="1:6" x14ac:dyDescent="0.3">
      <c r="A1611" s="75" t="s">
        <v>4557</v>
      </c>
      <c r="B1611" s="75" t="s">
        <v>4558</v>
      </c>
      <c r="C1611" s="75" t="s">
        <v>867</v>
      </c>
      <c r="D1611" s="75" t="s">
        <v>13</v>
      </c>
      <c r="E1611" s="75" t="s">
        <v>13</v>
      </c>
      <c r="F1611" s="75" t="s">
        <v>13</v>
      </c>
    </row>
    <row r="1612" spans="1:6" x14ac:dyDescent="0.3">
      <c r="A1612" s="75" t="s">
        <v>4559</v>
      </c>
      <c r="B1612" s="75" t="s">
        <v>4560</v>
      </c>
      <c r="C1612" s="75" t="s">
        <v>4561</v>
      </c>
      <c r="D1612" s="75" t="s">
        <v>13</v>
      </c>
      <c r="E1612" s="75" t="s">
        <v>13</v>
      </c>
      <c r="F1612" s="75" t="s">
        <v>13</v>
      </c>
    </row>
    <row r="1613" spans="1:6" x14ac:dyDescent="0.3">
      <c r="A1613" s="75" t="s">
        <v>4562</v>
      </c>
      <c r="B1613" s="75" t="s">
        <v>4563</v>
      </c>
      <c r="C1613" s="75" t="s">
        <v>4564</v>
      </c>
      <c r="D1613" s="75" t="s">
        <v>13</v>
      </c>
      <c r="E1613" s="75" t="s">
        <v>13</v>
      </c>
      <c r="F1613" s="75" t="s">
        <v>13</v>
      </c>
    </row>
    <row r="1614" spans="1:6" x14ac:dyDescent="0.3">
      <c r="A1614" s="75" t="s">
        <v>4565</v>
      </c>
      <c r="B1614" s="75" t="s">
        <v>4566</v>
      </c>
      <c r="C1614" s="75" t="s">
        <v>4567</v>
      </c>
      <c r="D1614" s="75" t="s">
        <v>13</v>
      </c>
      <c r="E1614" s="75" t="s">
        <v>13</v>
      </c>
      <c r="F1614" s="75" t="s">
        <v>13</v>
      </c>
    </row>
    <row r="1615" spans="1:6" x14ac:dyDescent="0.3">
      <c r="A1615" s="75" t="s">
        <v>4568</v>
      </c>
      <c r="B1615" s="75" t="s">
        <v>4569</v>
      </c>
      <c r="C1615" s="75" t="s">
        <v>4151</v>
      </c>
      <c r="D1615" s="75" t="s">
        <v>13</v>
      </c>
      <c r="E1615" s="75" t="s">
        <v>13</v>
      </c>
      <c r="F1615" s="75" t="s">
        <v>13</v>
      </c>
    </row>
    <row r="1616" spans="1:6" x14ac:dyDescent="0.3">
      <c r="A1616" s="75" t="s">
        <v>4570</v>
      </c>
      <c r="B1616" s="75" t="s">
        <v>4571</v>
      </c>
      <c r="C1616" s="75" t="s">
        <v>4572</v>
      </c>
      <c r="D1616" s="75" t="s">
        <v>13</v>
      </c>
      <c r="E1616" s="75" t="s">
        <v>13</v>
      </c>
      <c r="F1616" s="75" t="s">
        <v>13</v>
      </c>
    </row>
    <row r="1617" spans="1:6" x14ac:dyDescent="0.3">
      <c r="A1617" s="75" t="s">
        <v>4573</v>
      </c>
      <c r="B1617" s="75" t="s">
        <v>4574</v>
      </c>
      <c r="C1617" s="75" t="s">
        <v>4575</v>
      </c>
      <c r="D1617" s="75">
        <v>1983</v>
      </c>
      <c r="E1617" s="75" t="s">
        <v>84</v>
      </c>
      <c r="F1617" s="75" t="s">
        <v>85</v>
      </c>
    </row>
    <row r="1618" spans="1:6" x14ac:dyDescent="0.3">
      <c r="A1618" s="75" t="s">
        <v>4576</v>
      </c>
      <c r="B1618" s="75" t="s">
        <v>4577</v>
      </c>
      <c r="C1618" s="75" t="s">
        <v>4578</v>
      </c>
      <c r="D1618" s="75" t="s">
        <v>13</v>
      </c>
      <c r="E1618" s="75" t="s">
        <v>518</v>
      </c>
      <c r="F1618" s="75" t="s">
        <v>49</v>
      </c>
    </row>
    <row r="1619" spans="1:6" x14ac:dyDescent="0.3">
      <c r="A1619" s="75" t="s">
        <v>4579</v>
      </c>
      <c r="B1619" s="75" t="s">
        <v>4580</v>
      </c>
      <c r="C1619" s="75" t="s">
        <v>4581</v>
      </c>
      <c r="D1619" s="75">
        <v>1993</v>
      </c>
      <c r="E1619" s="75" t="s">
        <v>53</v>
      </c>
      <c r="F1619" s="75" t="s">
        <v>229</v>
      </c>
    </row>
    <row r="1620" spans="1:6" x14ac:dyDescent="0.3">
      <c r="A1620" s="75" t="s">
        <v>4582</v>
      </c>
      <c r="B1620" s="75" t="s">
        <v>4583</v>
      </c>
      <c r="C1620" s="75" t="s">
        <v>3301</v>
      </c>
      <c r="D1620" s="75">
        <v>2005</v>
      </c>
      <c r="E1620" s="75" t="s">
        <v>348</v>
      </c>
      <c r="F1620" s="75" t="s">
        <v>1427</v>
      </c>
    </row>
    <row r="1621" spans="1:6" x14ac:dyDescent="0.3">
      <c r="A1621" s="75" t="s">
        <v>4584</v>
      </c>
      <c r="B1621" s="75" t="s">
        <v>4585</v>
      </c>
      <c r="C1621" s="75" t="s">
        <v>4586</v>
      </c>
      <c r="D1621" s="75" t="s">
        <v>13</v>
      </c>
      <c r="E1621" s="75" t="s">
        <v>96</v>
      </c>
      <c r="F1621" s="75" t="s">
        <v>97</v>
      </c>
    </row>
    <row r="1622" spans="1:6" x14ac:dyDescent="0.3">
      <c r="A1622" s="75" t="s">
        <v>4587</v>
      </c>
      <c r="B1622" s="75" t="s">
        <v>4588</v>
      </c>
      <c r="C1622" s="75" t="s">
        <v>13</v>
      </c>
      <c r="D1622" s="75" t="s">
        <v>13</v>
      </c>
      <c r="E1622" s="75" t="s">
        <v>13</v>
      </c>
      <c r="F1622" s="75" t="s">
        <v>13</v>
      </c>
    </row>
    <row r="1623" spans="1:6" x14ac:dyDescent="0.3">
      <c r="A1623" s="75" t="s">
        <v>4589</v>
      </c>
      <c r="B1623" s="75" t="s">
        <v>4588</v>
      </c>
      <c r="C1623" s="75" t="s">
        <v>13</v>
      </c>
      <c r="D1623" s="75" t="s">
        <v>13</v>
      </c>
      <c r="E1623" s="75" t="s">
        <v>13</v>
      </c>
      <c r="F1623" s="75" t="s">
        <v>13</v>
      </c>
    </row>
    <row r="1624" spans="1:6" x14ac:dyDescent="0.3">
      <c r="A1624" s="75" t="s">
        <v>4590</v>
      </c>
      <c r="B1624" s="75" t="s">
        <v>4588</v>
      </c>
      <c r="C1624" s="75" t="s">
        <v>13</v>
      </c>
      <c r="D1624" s="75" t="s">
        <v>13</v>
      </c>
      <c r="E1624" s="75" t="s">
        <v>13</v>
      </c>
      <c r="F1624" s="75" t="s">
        <v>13</v>
      </c>
    </row>
    <row r="1625" spans="1:6" x14ac:dyDescent="0.3">
      <c r="A1625" s="75" t="s">
        <v>4591</v>
      </c>
      <c r="B1625" s="75" t="s">
        <v>4592</v>
      </c>
      <c r="C1625" s="75" t="s">
        <v>4593</v>
      </c>
      <c r="D1625" s="75" t="s">
        <v>13</v>
      </c>
      <c r="E1625" s="75" t="s">
        <v>31</v>
      </c>
      <c r="F1625" s="75" t="s">
        <v>92</v>
      </c>
    </row>
    <row r="1626" spans="1:6" x14ac:dyDescent="0.3">
      <c r="A1626" s="75" t="s">
        <v>4594</v>
      </c>
      <c r="B1626" s="75" t="s">
        <v>4595</v>
      </c>
      <c r="C1626" s="75" t="s">
        <v>722</v>
      </c>
      <c r="D1626" s="75" t="s">
        <v>13</v>
      </c>
      <c r="E1626" s="75" t="s">
        <v>18</v>
      </c>
      <c r="F1626" s="75" t="s">
        <v>295</v>
      </c>
    </row>
    <row r="1627" spans="1:6" x14ac:dyDescent="0.3">
      <c r="A1627" s="75" t="s">
        <v>4596</v>
      </c>
      <c r="B1627" s="75" t="s">
        <v>4597</v>
      </c>
      <c r="C1627" s="75" t="s">
        <v>4598</v>
      </c>
      <c r="D1627" s="75">
        <v>1986</v>
      </c>
      <c r="E1627" s="75" t="s">
        <v>348</v>
      </c>
      <c r="F1627" s="75" t="s">
        <v>1288</v>
      </c>
    </row>
    <row r="1628" spans="1:6" x14ac:dyDescent="0.3">
      <c r="A1628" s="75" t="s">
        <v>4599</v>
      </c>
      <c r="B1628" s="75" t="s">
        <v>4600</v>
      </c>
      <c r="C1628" s="75" t="s">
        <v>4601</v>
      </c>
      <c r="D1628" s="75" t="s">
        <v>13</v>
      </c>
      <c r="E1628" s="75" t="s">
        <v>18</v>
      </c>
      <c r="F1628" s="75" t="s">
        <v>2588</v>
      </c>
    </row>
    <row r="1629" spans="1:6" x14ac:dyDescent="0.3">
      <c r="A1629" s="75" t="s">
        <v>4602</v>
      </c>
      <c r="B1629" s="75" t="s">
        <v>4603</v>
      </c>
      <c r="C1629" s="75" t="s">
        <v>4604</v>
      </c>
      <c r="D1629" s="75" t="s">
        <v>13</v>
      </c>
      <c r="E1629" s="75" t="s">
        <v>283</v>
      </c>
      <c r="F1629" s="75" t="s">
        <v>694</v>
      </c>
    </row>
    <row r="1630" spans="1:6" x14ac:dyDescent="0.3">
      <c r="A1630" s="75" t="s">
        <v>4605</v>
      </c>
      <c r="B1630" s="75" t="s">
        <v>4606</v>
      </c>
      <c r="C1630" s="75" t="s">
        <v>4607</v>
      </c>
      <c r="D1630" s="75">
        <v>1999</v>
      </c>
      <c r="E1630" s="75" t="s">
        <v>31</v>
      </c>
      <c r="F1630" s="75" t="s">
        <v>49</v>
      </c>
    </row>
    <row r="1631" spans="1:6" x14ac:dyDescent="0.3">
      <c r="A1631" s="75" t="s">
        <v>4608</v>
      </c>
      <c r="B1631" s="75" t="s">
        <v>4609</v>
      </c>
      <c r="C1631" s="75" t="s">
        <v>4610</v>
      </c>
      <c r="D1631" s="75">
        <v>2007</v>
      </c>
      <c r="E1631" s="75" t="s">
        <v>31</v>
      </c>
      <c r="F1631" s="75" t="s">
        <v>92</v>
      </c>
    </row>
    <row r="1632" spans="1:6" x14ac:dyDescent="0.3">
      <c r="A1632" s="75" t="s">
        <v>4611</v>
      </c>
      <c r="B1632" s="75" t="s">
        <v>4612</v>
      </c>
      <c r="C1632" s="75" t="s">
        <v>4613</v>
      </c>
      <c r="D1632" s="75">
        <v>1985</v>
      </c>
      <c r="E1632" s="75" t="s">
        <v>31</v>
      </c>
      <c r="F1632" s="75" t="s">
        <v>161</v>
      </c>
    </row>
    <row r="1633" spans="1:6" x14ac:dyDescent="0.3">
      <c r="A1633" s="75" t="s">
        <v>4614</v>
      </c>
      <c r="B1633" s="75" t="s">
        <v>4615</v>
      </c>
      <c r="C1633" s="75" t="s">
        <v>4616</v>
      </c>
      <c r="D1633" s="75" t="s">
        <v>13</v>
      </c>
      <c r="E1633" s="75" t="s">
        <v>18</v>
      </c>
      <c r="F1633" s="75" t="s">
        <v>729</v>
      </c>
    </row>
    <row r="1634" spans="1:6" x14ac:dyDescent="0.3">
      <c r="A1634" s="75" t="s">
        <v>4617</v>
      </c>
      <c r="B1634" s="75" t="s">
        <v>4618</v>
      </c>
      <c r="C1634" s="75" t="s">
        <v>4619</v>
      </c>
      <c r="D1634" s="75" t="s">
        <v>13</v>
      </c>
      <c r="E1634" s="75" t="s">
        <v>8</v>
      </c>
      <c r="F1634" s="75" t="s">
        <v>23</v>
      </c>
    </row>
    <row r="1635" spans="1:6" x14ac:dyDescent="0.3">
      <c r="A1635" s="75" t="s">
        <v>4620</v>
      </c>
      <c r="B1635" s="75" t="s">
        <v>4621</v>
      </c>
      <c r="C1635" s="75" t="s">
        <v>4622</v>
      </c>
      <c r="D1635" s="75">
        <v>2015</v>
      </c>
      <c r="E1635" s="75" t="s">
        <v>70</v>
      </c>
      <c r="F1635" s="75" t="s">
        <v>71</v>
      </c>
    </row>
    <row r="1636" spans="1:6" x14ac:dyDescent="0.3">
      <c r="A1636" s="75" t="s">
        <v>4623</v>
      </c>
      <c r="B1636" s="75" t="s">
        <v>4624</v>
      </c>
      <c r="C1636" s="75" t="s">
        <v>4625</v>
      </c>
      <c r="D1636" s="75">
        <v>1996</v>
      </c>
      <c r="E1636" s="75" t="s">
        <v>348</v>
      </c>
      <c r="F1636" s="75" t="s">
        <v>1183</v>
      </c>
    </row>
    <row r="1637" spans="1:6" x14ac:dyDescent="0.3">
      <c r="A1637" s="75" t="s">
        <v>4626</v>
      </c>
      <c r="B1637" s="75" t="s">
        <v>4627</v>
      </c>
      <c r="C1637" s="75" t="s">
        <v>4628</v>
      </c>
      <c r="D1637" s="75" t="s">
        <v>13</v>
      </c>
      <c r="E1637" s="75" t="s">
        <v>18</v>
      </c>
      <c r="F1637" s="75" t="s">
        <v>729</v>
      </c>
    </row>
    <row r="1638" spans="1:6" x14ac:dyDescent="0.3">
      <c r="A1638" s="75" t="s">
        <v>4629</v>
      </c>
      <c r="B1638" s="75" t="s">
        <v>4630</v>
      </c>
      <c r="C1638" s="75" t="s">
        <v>48</v>
      </c>
      <c r="D1638" s="75">
        <v>2014</v>
      </c>
      <c r="E1638" s="75" t="s">
        <v>8</v>
      </c>
      <c r="F1638" s="75" t="s">
        <v>9</v>
      </c>
    </row>
    <row r="1639" spans="1:6" x14ac:dyDescent="0.3">
      <c r="A1639" s="75" t="s">
        <v>4631</v>
      </c>
      <c r="B1639" s="75" t="s">
        <v>4632</v>
      </c>
      <c r="C1639" s="75" t="s">
        <v>13</v>
      </c>
      <c r="D1639" s="75" t="s">
        <v>13</v>
      </c>
      <c r="E1639" s="75" t="s">
        <v>13</v>
      </c>
      <c r="F1639" s="75" t="s">
        <v>13</v>
      </c>
    </row>
    <row r="1640" spans="1:6" x14ac:dyDescent="0.3">
      <c r="A1640" s="75" t="s">
        <v>4633</v>
      </c>
      <c r="B1640" s="75" t="s">
        <v>4634</v>
      </c>
      <c r="C1640" s="75" t="s">
        <v>4635</v>
      </c>
      <c r="D1640" s="75" t="s">
        <v>13</v>
      </c>
      <c r="E1640" s="75" t="s">
        <v>13</v>
      </c>
      <c r="F1640" s="75" t="s">
        <v>13</v>
      </c>
    </row>
    <row r="1641" spans="1:6" x14ac:dyDescent="0.3">
      <c r="A1641" s="75" t="s">
        <v>4636</v>
      </c>
      <c r="B1641" s="75" t="s">
        <v>4637</v>
      </c>
      <c r="C1641" s="75" t="s">
        <v>4638</v>
      </c>
      <c r="D1641" s="75" t="s">
        <v>13</v>
      </c>
      <c r="E1641" s="75" t="s">
        <v>13</v>
      </c>
      <c r="F1641" s="75" t="s">
        <v>13</v>
      </c>
    </row>
    <row r="1642" spans="1:6" x14ac:dyDescent="0.3">
      <c r="A1642" s="75" t="s">
        <v>4639</v>
      </c>
      <c r="B1642" s="75" t="s">
        <v>4640</v>
      </c>
      <c r="C1642" s="75" t="s">
        <v>4641</v>
      </c>
      <c r="D1642" s="75">
        <v>2013</v>
      </c>
      <c r="E1642" s="75" t="s">
        <v>518</v>
      </c>
      <c r="F1642" s="75" t="s">
        <v>2287</v>
      </c>
    </row>
    <row r="1643" spans="1:6" x14ac:dyDescent="0.3">
      <c r="A1643" s="75" t="s">
        <v>4642</v>
      </c>
      <c r="B1643" s="75" t="s">
        <v>4640</v>
      </c>
      <c r="C1643" s="75" t="s">
        <v>13</v>
      </c>
      <c r="D1643" s="75">
        <v>2013</v>
      </c>
      <c r="E1643" s="75" t="s">
        <v>518</v>
      </c>
      <c r="F1643" s="75" t="s">
        <v>2287</v>
      </c>
    </row>
    <row r="1644" spans="1:6" x14ac:dyDescent="0.3">
      <c r="A1644" s="75" t="s">
        <v>4643</v>
      </c>
      <c r="B1644" s="75" t="s">
        <v>4644</v>
      </c>
      <c r="C1644" s="75" t="s">
        <v>4645</v>
      </c>
      <c r="D1644" s="75">
        <v>2007</v>
      </c>
      <c r="E1644" s="75" t="s">
        <v>70</v>
      </c>
      <c r="F1644" s="75" t="s">
        <v>71</v>
      </c>
    </row>
    <row r="1645" spans="1:6" x14ac:dyDescent="0.3">
      <c r="A1645" s="75" t="s">
        <v>4646</v>
      </c>
      <c r="B1645" s="75" t="s">
        <v>4647</v>
      </c>
      <c r="C1645" s="75" t="s">
        <v>4648</v>
      </c>
      <c r="D1645" s="75">
        <v>2014</v>
      </c>
      <c r="E1645" s="75" t="s">
        <v>18</v>
      </c>
      <c r="F1645" s="75" t="s">
        <v>19</v>
      </c>
    </row>
    <row r="1646" spans="1:6" x14ac:dyDescent="0.3">
      <c r="A1646" s="75" t="s">
        <v>4649</v>
      </c>
      <c r="B1646" s="75" t="s">
        <v>4650</v>
      </c>
      <c r="C1646" s="75" t="s">
        <v>4651</v>
      </c>
      <c r="D1646" s="75">
        <v>2016</v>
      </c>
      <c r="E1646" s="75" t="s">
        <v>8</v>
      </c>
      <c r="F1646" s="75" t="s">
        <v>76</v>
      </c>
    </row>
    <row r="1647" spans="1:6" x14ac:dyDescent="0.3">
      <c r="A1647" s="75" t="s">
        <v>4652</v>
      </c>
      <c r="B1647" s="75" t="s">
        <v>4650</v>
      </c>
      <c r="C1647" s="75" t="s">
        <v>13</v>
      </c>
      <c r="D1647" s="75">
        <v>2016</v>
      </c>
      <c r="E1647" s="75" t="s">
        <v>8</v>
      </c>
      <c r="F1647" s="75" t="s">
        <v>76</v>
      </c>
    </row>
    <row r="1648" spans="1:6" x14ac:dyDescent="0.3">
      <c r="A1648" s="75" t="s">
        <v>4653</v>
      </c>
      <c r="B1648" s="75" t="s">
        <v>4650</v>
      </c>
      <c r="C1648" s="75" t="s">
        <v>13</v>
      </c>
      <c r="D1648" s="75">
        <v>2016</v>
      </c>
      <c r="E1648" s="75" t="s">
        <v>8</v>
      </c>
      <c r="F1648" s="75" t="s">
        <v>76</v>
      </c>
    </row>
    <row r="1649" spans="1:6" x14ac:dyDescent="0.3">
      <c r="A1649" s="75" t="s">
        <v>4654</v>
      </c>
      <c r="B1649" s="75" t="s">
        <v>4650</v>
      </c>
      <c r="C1649" s="75" t="s">
        <v>13</v>
      </c>
      <c r="D1649" s="75">
        <v>2016</v>
      </c>
      <c r="E1649" s="75" t="s">
        <v>8</v>
      </c>
      <c r="F1649" s="75" t="s">
        <v>76</v>
      </c>
    </row>
    <row r="1650" spans="1:6" x14ac:dyDescent="0.3">
      <c r="A1650" s="75" t="s">
        <v>4655</v>
      </c>
      <c r="B1650" s="75" t="s">
        <v>4656</v>
      </c>
      <c r="C1650" s="75" t="s">
        <v>4657</v>
      </c>
      <c r="D1650" s="75">
        <v>2002</v>
      </c>
      <c r="E1650" s="75" t="s">
        <v>283</v>
      </c>
      <c r="F1650" s="75" t="s">
        <v>284</v>
      </c>
    </row>
    <row r="1651" spans="1:6" x14ac:dyDescent="0.3">
      <c r="A1651" s="75" t="s">
        <v>4658</v>
      </c>
      <c r="B1651" s="75" t="s">
        <v>4659</v>
      </c>
      <c r="C1651" s="75" t="s">
        <v>4660</v>
      </c>
      <c r="D1651" s="75">
        <v>2011</v>
      </c>
      <c r="E1651" s="75" t="s">
        <v>8</v>
      </c>
      <c r="F1651" s="75" t="s">
        <v>76</v>
      </c>
    </row>
    <row r="1652" spans="1:6" x14ac:dyDescent="0.3">
      <c r="A1652" s="75" t="s">
        <v>4661</v>
      </c>
      <c r="B1652" s="75" t="s">
        <v>4662</v>
      </c>
      <c r="C1652" s="75" t="s">
        <v>4663</v>
      </c>
      <c r="D1652" s="75" t="s">
        <v>13</v>
      </c>
      <c r="E1652" s="75" t="s">
        <v>18</v>
      </c>
      <c r="F1652" s="75" t="s">
        <v>1048</v>
      </c>
    </row>
    <row r="1653" spans="1:6" x14ac:dyDescent="0.3">
      <c r="A1653" s="75" t="s">
        <v>4664</v>
      </c>
      <c r="B1653" s="75" t="s">
        <v>4665</v>
      </c>
      <c r="C1653" s="75" t="s">
        <v>4666</v>
      </c>
      <c r="D1653" s="75">
        <v>2015</v>
      </c>
      <c r="E1653" s="75" t="s">
        <v>8</v>
      </c>
      <c r="F1653" s="75" t="s">
        <v>76</v>
      </c>
    </row>
    <row r="1654" spans="1:6" x14ac:dyDescent="0.3">
      <c r="A1654" s="75" t="s">
        <v>4667</v>
      </c>
      <c r="B1654" s="75" t="s">
        <v>4665</v>
      </c>
      <c r="C1654" s="75" t="s">
        <v>4668</v>
      </c>
      <c r="D1654" s="75">
        <v>2015</v>
      </c>
      <c r="E1654" s="75" t="s">
        <v>8</v>
      </c>
      <c r="F1654" s="75" t="s">
        <v>76</v>
      </c>
    </row>
    <row r="1655" spans="1:6" x14ac:dyDescent="0.3">
      <c r="A1655" s="75" t="s">
        <v>4669</v>
      </c>
      <c r="B1655" s="75" t="s">
        <v>4665</v>
      </c>
      <c r="C1655" s="75" t="s">
        <v>13</v>
      </c>
      <c r="D1655" s="75">
        <v>2015</v>
      </c>
      <c r="E1655" s="75" t="s">
        <v>8</v>
      </c>
      <c r="F1655" s="75" t="s">
        <v>76</v>
      </c>
    </row>
    <row r="1656" spans="1:6" x14ac:dyDescent="0.3">
      <c r="A1656" s="75" t="s">
        <v>4670</v>
      </c>
      <c r="B1656" s="75" t="s">
        <v>4671</v>
      </c>
      <c r="C1656" s="75" t="s">
        <v>4672</v>
      </c>
      <c r="D1656" s="75">
        <v>2015</v>
      </c>
      <c r="E1656" s="75" t="s">
        <v>31</v>
      </c>
      <c r="F1656" s="75" t="s">
        <v>161</v>
      </c>
    </row>
    <row r="1657" spans="1:6" x14ac:dyDescent="0.3">
      <c r="A1657" s="75" t="s">
        <v>4673</v>
      </c>
      <c r="B1657" s="75" t="s">
        <v>4674</v>
      </c>
      <c r="C1657" s="75" t="s">
        <v>4675</v>
      </c>
      <c r="D1657" s="75">
        <v>1991</v>
      </c>
      <c r="E1657" s="75" t="s">
        <v>348</v>
      </c>
      <c r="F1657" s="75" t="s">
        <v>1288</v>
      </c>
    </row>
    <row r="1658" spans="1:6" x14ac:dyDescent="0.3">
      <c r="A1658" s="75" t="s">
        <v>4676</v>
      </c>
      <c r="B1658" s="75" t="s">
        <v>4677</v>
      </c>
      <c r="C1658" s="75" t="s">
        <v>4678</v>
      </c>
      <c r="D1658" s="75" t="s">
        <v>13</v>
      </c>
      <c r="E1658" s="75" t="s">
        <v>348</v>
      </c>
      <c r="F1658" s="75" t="s">
        <v>1183</v>
      </c>
    </row>
    <row r="1659" spans="1:6" x14ac:dyDescent="0.3">
      <c r="A1659" s="75" t="s">
        <v>4679</v>
      </c>
      <c r="B1659" s="75" t="s">
        <v>4680</v>
      </c>
      <c r="C1659" s="75" t="s">
        <v>4681</v>
      </c>
      <c r="D1659" s="75">
        <v>2017</v>
      </c>
      <c r="E1659" s="75" t="s">
        <v>70</v>
      </c>
      <c r="F1659" s="75" t="s">
        <v>118</v>
      </c>
    </row>
    <row r="1660" spans="1:6" x14ac:dyDescent="0.3">
      <c r="A1660" s="75" t="s">
        <v>4682</v>
      </c>
      <c r="B1660" s="75" t="s">
        <v>4683</v>
      </c>
      <c r="C1660" s="75" t="s">
        <v>4684</v>
      </c>
      <c r="D1660" s="75" t="s">
        <v>13</v>
      </c>
      <c r="E1660" s="75" t="s">
        <v>70</v>
      </c>
      <c r="F1660" s="75" t="s">
        <v>71</v>
      </c>
    </row>
    <row r="1661" spans="1:6" x14ac:dyDescent="0.3">
      <c r="A1661" s="75" t="s">
        <v>4685</v>
      </c>
      <c r="B1661" s="75" t="s">
        <v>4686</v>
      </c>
      <c r="C1661" s="75" t="s">
        <v>4687</v>
      </c>
      <c r="D1661" s="75">
        <v>2014</v>
      </c>
      <c r="E1661" s="75" t="s">
        <v>70</v>
      </c>
      <c r="F1661" s="75" t="s">
        <v>118</v>
      </c>
    </row>
    <row r="1662" spans="1:6" x14ac:dyDescent="0.3">
      <c r="A1662" s="75" t="s">
        <v>4688</v>
      </c>
      <c r="B1662" s="75" t="s">
        <v>4689</v>
      </c>
      <c r="C1662" s="75" t="s">
        <v>1430</v>
      </c>
      <c r="D1662" s="75">
        <v>2014</v>
      </c>
      <c r="E1662" s="75" t="s">
        <v>70</v>
      </c>
      <c r="F1662" s="75" t="s">
        <v>80</v>
      </c>
    </row>
    <row r="1663" spans="1:6" x14ac:dyDescent="0.3">
      <c r="A1663" s="75" t="s">
        <v>4690</v>
      </c>
      <c r="B1663" s="75" t="s">
        <v>4691</v>
      </c>
      <c r="C1663" s="75" t="s">
        <v>844</v>
      </c>
      <c r="D1663" s="75" t="s">
        <v>13</v>
      </c>
      <c r="E1663" s="75" t="s">
        <v>53</v>
      </c>
      <c r="F1663" s="75" t="s">
        <v>519</v>
      </c>
    </row>
    <row r="1664" spans="1:6" x14ac:dyDescent="0.3">
      <c r="A1664" s="75" t="s">
        <v>4692</v>
      </c>
      <c r="B1664" s="75" t="s">
        <v>4693</v>
      </c>
      <c r="C1664" s="75" t="s">
        <v>4694</v>
      </c>
      <c r="D1664" s="75">
        <v>2017</v>
      </c>
      <c r="E1664" s="75" t="s">
        <v>70</v>
      </c>
      <c r="F1664" s="75" t="s">
        <v>71</v>
      </c>
    </row>
    <row r="1665" spans="1:6" x14ac:dyDescent="0.3">
      <c r="A1665" s="75" t="s">
        <v>4695</v>
      </c>
      <c r="B1665" s="75" t="s">
        <v>4696</v>
      </c>
      <c r="C1665" s="75" t="s">
        <v>4697</v>
      </c>
      <c r="D1665" s="75">
        <v>2015</v>
      </c>
      <c r="E1665" s="75" t="s">
        <v>70</v>
      </c>
      <c r="F1665" s="75" t="s">
        <v>71</v>
      </c>
    </row>
    <row r="1666" spans="1:6" x14ac:dyDescent="0.3">
      <c r="A1666" s="75" t="s">
        <v>4698</v>
      </c>
      <c r="B1666" s="75" t="s">
        <v>4699</v>
      </c>
      <c r="C1666" s="75" t="s">
        <v>4700</v>
      </c>
      <c r="D1666" s="75">
        <v>2013</v>
      </c>
      <c r="E1666" s="75" t="s">
        <v>70</v>
      </c>
      <c r="F1666" s="75" t="s">
        <v>71</v>
      </c>
    </row>
    <row r="1667" spans="1:6" x14ac:dyDescent="0.3">
      <c r="A1667" s="75" t="s">
        <v>4701</v>
      </c>
      <c r="B1667" s="75" t="s">
        <v>4702</v>
      </c>
      <c r="C1667" s="75" t="s">
        <v>4703</v>
      </c>
      <c r="D1667" s="75" t="s">
        <v>13</v>
      </c>
      <c r="E1667" s="75" t="s">
        <v>53</v>
      </c>
      <c r="F1667" s="75" t="s">
        <v>4704</v>
      </c>
    </row>
    <row r="1668" spans="1:6" x14ac:dyDescent="0.3">
      <c r="A1668" s="75" t="s">
        <v>4705</v>
      </c>
      <c r="B1668" s="75" t="s">
        <v>4706</v>
      </c>
      <c r="C1668" s="75" t="s">
        <v>4707</v>
      </c>
      <c r="D1668" s="75">
        <v>2013</v>
      </c>
      <c r="E1668" s="75" t="s">
        <v>70</v>
      </c>
      <c r="F1668" s="75" t="s">
        <v>71</v>
      </c>
    </row>
    <row r="1669" spans="1:6" x14ac:dyDescent="0.3">
      <c r="A1669" s="75" t="s">
        <v>4708</v>
      </c>
      <c r="B1669" s="75" t="s">
        <v>4709</v>
      </c>
      <c r="C1669" s="75" t="s">
        <v>4710</v>
      </c>
      <c r="D1669" s="75">
        <v>2017</v>
      </c>
      <c r="E1669" s="75" t="s">
        <v>8</v>
      </c>
      <c r="F1669" s="75" t="s">
        <v>76</v>
      </c>
    </row>
    <row r="1670" spans="1:6" x14ac:dyDescent="0.3">
      <c r="A1670" s="75" t="s">
        <v>4711</v>
      </c>
      <c r="B1670" s="75" t="s">
        <v>4709</v>
      </c>
      <c r="C1670" s="75" t="s">
        <v>13</v>
      </c>
      <c r="D1670" s="75">
        <v>2017</v>
      </c>
      <c r="E1670" s="75" t="s">
        <v>8</v>
      </c>
      <c r="F1670" s="75" t="s">
        <v>76</v>
      </c>
    </row>
    <row r="1671" spans="1:6" x14ac:dyDescent="0.3">
      <c r="A1671" s="75" t="s">
        <v>4712</v>
      </c>
      <c r="B1671" s="75" t="s">
        <v>4709</v>
      </c>
      <c r="C1671" s="75" t="s">
        <v>13</v>
      </c>
      <c r="D1671" s="75">
        <v>2017</v>
      </c>
      <c r="E1671" s="75" t="s">
        <v>8</v>
      </c>
      <c r="F1671" s="75" t="s">
        <v>76</v>
      </c>
    </row>
    <row r="1672" spans="1:6" x14ac:dyDescent="0.3">
      <c r="A1672" s="75" t="s">
        <v>4713</v>
      </c>
      <c r="B1672" s="75" t="s">
        <v>4714</v>
      </c>
      <c r="C1672" s="75" t="s">
        <v>13</v>
      </c>
      <c r="D1672" s="75">
        <v>2017</v>
      </c>
      <c r="E1672" s="75" t="s">
        <v>8</v>
      </c>
      <c r="F1672" s="75" t="s">
        <v>76</v>
      </c>
    </row>
    <row r="1673" spans="1:6" x14ac:dyDescent="0.3">
      <c r="A1673" s="75" t="s">
        <v>4715</v>
      </c>
      <c r="B1673" s="75" t="s">
        <v>4714</v>
      </c>
      <c r="C1673" s="75" t="s">
        <v>13</v>
      </c>
      <c r="D1673" s="75">
        <v>2017</v>
      </c>
      <c r="E1673" s="75" t="s">
        <v>8</v>
      </c>
      <c r="F1673" s="75" t="s">
        <v>76</v>
      </c>
    </row>
    <row r="1674" spans="1:6" x14ac:dyDescent="0.3">
      <c r="A1674" s="75" t="s">
        <v>4716</v>
      </c>
      <c r="B1674" s="75" t="s">
        <v>4714</v>
      </c>
      <c r="C1674" s="75" t="s">
        <v>13</v>
      </c>
      <c r="D1674" s="75">
        <v>2017</v>
      </c>
      <c r="E1674" s="75" t="s">
        <v>8</v>
      </c>
      <c r="F1674" s="75" t="s">
        <v>76</v>
      </c>
    </row>
    <row r="1675" spans="1:6" x14ac:dyDescent="0.3">
      <c r="A1675" s="75" t="s">
        <v>4717</v>
      </c>
      <c r="B1675" s="75" t="s">
        <v>4714</v>
      </c>
      <c r="C1675" s="75" t="s">
        <v>13</v>
      </c>
      <c r="D1675" s="75">
        <v>2017</v>
      </c>
      <c r="E1675" s="75" t="s">
        <v>8</v>
      </c>
      <c r="F1675" s="75" t="s">
        <v>76</v>
      </c>
    </row>
    <row r="1676" spans="1:6" x14ac:dyDescent="0.3">
      <c r="A1676" s="75" t="s">
        <v>4718</v>
      </c>
      <c r="B1676" s="75" t="s">
        <v>4719</v>
      </c>
      <c r="C1676" s="75" t="s">
        <v>4720</v>
      </c>
      <c r="D1676" s="75">
        <v>2013</v>
      </c>
      <c r="E1676" s="75" t="s">
        <v>348</v>
      </c>
      <c r="F1676" s="75" t="s">
        <v>1059</v>
      </c>
    </row>
    <row r="1677" spans="1:6" x14ac:dyDescent="0.3">
      <c r="A1677" s="75" t="s">
        <v>4721</v>
      </c>
      <c r="B1677" s="75" t="s">
        <v>4722</v>
      </c>
      <c r="C1677" s="75" t="s">
        <v>4723</v>
      </c>
      <c r="D1677" s="75">
        <v>2006</v>
      </c>
      <c r="E1677" s="75" t="s">
        <v>13</v>
      </c>
      <c r="F1677" s="75" t="s">
        <v>13</v>
      </c>
    </row>
    <row r="1678" spans="1:6" x14ac:dyDescent="0.3">
      <c r="A1678" s="75" t="s">
        <v>4724</v>
      </c>
      <c r="B1678" s="75" t="s">
        <v>4725</v>
      </c>
      <c r="C1678" s="75" t="s">
        <v>1631</v>
      </c>
      <c r="D1678" s="75" t="s">
        <v>13</v>
      </c>
      <c r="E1678" s="75" t="s">
        <v>8</v>
      </c>
      <c r="F1678" s="75" t="s">
        <v>23</v>
      </c>
    </row>
    <row r="1679" spans="1:6" x14ac:dyDescent="0.3">
      <c r="A1679" s="75" t="s">
        <v>4726</v>
      </c>
      <c r="B1679" s="75" t="s">
        <v>4727</v>
      </c>
      <c r="C1679" s="75" t="s">
        <v>4728</v>
      </c>
      <c r="D1679" s="75" t="s">
        <v>13</v>
      </c>
      <c r="E1679" s="75" t="s">
        <v>31</v>
      </c>
      <c r="F1679" s="75" t="s">
        <v>1032</v>
      </c>
    </row>
    <row r="1680" spans="1:6" x14ac:dyDescent="0.3">
      <c r="A1680" s="75" t="s">
        <v>4729</v>
      </c>
      <c r="B1680" s="75" t="s">
        <v>4727</v>
      </c>
      <c r="C1680" s="75" t="s">
        <v>4730</v>
      </c>
      <c r="D1680" s="75" t="s">
        <v>13</v>
      </c>
      <c r="E1680" s="75" t="s">
        <v>31</v>
      </c>
      <c r="F1680" s="75" t="s">
        <v>1032</v>
      </c>
    </row>
    <row r="1681" spans="1:6" x14ac:dyDescent="0.3">
      <c r="A1681" s="75" t="s">
        <v>4731</v>
      </c>
      <c r="B1681" s="75" t="s">
        <v>4732</v>
      </c>
      <c r="C1681" s="75" t="s">
        <v>4733</v>
      </c>
      <c r="D1681" s="75">
        <v>2015</v>
      </c>
      <c r="E1681" s="75" t="s">
        <v>70</v>
      </c>
      <c r="F1681" s="75" t="s">
        <v>71</v>
      </c>
    </row>
    <row r="1682" spans="1:6" x14ac:dyDescent="0.3">
      <c r="A1682" s="75" t="s">
        <v>4734</v>
      </c>
      <c r="B1682" s="75" t="s">
        <v>4735</v>
      </c>
      <c r="C1682" s="75" t="s">
        <v>4736</v>
      </c>
      <c r="D1682" s="75" t="s">
        <v>13</v>
      </c>
      <c r="E1682" s="75" t="s">
        <v>8</v>
      </c>
      <c r="F1682" s="75" t="s">
        <v>23</v>
      </c>
    </row>
    <row r="1683" spans="1:6" x14ac:dyDescent="0.3">
      <c r="A1683" s="75" t="s">
        <v>4737</v>
      </c>
      <c r="B1683" s="75" t="s">
        <v>4738</v>
      </c>
      <c r="C1683" s="75" t="s">
        <v>4739</v>
      </c>
      <c r="D1683" s="75" t="s">
        <v>13</v>
      </c>
      <c r="E1683" s="75" t="s">
        <v>70</v>
      </c>
      <c r="F1683" s="75" t="s">
        <v>71</v>
      </c>
    </row>
    <row r="1684" spans="1:6" x14ac:dyDescent="0.3">
      <c r="A1684" s="75" t="s">
        <v>4740</v>
      </c>
      <c r="B1684" s="75" t="s">
        <v>4741</v>
      </c>
      <c r="C1684" s="75" t="s">
        <v>4742</v>
      </c>
      <c r="D1684" s="75" t="s">
        <v>13</v>
      </c>
      <c r="E1684" s="75" t="s">
        <v>53</v>
      </c>
      <c r="F1684" s="75" t="s">
        <v>101</v>
      </c>
    </row>
    <row r="1685" spans="1:6" x14ac:dyDescent="0.3">
      <c r="A1685" s="75" t="s">
        <v>4743</v>
      </c>
      <c r="B1685" s="75" t="s">
        <v>4744</v>
      </c>
      <c r="C1685" s="75" t="s">
        <v>4745</v>
      </c>
      <c r="D1685" s="75">
        <v>1993</v>
      </c>
      <c r="E1685" s="75" t="s">
        <v>31</v>
      </c>
      <c r="F1685" s="75" t="s">
        <v>63</v>
      </c>
    </row>
    <row r="1686" spans="1:6" x14ac:dyDescent="0.3">
      <c r="A1686" s="75" t="s">
        <v>4746</v>
      </c>
      <c r="B1686" s="75" t="s">
        <v>4747</v>
      </c>
      <c r="C1686" s="75" t="s">
        <v>4748</v>
      </c>
      <c r="D1686" s="75">
        <v>1983</v>
      </c>
      <c r="E1686" s="75" t="s">
        <v>31</v>
      </c>
      <c r="F1686" s="75" t="s">
        <v>798</v>
      </c>
    </row>
    <row r="1687" spans="1:6" x14ac:dyDescent="0.3">
      <c r="A1687" s="75" t="s">
        <v>4749</v>
      </c>
      <c r="B1687" s="75" t="s">
        <v>4750</v>
      </c>
      <c r="C1687" s="75" t="s">
        <v>4751</v>
      </c>
      <c r="D1687" s="75">
        <v>1995</v>
      </c>
      <c r="E1687" s="75" t="s">
        <v>31</v>
      </c>
      <c r="F1687" s="75" t="s">
        <v>1032</v>
      </c>
    </row>
    <row r="1688" spans="1:6" x14ac:dyDescent="0.3">
      <c r="A1688" s="75" t="s">
        <v>4752</v>
      </c>
      <c r="B1688" s="75" t="s">
        <v>4753</v>
      </c>
      <c r="C1688" s="75" t="s">
        <v>4754</v>
      </c>
      <c r="D1688" s="75" t="s">
        <v>13</v>
      </c>
      <c r="E1688" s="75" t="s">
        <v>31</v>
      </c>
      <c r="F1688" s="75" t="s">
        <v>229</v>
      </c>
    </row>
    <row r="1689" spans="1:6" x14ac:dyDescent="0.3">
      <c r="A1689" s="75" t="s">
        <v>4755</v>
      </c>
      <c r="B1689" s="75" t="s">
        <v>4756</v>
      </c>
      <c r="C1689" s="75" t="s">
        <v>4757</v>
      </c>
      <c r="D1689" s="75" t="s">
        <v>13</v>
      </c>
      <c r="E1689" s="75" t="s">
        <v>518</v>
      </c>
      <c r="F1689" s="75" t="s">
        <v>630</v>
      </c>
    </row>
    <row r="1690" spans="1:6" x14ac:dyDescent="0.3">
      <c r="A1690" s="75" t="s">
        <v>4758</v>
      </c>
      <c r="B1690" s="75" t="s">
        <v>4759</v>
      </c>
      <c r="C1690" s="75" t="s">
        <v>4760</v>
      </c>
      <c r="D1690" s="75">
        <v>2013</v>
      </c>
      <c r="E1690" s="75" t="s">
        <v>70</v>
      </c>
      <c r="F1690" s="75" t="s">
        <v>71</v>
      </c>
    </row>
    <row r="1691" spans="1:6" x14ac:dyDescent="0.3">
      <c r="A1691" s="75" t="s">
        <v>4761</v>
      </c>
      <c r="B1691" s="75" t="s">
        <v>4762</v>
      </c>
      <c r="C1691" s="75" t="s">
        <v>4763</v>
      </c>
      <c r="D1691" s="75" t="s">
        <v>13</v>
      </c>
      <c r="E1691" s="75" t="s">
        <v>96</v>
      </c>
      <c r="F1691" s="75" t="s">
        <v>76</v>
      </c>
    </row>
    <row r="1692" spans="1:6" x14ac:dyDescent="0.3">
      <c r="A1692" s="75" t="s">
        <v>4764</v>
      </c>
      <c r="B1692" s="75" t="s">
        <v>4765</v>
      </c>
      <c r="C1692" s="75" t="s">
        <v>4766</v>
      </c>
      <c r="D1692" s="75" t="s">
        <v>13</v>
      </c>
      <c r="E1692" s="75" t="s">
        <v>8</v>
      </c>
      <c r="F1692" s="75" t="s">
        <v>9</v>
      </c>
    </row>
    <row r="1693" spans="1:6" x14ac:dyDescent="0.3">
      <c r="A1693" s="75" t="s">
        <v>4767</v>
      </c>
      <c r="B1693" s="75" t="s">
        <v>4768</v>
      </c>
      <c r="C1693" s="75" t="s">
        <v>4769</v>
      </c>
      <c r="D1693" s="75">
        <v>2010</v>
      </c>
      <c r="E1693" s="75" t="s">
        <v>31</v>
      </c>
      <c r="F1693" s="75" t="s">
        <v>161</v>
      </c>
    </row>
    <row r="1694" spans="1:6" x14ac:dyDescent="0.3">
      <c r="A1694" s="75" t="s">
        <v>4770</v>
      </c>
      <c r="B1694" s="75" t="s">
        <v>4771</v>
      </c>
      <c r="C1694" s="75" t="s">
        <v>4772</v>
      </c>
      <c r="D1694" s="75">
        <v>2016</v>
      </c>
      <c r="E1694" s="75" t="s">
        <v>8</v>
      </c>
      <c r="F1694" s="75" t="s">
        <v>9</v>
      </c>
    </row>
    <row r="1695" spans="1:6" x14ac:dyDescent="0.3">
      <c r="A1695" s="75" t="s">
        <v>4773</v>
      </c>
      <c r="B1695" s="75" t="s">
        <v>4774</v>
      </c>
      <c r="C1695" s="75" t="s">
        <v>4775</v>
      </c>
      <c r="D1695" s="75">
        <v>2002</v>
      </c>
      <c r="E1695" s="75" t="s">
        <v>18</v>
      </c>
      <c r="F1695" s="75" t="s">
        <v>19</v>
      </c>
    </row>
    <row r="1696" spans="1:6" x14ac:dyDescent="0.3">
      <c r="A1696" s="75" t="s">
        <v>4776</v>
      </c>
      <c r="B1696" s="75" t="s">
        <v>4777</v>
      </c>
      <c r="C1696" s="75" t="s">
        <v>4778</v>
      </c>
      <c r="D1696" s="75">
        <v>2014</v>
      </c>
      <c r="E1696" s="75" t="s">
        <v>70</v>
      </c>
      <c r="F1696" s="75" t="s">
        <v>118</v>
      </c>
    </row>
    <row r="1697" spans="1:6" x14ac:dyDescent="0.3">
      <c r="A1697" s="75" t="s">
        <v>4779</v>
      </c>
      <c r="B1697" s="75" t="s">
        <v>4780</v>
      </c>
      <c r="C1697" s="75" t="s">
        <v>4781</v>
      </c>
      <c r="D1697" s="75">
        <v>2015</v>
      </c>
      <c r="E1697" s="75" t="s">
        <v>70</v>
      </c>
      <c r="F1697" s="75" t="s">
        <v>71</v>
      </c>
    </row>
    <row r="1698" spans="1:6" x14ac:dyDescent="0.3">
      <c r="A1698" s="75" t="s">
        <v>4782</v>
      </c>
      <c r="B1698" s="75" t="s">
        <v>4780</v>
      </c>
      <c r="C1698" s="75" t="s">
        <v>13</v>
      </c>
      <c r="D1698" s="75">
        <v>2015</v>
      </c>
      <c r="E1698" s="75" t="s">
        <v>70</v>
      </c>
      <c r="F1698" s="75" t="s">
        <v>71</v>
      </c>
    </row>
    <row r="1699" spans="1:6" x14ac:dyDescent="0.3">
      <c r="A1699" s="75" t="s">
        <v>4783</v>
      </c>
      <c r="B1699" s="75" t="s">
        <v>4784</v>
      </c>
      <c r="C1699" s="75" t="s">
        <v>4785</v>
      </c>
      <c r="D1699" s="75">
        <v>1980</v>
      </c>
      <c r="E1699" s="75" t="s">
        <v>53</v>
      </c>
      <c r="F1699" s="75" t="s">
        <v>1427</v>
      </c>
    </row>
    <row r="1700" spans="1:6" x14ac:dyDescent="0.3">
      <c r="A1700" s="75" t="s">
        <v>4786</v>
      </c>
      <c r="B1700" s="75" t="s">
        <v>4787</v>
      </c>
      <c r="C1700" s="75" t="s">
        <v>3781</v>
      </c>
      <c r="D1700" s="75" t="s">
        <v>13</v>
      </c>
      <c r="E1700" s="75" t="s">
        <v>53</v>
      </c>
      <c r="F1700" s="75" t="s">
        <v>238</v>
      </c>
    </row>
    <row r="1701" spans="1:6" x14ac:dyDescent="0.3">
      <c r="A1701" s="75" t="s">
        <v>4788</v>
      </c>
      <c r="B1701" s="75" t="s">
        <v>4789</v>
      </c>
      <c r="C1701" s="75" t="s">
        <v>4790</v>
      </c>
      <c r="D1701" s="75">
        <v>2005</v>
      </c>
      <c r="E1701" s="75" t="s">
        <v>18</v>
      </c>
      <c r="F1701" s="75" t="s">
        <v>729</v>
      </c>
    </row>
    <row r="1702" spans="1:6" x14ac:dyDescent="0.3">
      <c r="A1702" s="75" t="s">
        <v>4791</v>
      </c>
      <c r="B1702" s="75" t="s">
        <v>4792</v>
      </c>
      <c r="C1702" s="75" t="s">
        <v>4793</v>
      </c>
      <c r="D1702" s="75">
        <v>1992</v>
      </c>
      <c r="E1702" s="75" t="s">
        <v>31</v>
      </c>
      <c r="F1702" s="75" t="s">
        <v>92</v>
      </c>
    </row>
    <row r="1703" spans="1:6" x14ac:dyDescent="0.3">
      <c r="A1703" s="75" t="s">
        <v>4794</v>
      </c>
      <c r="B1703" s="75" t="s">
        <v>4795</v>
      </c>
      <c r="C1703" s="75" t="s">
        <v>4796</v>
      </c>
      <c r="D1703" s="75">
        <v>2015</v>
      </c>
      <c r="E1703" s="75" t="s">
        <v>53</v>
      </c>
      <c r="F1703" s="75" t="s">
        <v>63</v>
      </c>
    </row>
    <row r="1704" spans="1:6" x14ac:dyDescent="0.3">
      <c r="A1704" s="75" t="s">
        <v>4797</v>
      </c>
      <c r="B1704" s="75" t="s">
        <v>4798</v>
      </c>
      <c r="C1704" s="75" t="s">
        <v>4799</v>
      </c>
      <c r="D1704" s="75" t="s">
        <v>13</v>
      </c>
      <c r="E1704" s="75" t="s">
        <v>348</v>
      </c>
      <c r="F1704" s="75" t="s">
        <v>4402</v>
      </c>
    </row>
    <row r="1705" spans="1:6" x14ac:dyDescent="0.3">
      <c r="A1705" s="75" t="s">
        <v>4800</v>
      </c>
      <c r="B1705" s="75" t="s">
        <v>4801</v>
      </c>
      <c r="C1705" s="75" t="s">
        <v>4802</v>
      </c>
      <c r="D1705" s="75" t="s">
        <v>13</v>
      </c>
      <c r="E1705" s="75" t="s">
        <v>13</v>
      </c>
      <c r="F1705" s="75" t="s">
        <v>13</v>
      </c>
    </row>
    <row r="1706" spans="1:6" x14ac:dyDescent="0.3">
      <c r="A1706" s="75" t="s">
        <v>4803</v>
      </c>
      <c r="B1706" s="75" t="s">
        <v>4804</v>
      </c>
      <c r="C1706" s="75" t="s">
        <v>279</v>
      </c>
      <c r="D1706" s="75" t="s">
        <v>13</v>
      </c>
      <c r="E1706" s="75" t="s">
        <v>53</v>
      </c>
      <c r="F1706" s="75" t="s">
        <v>794</v>
      </c>
    </row>
    <row r="1707" spans="1:6" x14ac:dyDescent="0.3">
      <c r="A1707" s="75" t="s">
        <v>4805</v>
      </c>
      <c r="B1707" s="75" t="s">
        <v>4806</v>
      </c>
      <c r="C1707" s="75" t="s">
        <v>2603</v>
      </c>
      <c r="D1707" s="75" t="s">
        <v>13</v>
      </c>
      <c r="E1707" s="75" t="s">
        <v>31</v>
      </c>
      <c r="F1707" s="75" t="s">
        <v>92</v>
      </c>
    </row>
    <row r="1708" spans="1:6" x14ac:dyDescent="0.3">
      <c r="A1708" s="75" t="s">
        <v>4807</v>
      </c>
      <c r="B1708" s="75" t="s">
        <v>4808</v>
      </c>
      <c r="C1708" s="75" t="s">
        <v>4809</v>
      </c>
      <c r="D1708" s="75" t="s">
        <v>13</v>
      </c>
      <c r="E1708" s="75" t="s">
        <v>70</v>
      </c>
      <c r="F1708" s="75" t="s">
        <v>71</v>
      </c>
    </row>
    <row r="1709" spans="1:6" x14ac:dyDescent="0.3">
      <c r="A1709" s="75" t="s">
        <v>4810</v>
      </c>
      <c r="B1709" s="75" t="s">
        <v>4811</v>
      </c>
      <c r="C1709" s="75" t="s">
        <v>4812</v>
      </c>
      <c r="D1709" s="75">
        <v>1996</v>
      </c>
      <c r="E1709" s="75" t="s">
        <v>31</v>
      </c>
      <c r="F1709" s="75" t="s">
        <v>291</v>
      </c>
    </row>
    <row r="1710" spans="1:6" x14ac:dyDescent="0.3">
      <c r="A1710" s="75" t="s">
        <v>4813</v>
      </c>
      <c r="B1710" s="75" t="s">
        <v>4814</v>
      </c>
      <c r="C1710" s="75" t="s">
        <v>4815</v>
      </c>
      <c r="D1710" s="75" t="s">
        <v>13</v>
      </c>
      <c r="E1710" s="75" t="s">
        <v>58</v>
      </c>
      <c r="F1710" s="75" t="s">
        <v>519</v>
      </c>
    </row>
    <row r="1711" spans="1:6" x14ac:dyDescent="0.3">
      <c r="A1711" s="75" t="s">
        <v>4816</v>
      </c>
      <c r="B1711" s="75" t="s">
        <v>4817</v>
      </c>
      <c r="C1711" s="75" t="s">
        <v>4818</v>
      </c>
      <c r="D1711" s="75">
        <v>1994</v>
      </c>
      <c r="E1711" s="75" t="s">
        <v>70</v>
      </c>
      <c r="F1711" s="75" t="s">
        <v>118</v>
      </c>
    </row>
    <row r="1712" spans="1:6" x14ac:dyDescent="0.3">
      <c r="A1712" s="75" t="s">
        <v>4819</v>
      </c>
      <c r="B1712" s="75" t="s">
        <v>4820</v>
      </c>
      <c r="C1712" s="75" t="s">
        <v>4821</v>
      </c>
      <c r="D1712" s="75" t="s">
        <v>13</v>
      </c>
      <c r="E1712" s="75" t="s">
        <v>8</v>
      </c>
      <c r="F1712" s="75" t="s">
        <v>23</v>
      </c>
    </row>
    <row r="1713" spans="1:6" x14ac:dyDescent="0.3">
      <c r="A1713" s="75" t="s">
        <v>4822</v>
      </c>
      <c r="B1713" s="75" t="s">
        <v>4823</v>
      </c>
      <c r="C1713" s="75" t="s">
        <v>4824</v>
      </c>
      <c r="D1713" s="75" t="s">
        <v>13</v>
      </c>
      <c r="E1713" s="75" t="s">
        <v>8</v>
      </c>
      <c r="F1713" s="75" t="s">
        <v>27</v>
      </c>
    </row>
    <row r="1714" spans="1:6" x14ac:dyDescent="0.3">
      <c r="A1714" s="75" t="s">
        <v>4825</v>
      </c>
      <c r="B1714" s="75" t="s">
        <v>4826</v>
      </c>
      <c r="C1714" s="75" t="s">
        <v>1079</v>
      </c>
      <c r="D1714" s="75" t="s">
        <v>13</v>
      </c>
      <c r="E1714" s="75" t="s">
        <v>8</v>
      </c>
      <c r="F1714" s="75" t="s">
        <v>27</v>
      </c>
    </row>
    <row r="1715" spans="1:6" x14ac:dyDescent="0.3">
      <c r="A1715" s="75" t="s">
        <v>4827</v>
      </c>
      <c r="B1715" s="75" t="s">
        <v>4828</v>
      </c>
      <c r="C1715" s="75" t="s">
        <v>4829</v>
      </c>
      <c r="D1715" s="75">
        <v>1986</v>
      </c>
      <c r="E1715" s="75" t="s">
        <v>70</v>
      </c>
      <c r="F1715" s="75" t="s">
        <v>353</v>
      </c>
    </row>
    <row r="1716" spans="1:6" x14ac:dyDescent="0.3">
      <c r="A1716" s="75" t="s">
        <v>4830</v>
      </c>
      <c r="B1716" s="75" t="s">
        <v>4831</v>
      </c>
      <c r="C1716" s="75" t="s">
        <v>4832</v>
      </c>
      <c r="D1716" s="75">
        <v>1984</v>
      </c>
      <c r="E1716" s="75" t="s">
        <v>31</v>
      </c>
      <c r="F1716" s="75" t="s">
        <v>63</v>
      </c>
    </row>
    <row r="1717" spans="1:6" x14ac:dyDescent="0.3">
      <c r="A1717" s="75" t="s">
        <v>4833</v>
      </c>
      <c r="B1717" s="75" t="s">
        <v>4834</v>
      </c>
      <c r="C1717" s="75" t="s">
        <v>1168</v>
      </c>
      <c r="D1717" s="75">
        <v>1996</v>
      </c>
      <c r="E1717" s="75" t="s">
        <v>18</v>
      </c>
      <c r="F1717" s="75" t="s">
        <v>266</v>
      </c>
    </row>
    <row r="1718" spans="1:6" x14ac:dyDescent="0.3">
      <c r="A1718" s="75" t="s">
        <v>4835</v>
      </c>
      <c r="B1718" s="75" t="s">
        <v>4836</v>
      </c>
      <c r="C1718" s="75" t="s">
        <v>39</v>
      </c>
      <c r="D1718" s="75" t="s">
        <v>13</v>
      </c>
      <c r="E1718" s="75" t="s">
        <v>348</v>
      </c>
      <c r="F1718" s="75" t="s">
        <v>1219</v>
      </c>
    </row>
    <row r="1719" spans="1:6" x14ac:dyDescent="0.3">
      <c r="A1719" s="75" t="s">
        <v>4837</v>
      </c>
      <c r="B1719" s="75" t="s">
        <v>4838</v>
      </c>
      <c r="C1719" s="75" t="s">
        <v>4839</v>
      </c>
      <c r="D1719" s="75">
        <v>2016</v>
      </c>
      <c r="E1719" s="75" t="s">
        <v>8</v>
      </c>
      <c r="F1719" s="75" t="s">
        <v>76</v>
      </c>
    </row>
    <row r="1720" spans="1:6" x14ac:dyDescent="0.3">
      <c r="A1720" s="75" t="s">
        <v>4840</v>
      </c>
      <c r="B1720" s="75" t="s">
        <v>4838</v>
      </c>
      <c r="C1720" s="75" t="s">
        <v>13</v>
      </c>
      <c r="D1720" s="75">
        <v>2016</v>
      </c>
      <c r="E1720" s="75" t="s">
        <v>8</v>
      </c>
      <c r="F1720" s="75" t="s">
        <v>76</v>
      </c>
    </row>
    <row r="1721" spans="1:6" x14ac:dyDescent="0.3">
      <c r="A1721" s="75" t="s">
        <v>4841</v>
      </c>
      <c r="B1721" s="75" t="s">
        <v>4838</v>
      </c>
      <c r="C1721" s="75" t="s">
        <v>13</v>
      </c>
      <c r="D1721" s="75">
        <v>2016</v>
      </c>
      <c r="E1721" s="75" t="s">
        <v>8</v>
      </c>
      <c r="F1721" s="75" t="s">
        <v>76</v>
      </c>
    </row>
    <row r="1722" spans="1:6" x14ac:dyDescent="0.3">
      <c r="A1722" s="75" t="s">
        <v>4842</v>
      </c>
      <c r="B1722" s="75" t="s">
        <v>4843</v>
      </c>
      <c r="C1722" s="75" t="s">
        <v>4844</v>
      </c>
      <c r="D1722" s="75">
        <v>1996</v>
      </c>
      <c r="E1722" s="75" t="s">
        <v>58</v>
      </c>
      <c r="F1722" s="75" t="s">
        <v>59</v>
      </c>
    </row>
    <row r="1723" spans="1:6" x14ac:dyDescent="0.3">
      <c r="A1723" s="75" t="s">
        <v>4845</v>
      </c>
      <c r="B1723" s="75" t="s">
        <v>4846</v>
      </c>
      <c r="C1723" s="75" t="s">
        <v>4847</v>
      </c>
      <c r="D1723" s="75" t="s">
        <v>13</v>
      </c>
      <c r="E1723" s="75" t="s">
        <v>8</v>
      </c>
      <c r="F1723" s="75" t="s">
        <v>27</v>
      </c>
    </row>
    <row r="1724" spans="1:6" x14ac:dyDescent="0.3">
      <c r="A1724" s="75" t="s">
        <v>4848</v>
      </c>
      <c r="B1724" s="75" t="s">
        <v>4849</v>
      </c>
      <c r="C1724" s="75" t="s">
        <v>4850</v>
      </c>
      <c r="D1724" s="75">
        <v>2014</v>
      </c>
      <c r="E1724" s="75" t="s">
        <v>18</v>
      </c>
      <c r="F1724" s="75" t="s">
        <v>1261</v>
      </c>
    </row>
    <row r="1725" spans="1:6" x14ac:dyDescent="0.3">
      <c r="A1725" s="75" t="s">
        <v>4851</v>
      </c>
      <c r="B1725" s="75" t="s">
        <v>4849</v>
      </c>
      <c r="C1725" s="75" t="s">
        <v>13</v>
      </c>
      <c r="D1725" s="75" t="s">
        <v>13</v>
      </c>
      <c r="E1725" s="75" t="s">
        <v>18</v>
      </c>
      <c r="F1725" s="75" t="s">
        <v>1261</v>
      </c>
    </row>
    <row r="1726" spans="1:6" x14ac:dyDescent="0.3">
      <c r="A1726" s="75" t="s">
        <v>4852</v>
      </c>
      <c r="B1726" s="75" t="s">
        <v>4849</v>
      </c>
      <c r="C1726" s="75" t="s">
        <v>13</v>
      </c>
      <c r="D1726" s="75" t="s">
        <v>13</v>
      </c>
      <c r="E1726" s="75" t="s">
        <v>18</v>
      </c>
      <c r="F1726" s="75" t="s">
        <v>1261</v>
      </c>
    </row>
    <row r="1727" spans="1:6" x14ac:dyDescent="0.3">
      <c r="A1727" s="75" t="s">
        <v>4853</v>
      </c>
      <c r="B1727" s="75" t="s">
        <v>4854</v>
      </c>
      <c r="C1727" s="75" t="s">
        <v>4855</v>
      </c>
      <c r="D1727" s="75" t="s">
        <v>13</v>
      </c>
      <c r="E1727" s="75" t="s">
        <v>18</v>
      </c>
      <c r="F1727" s="75" t="s">
        <v>762</v>
      </c>
    </row>
    <row r="1728" spans="1:6" x14ac:dyDescent="0.3">
      <c r="A1728" s="75" t="s">
        <v>4856</v>
      </c>
      <c r="B1728" s="75" t="s">
        <v>4857</v>
      </c>
      <c r="C1728" s="75" t="s">
        <v>2688</v>
      </c>
      <c r="D1728" s="75">
        <v>1993</v>
      </c>
      <c r="E1728" s="75" t="s">
        <v>283</v>
      </c>
      <c r="F1728" s="75" t="s">
        <v>694</v>
      </c>
    </row>
    <row r="1729" spans="1:6" x14ac:dyDescent="0.3">
      <c r="A1729" s="75" t="s">
        <v>4858</v>
      </c>
      <c r="B1729" s="75" t="s">
        <v>4859</v>
      </c>
      <c r="C1729" s="75" t="s">
        <v>4860</v>
      </c>
      <c r="D1729" s="75">
        <v>2015</v>
      </c>
      <c r="E1729" s="75" t="s">
        <v>70</v>
      </c>
      <c r="F1729" s="75" t="s">
        <v>137</v>
      </c>
    </row>
    <row r="1730" spans="1:6" x14ac:dyDescent="0.3">
      <c r="A1730" s="75" t="s">
        <v>4861</v>
      </c>
      <c r="B1730" s="75" t="s">
        <v>4862</v>
      </c>
      <c r="C1730" s="75" t="s">
        <v>4863</v>
      </c>
      <c r="D1730" s="75">
        <v>2000</v>
      </c>
      <c r="E1730" s="75" t="s">
        <v>31</v>
      </c>
      <c r="F1730" s="75" t="s">
        <v>395</v>
      </c>
    </row>
    <row r="1731" spans="1:6" x14ac:dyDescent="0.3">
      <c r="A1731" s="75" t="s">
        <v>4864</v>
      </c>
      <c r="B1731" s="75" t="s">
        <v>4865</v>
      </c>
      <c r="C1731" s="75" t="s">
        <v>4866</v>
      </c>
      <c r="D1731" s="75" t="s">
        <v>13</v>
      </c>
      <c r="E1731" s="75" t="s">
        <v>31</v>
      </c>
      <c r="F1731" s="75" t="s">
        <v>92</v>
      </c>
    </row>
    <row r="1732" spans="1:6" x14ac:dyDescent="0.3">
      <c r="A1732" s="75" t="s">
        <v>4867</v>
      </c>
      <c r="B1732" s="75" t="s">
        <v>4868</v>
      </c>
      <c r="C1732" s="75" t="s">
        <v>4869</v>
      </c>
      <c r="D1732" s="75">
        <v>2017</v>
      </c>
      <c r="E1732" s="75" t="s">
        <v>18</v>
      </c>
      <c r="F1732" s="75" t="s">
        <v>434</v>
      </c>
    </row>
    <row r="1733" spans="1:6" x14ac:dyDescent="0.3">
      <c r="A1733" s="75" t="s">
        <v>4870</v>
      </c>
      <c r="B1733" s="75" t="s">
        <v>4871</v>
      </c>
      <c r="C1733" s="75" t="s">
        <v>4872</v>
      </c>
      <c r="D1733" s="75" t="s">
        <v>13</v>
      </c>
      <c r="E1733" s="75" t="s">
        <v>518</v>
      </c>
      <c r="F1733" s="75" t="s">
        <v>353</v>
      </c>
    </row>
    <row r="1734" spans="1:6" x14ac:dyDescent="0.3">
      <c r="A1734" s="75" t="s">
        <v>4873</v>
      </c>
      <c r="B1734" s="75" t="s">
        <v>4874</v>
      </c>
      <c r="C1734" s="75" t="s">
        <v>4875</v>
      </c>
      <c r="D1734" s="75">
        <v>1992</v>
      </c>
      <c r="E1734" s="75" t="s">
        <v>58</v>
      </c>
      <c r="F1734" s="75" t="s">
        <v>1728</v>
      </c>
    </row>
    <row r="1735" spans="1:6" x14ac:dyDescent="0.3">
      <c r="A1735" s="75" t="s">
        <v>4876</v>
      </c>
      <c r="B1735" s="75" t="s">
        <v>4877</v>
      </c>
      <c r="C1735" s="75" t="s">
        <v>4878</v>
      </c>
      <c r="D1735" s="75" t="s">
        <v>13</v>
      </c>
      <c r="E1735" s="75" t="s">
        <v>8</v>
      </c>
      <c r="F1735" s="75" t="s">
        <v>27</v>
      </c>
    </row>
    <row r="1736" spans="1:6" x14ac:dyDescent="0.3">
      <c r="A1736" s="75" t="s">
        <v>4879</v>
      </c>
      <c r="B1736" s="75" t="s">
        <v>4880</v>
      </c>
      <c r="C1736" s="75" t="s">
        <v>4881</v>
      </c>
      <c r="D1736" s="75" t="s">
        <v>13</v>
      </c>
      <c r="E1736" s="75" t="s">
        <v>348</v>
      </c>
      <c r="F1736" s="75" t="s">
        <v>1598</v>
      </c>
    </row>
    <row r="1737" spans="1:6" x14ac:dyDescent="0.3">
      <c r="A1737" s="75" t="s">
        <v>4882</v>
      </c>
      <c r="B1737" s="75" t="s">
        <v>4883</v>
      </c>
      <c r="C1737" s="75" t="s">
        <v>4884</v>
      </c>
      <c r="D1737" s="75" t="s">
        <v>13</v>
      </c>
      <c r="E1737" s="75" t="s">
        <v>70</v>
      </c>
      <c r="F1737" s="75" t="s">
        <v>118</v>
      </c>
    </row>
    <row r="1738" spans="1:6" x14ac:dyDescent="0.3">
      <c r="A1738" s="75" t="s">
        <v>4885</v>
      </c>
      <c r="B1738" s="75" t="s">
        <v>4886</v>
      </c>
      <c r="C1738" s="75" t="s">
        <v>4887</v>
      </c>
      <c r="D1738" s="75">
        <v>2007</v>
      </c>
      <c r="E1738" s="75" t="s">
        <v>84</v>
      </c>
      <c r="F1738" s="75" t="s">
        <v>85</v>
      </c>
    </row>
    <row r="1739" spans="1:6" x14ac:dyDescent="0.3">
      <c r="A1739" s="75" t="s">
        <v>4888</v>
      </c>
      <c r="B1739" s="75" t="s">
        <v>4886</v>
      </c>
      <c r="C1739" s="75" t="s">
        <v>4889</v>
      </c>
      <c r="D1739" s="75" t="s">
        <v>13</v>
      </c>
      <c r="E1739" s="75" t="s">
        <v>84</v>
      </c>
      <c r="F1739" s="75" t="s">
        <v>85</v>
      </c>
    </row>
    <row r="1740" spans="1:6" x14ac:dyDescent="0.3">
      <c r="A1740" s="75" t="s">
        <v>4890</v>
      </c>
      <c r="B1740" s="75" t="s">
        <v>4886</v>
      </c>
      <c r="C1740" s="75" t="s">
        <v>4891</v>
      </c>
      <c r="D1740" s="75" t="s">
        <v>13</v>
      </c>
      <c r="E1740" s="75" t="s">
        <v>84</v>
      </c>
      <c r="F1740" s="75" t="s">
        <v>85</v>
      </c>
    </row>
    <row r="1741" spans="1:6" x14ac:dyDescent="0.3">
      <c r="A1741" s="75" t="s">
        <v>4892</v>
      </c>
      <c r="B1741" s="75" t="s">
        <v>4893</v>
      </c>
      <c r="C1741" s="75" t="s">
        <v>4894</v>
      </c>
      <c r="D1741" s="75" t="s">
        <v>13</v>
      </c>
      <c r="E1741" s="75" t="s">
        <v>8</v>
      </c>
      <c r="F1741" s="75" t="s">
        <v>23</v>
      </c>
    </row>
    <row r="1742" spans="1:6" x14ac:dyDescent="0.3">
      <c r="A1742" s="75" t="s">
        <v>4895</v>
      </c>
      <c r="B1742" s="75" t="s">
        <v>4896</v>
      </c>
      <c r="C1742" s="75" t="s">
        <v>4897</v>
      </c>
      <c r="D1742" s="75" t="s">
        <v>13</v>
      </c>
      <c r="E1742" s="75" t="s">
        <v>13</v>
      </c>
      <c r="F1742" s="75" t="s">
        <v>13</v>
      </c>
    </row>
    <row r="1743" spans="1:6" x14ac:dyDescent="0.3">
      <c r="A1743" s="75" t="s">
        <v>4898</v>
      </c>
      <c r="B1743" s="75" t="s">
        <v>4899</v>
      </c>
      <c r="C1743" s="75" t="s">
        <v>13</v>
      </c>
      <c r="D1743" s="75" t="s">
        <v>13</v>
      </c>
      <c r="E1743" s="75" t="s">
        <v>13</v>
      </c>
      <c r="F1743" s="75" t="s">
        <v>13</v>
      </c>
    </row>
    <row r="1744" spans="1:6" x14ac:dyDescent="0.3">
      <c r="A1744" s="75" t="s">
        <v>4900</v>
      </c>
      <c r="B1744" s="75" t="s">
        <v>4901</v>
      </c>
      <c r="C1744" s="75" t="s">
        <v>13</v>
      </c>
      <c r="D1744" s="75" t="s">
        <v>13</v>
      </c>
      <c r="E1744" s="75" t="s">
        <v>13</v>
      </c>
      <c r="F1744" s="75" t="s">
        <v>13</v>
      </c>
    </row>
    <row r="1745" spans="1:6" x14ac:dyDescent="0.3">
      <c r="A1745" s="75" t="s">
        <v>4902</v>
      </c>
      <c r="B1745" s="75" t="s">
        <v>4903</v>
      </c>
      <c r="C1745" s="75" t="s">
        <v>13</v>
      </c>
      <c r="D1745" s="75" t="s">
        <v>13</v>
      </c>
      <c r="E1745" s="75" t="s">
        <v>13</v>
      </c>
      <c r="F1745" s="75" t="s">
        <v>13</v>
      </c>
    </row>
    <row r="1746" spans="1:6" x14ac:dyDescent="0.3">
      <c r="A1746" s="75" t="s">
        <v>4904</v>
      </c>
      <c r="B1746" s="75" t="s">
        <v>4905</v>
      </c>
      <c r="C1746" s="75" t="s">
        <v>13</v>
      </c>
      <c r="D1746" s="75" t="s">
        <v>13</v>
      </c>
      <c r="E1746" s="75" t="s">
        <v>13</v>
      </c>
      <c r="F1746" s="75" t="s">
        <v>13</v>
      </c>
    </row>
    <row r="1747" spans="1:6" x14ac:dyDescent="0.3">
      <c r="A1747" s="75" t="s">
        <v>4906</v>
      </c>
      <c r="B1747" s="75" t="s">
        <v>4907</v>
      </c>
      <c r="C1747" s="75" t="s">
        <v>4908</v>
      </c>
      <c r="D1747" s="75" t="s">
        <v>13</v>
      </c>
      <c r="E1747" s="75" t="s">
        <v>13</v>
      </c>
      <c r="F1747" s="75" t="s">
        <v>13</v>
      </c>
    </row>
    <row r="1748" spans="1:6" x14ac:dyDescent="0.3">
      <c r="A1748" s="75" t="s">
        <v>4909</v>
      </c>
      <c r="B1748" s="75" t="s">
        <v>4910</v>
      </c>
      <c r="C1748" s="75" t="s">
        <v>4911</v>
      </c>
      <c r="D1748" s="75">
        <v>2006</v>
      </c>
      <c r="E1748" s="75" t="s">
        <v>70</v>
      </c>
      <c r="F1748" s="75" t="s">
        <v>80</v>
      </c>
    </row>
    <row r="1749" spans="1:6" x14ac:dyDescent="0.3">
      <c r="A1749" s="75" t="s">
        <v>4912</v>
      </c>
      <c r="B1749" s="75" t="s">
        <v>4913</v>
      </c>
      <c r="C1749" s="75" t="s">
        <v>4914</v>
      </c>
      <c r="D1749" s="75" t="s">
        <v>13</v>
      </c>
      <c r="E1749" s="75" t="s">
        <v>8</v>
      </c>
      <c r="F1749" s="75" t="s">
        <v>478</v>
      </c>
    </row>
    <row r="1750" spans="1:6" x14ac:dyDescent="0.3">
      <c r="A1750" s="75" t="s">
        <v>4915</v>
      </c>
      <c r="B1750" s="75" t="s">
        <v>4916</v>
      </c>
      <c r="C1750" s="75" t="s">
        <v>4917</v>
      </c>
      <c r="D1750" s="75" t="s">
        <v>13</v>
      </c>
      <c r="E1750" s="75" t="s">
        <v>70</v>
      </c>
      <c r="F1750" s="75" t="s">
        <v>71</v>
      </c>
    </row>
    <row r="1751" spans="1:6" x14ac:dyDescent="0.3">
      <c r="A1751" s="75" t="s">
        <v>4918</v>
      </c>
      <c r="B1751" s="75" t="s">
        <v>4919</v>
      </c>
      <c r="C1751" s="75" t="s">
        <v>3117</v>
      </c>
      <c r="D1751" s="75">
        <v>2013</v>
      </c>
      <c r="E1751" s="75" t="s">
        <v>53</v>
      </c>
      <c r="F1751" s="75" t="s">
        <v>54</v>
      </c>
    </row>
    <row r="1752" spans="1:6" x14ac:dyDescent="0.3">
      <c r="A1752" s="75" t="s">
        <v>4920</v>
      </c>
      <c r="B1752" s="75" t="s">
        <v>4921</v>
      </c>
      <c r="C1752" s="75" t="s">
        <v>867</v>
      </c>
      <c r="D1752" s="75">
        <v>2005</v>
      </c>
      <c r="E1752" s="75" t="s">
        <v>70</v>
      </c>
      <c r="F1752" s="75" t="s">
        <v>176</v>
      </c>
    </row>
    <row r="1753" spans="1:6" x14ac:dyDescent="0.3">
      <c r="A1753" s="75" t="s">
        <v>4922</v>
      </c>
      <c r="B1753" s="75" t="s">
        <v>4923</v>
      </c>
      <c r="C1753" s="75" t="s">
        <v>4924</v>
      </c>
      <c r="D1753" s="75" t="s">
        <v>13</v>
      </c>
      <c r="E1753" s="75" t="s">
        <v>70</v>
      </c>
      <c r="F1753" s="75" t="s">
        <v>80</v>
      </c>
    </row>
    <row r="1754" spans="1:6" x14ac:dyDescent="0.3">
      <c r="A1754" s="75" t="s">
        <v>4925</v>
      </c>
      <c r="B1754" s="75" t="s">
        <v>4926</v>
      </c>
      <c r="C1754" s="75" t="s">
        <v>4927</v>
      </c>
      <c r="D1754" s="75" t="s">
        <v>13</v>
      </c>
      <c r="E1754" s="75" t="s">
        <v>18</v>
      </c>
      <c r="F1754" s="75" t="s">
        <v>461</v>
      </c>
    </row>
    <row r="1755" spans="1:6" x14ac:dyDescent="0.3">
      <c r="A1755" s="75" t="s">
        <v>4928</v>
      </c>
      <c r="B1755" s="75" t="s">
        <v>4926</v>
      </c>
      <c r="C1755" s="75" t="s">
        <v>4929</v>
      </c>
      <c r="D1755" s="75" t="s">
        <v>13</v>
      </c>
      <c r="E1755" s="75" t="s">
        <v>18</v>
      </c>
      <c r="F1755" s="75" t="s">
        <v>461</v>
      </c>
    </row>
    <row r="1756" spans="1:6" x14ac:dyDescent="0.3">
      <c r="A1756" s="75" t="s">
        <v>4930</v>
      </c>
      <c r="B1756" s="75" t="s">
        <v>4931</v>
      </c>
      <c r="C1756" s="75" t="s">
        <v>4932</v>
      </c>
      <c r="D1756" s="75" t="s">
        <v>13</v>
      </c>
      <c r="E1756" s="75" t="s">
        <v>18</v>
      </c>
      <c r="F1756" s="75" t="s">
        <v>434</v>
      </c>
    </row>
    <row r="1757" spans="1:6" x14ac:dyDescent="0.3">
      <c r="A1757" s="75" t="s">
        <v>4933</v>
      </c>
      <c r="B1757" s="75" t="s">
        <v>4931</v>
      </c>
      <c r="C1757" s="75" t="s">
        <v>4934</v>
      </c>
      <c r="D1757" s="75" t="s">
        <v>13</v>
      </c>
      <c r="E1757" s="75" t="s">
        <v>18</v>
      </c>
      <c r="F1757" s="75" t="s">
        <v>434</v>
      </c>
    </row>
    <row r="1758" spans="1:6" x14ac:dyDescent="0.3">
      <c r="A1758" s="75" t="s">
        <v>4935</v>
      </c>
      <c r="B1758" s="75" t="s">
        <v>4936</v>
      </c>
      <c r="C1758" s="75" t="s">
        <v>4937</v>
      </c>
      <c r="D1758" s="75" t="s">
        <v>13</v>
      </c>
      <c r="E1758" s="75" t="s">
        <v>18</v>
      </c>
      <c r="F1758" s="75" t="s">
        <v>461</v>
      </c>
    </row>
    <row r="1759" spans="1:6" x14ac:dyDescent="0.3">
      <c r="A1759" s="75" t="s">
        <v>4938</v>
      </c>
      <c r="B1759" s="75" t="s">
        <v>4936</v>
      </c>
      <c r="C1759" s="75" t="s">
        <v>4939</v>
      </c>
      <c r="D1759" s="75" t="s">
        <v>13</v>
      </c>
      <c r="E1759" s="75" t="s">
        <v>18</v>
      </c>
      <c r="F1759" s="75" t="s">
        <v>461</v>
      </c>
    </row>
    <row r="1760" spans="1:6" x14ac:dyDescent="0.3">
      <c r="A1760" s="75" t="s">
        <v>4940</v>
      </c>
      <c r="B1760" s="75" t="s">
        <v>4936</v>
      </c>
      <c r="C1760" s="75" t="s">
        <v>4941</v>
      </c>
      <c r="D1760" s="75" t="s">
        <v>13</v>
      </c>
      <c r="E1760" s="75" t="s">
        <v>18</v>
      </c>
      <c r="F1760" s="75" t="s">
        <v>461</v>
      </c>
    </row>
    <row r="1761" spans="1:6" x14ac:dyDescent="0.3">
      <c r="A1761" s="75" t="s">
        <v>4942</v>
      </c>
      <c r="B1761" s="75" t="s">
        <v>4936</v>
      </c>
      <c r="C1761" s="75" t="s">
        <v>4943</v>
      </c>
      <c r="D1761" s="75" t="s">
        <v>13</v>
      </c>
      <c r="E1761" s="75" t="s">
        <v>18</v>
      </c>
      <c r="F1761" s="75" t="s">
        <v>461</v>
      </c>
    </row>
    <row r="1762" spans="1:6" x14ac:dyDescent="0.3">
      <c r="A1762" s="75" t="s">
        <v>4944</v>
      </c>
      <c r="B1762" s="75" t="s">
        <v>4936</v>
      </c>
      <c r="C1762" s="75" t="s">
        <v>4945</v>
      </c>
      <c r="D1762" s="75" t="s">
        <v>13</v>
      </c>
      <c r="E1762" s="75" t="s">
        <v>18</v>
      </c>
      <c r="F1762" s="75" t="s">
        <v>461</v>
      </c>
    </row>
    <row r="1763" spans="1:6" x14ac:dyDescent="0.3">
      <c r="A1763" s="75" t="s">
        <v>4946</v>
      </c>
      <c r="B1763" s="75" t="s">
        <v>4947</v>
      </c>
      <c r="C1763" s="75" t="s">
        <v>2263</v>
      </c>
      <c r="D1763" s="75" t="s">
        <v>13</v>
      </c>
      <c r="E1763" s="75" t="s">
        <v>18</v>
      </c>
      <c r="F1763" s="75" t="s">
        <v>450</v>
      </c>
    </row>
    <row r="1764" spans="1:6" x14ac:dyDescent="0.3">
      <c r="A1764" s="75" t="s">
        <v>4948</v>
      </c>
      <c r="B1764" s="75" t="s">
        <v>4947</v>
      </c>
      <c r="C1764" s="75" t="s">
        <v>4949</v>
      </c>
      <c r="D1764" s="75" t="s">
        <v>13</v>
      </c>
      <c r="E1764" s="75" t="s">
        <v>18</v>
      </c>
      <c r="F1764" s="75" t="s">
        <v>450</v>
      </c>
    </row>
    <row r="1765" spans="1:6" x14ac:dyDescent="0.3">
      <c r="A1765" s="75" t="s">
        <v>4950</v>
      </c>
      <c r="B1765" s="75" t="s">
        <v>4947</v>
      </c>
      <c r="C1765" s="75" t="s">
        <v>1565</v>
      </c>
      <c r="D1765" s="75" t="s">
        <v>13</v>
      </c>
      <c r="E1765" s="75" t="s">
        <v>18</v>
      </c>
      <c r="F1765" s="75" t="s">
        <v>450</v>
      </c>
    </row>
    <row r="1766" spans="1:6" x14ac:dyDescent="0.3">
      <c r="A1766" s="75" t="s">
        <v>4951</v>
      </c>
      <c r="B1766" s="75" t="s">
        <v>4947</v>
      </c>
      <c r="C1766" s="75" t="s">
        <v>4952</v>
      </c>
      <c r="D1766" s="75" t="s">
        <v>13</v>
      </c>
      <c r="E1766" s="75" t="s">
        <v>18</v>
      </c>
      <c r="F1766" s="75" t="s">
        <v>450</v>
      </c>
    </row>
    <row r="1767" spans="1:6" x14ac:dyDescent="0.3">
      <c r="A1767" s="75" t="s">
        <v>4953</v>
      </c>
      <c r="B1767" s="75" t="s">
        <v>4954</v>
      </c>
      <c r="C1767" s="75" t="s">
        <v>13</v>
      </c>
      <c r="D1767" s="75" t="s">
        <v>13</v>
      </c>
      <c r="E1767" s="75" t="s">
        <v>18</v>
      </c>
      <c r="F1767" s="75" t="s">
        <v>1055</v>
      </c>
    </row>
    <row r="1768" spans="1:6" x14ac:dyDescent="0.3">
      <c r="A1768" s="75" t="s">
        <v>4955</v>
      </c>
      <c r="B1768" s="75" t="s">
        <v>4954</v>
      </c>
      <c r="C1768" s="75" t="s">
        <v>3379</v>
      </c>
      <c r="D1768" s="75" t="s">
        <v>13</v>
      </c>
      <c r="E1768" s="75" t="s">
        <v>18</v>
      </c>
      <c r="F1768" s="75" t="s">
        <v>1055</v>
      </c>
    </row>
    <row r="1769" spans="1:6" x14ac:dyDescent="0.3">
      <c r="A1769" s="75" t="s">
        <v>4956</v>
      </c>
      <c r="B1769" s="75" t="s">
        <v>4954</v>
      </c>
      <c r="C1769" s="75" t="s">
        <v>13</v>
      </c>
      <c r="D1769" s="75" t="s">
        <v>13</v>
      </c>
      <c r="E1769" s="75" t="s">
        <v>18</v>
      </c>
      <c r="F1769" s="75" t="s">
        <v>1055</v>
      </c>
    </row>
    <row r="1770" spans="1:6" x14ac:dyDescent="0.3">
      <c r="A1770" s="75" t="s">
        <v>4957</v>
      </c>
      <c r="B1770" s="75" t="s">
        <v>4954</v>
      </c>
      <c r="C1770" s="75" t="s">
        <v>4958</v>
      </c>
      <c r="D1770" s="75" t="s">
        <v>13</v>
      </c>
      <c r="E1770" s="75" t="s">
        <v>18</v>
      </c>
      <c r="F1770" s="75" t="s">
        <v>1055</v>
      </c>
    </row>
    <row r="1771" spans="1:6" x14ac:dyDescent="0.3">
      <c r="A1771" s="75" t="s">
        <v>4959</v>
      </c>
      <c r="B1771" s="75" t="s">
        <v>4954</v>
      </c>
      <c r="C1771" s="75" t="s">
        <v>13</v>
      </c>
      <c r="D1771" s="75" t="s">
        <v>13</v>
      </c>
      <c r="E1771" s="75" t="s">
        <v>18</v>
      </c>
      <c r="F1771" s="75" t="s">
        <v>1055</v>
      </c>
    </row>
    <row r="1772" spans="1:6" x14ac:dyDescent="0.3">
      <c r="A1772" s="75" t="s">
        <v>4960</v>
      </c>
      <c r="B1772" s="75" t="s">
        <v>4954</v>
      </c>
      <c r="C1772" s="75" t="s">
        <v>13</v>
      </c>
      <c r="D1772" s="75" t="s">
        <v>13</v>
      </c>
      <c r="E1772" s="75" t="s">
        <v>18</v>
      </c>
      <c r="F1772" s="75" t="s">
        <v>1055</v>
      </c>
    </row>
    <row r="1773" spans="1:6" x14ac:dyDescent="0.3">
      <c r="A1773" s="75" t="s">
        <v>4961</v>
      </c>
      <c r="B1773" s="75" t="s">
        <v>4954</v>
      </c>
      <c r="C1773" s="75" t="s">
        <v>4962</v>
      </c>
      <c r="D1773" s="75" t="s">
        <v>13</v>
      </c>
      <c r="E1773" s="75" t="s">
        <v>18</v>
      </c>
      <c r="F1773" s="75" t="s">
        <v>1055</v>
      </c>
    </row>
    <row r="1774" spans="1:6" x14ac:dyDescent="0.3">
      <c r="A1774" s="75" t="s">
        <v>4963</v>
      </c>
      <c r="B1774" s="75" t="s">
        <v>4964</v>
      </c>
      <c r="C1774" s="75" t="s">
        <v>4965</v>
      </c>
      <c r="D1774" s="75" t="s">
        <v>13</v>
      </c>
      <c r="E1774" s="75" t="s">
        <v>96</v>
      </c>
      <c r="F1774" s="75" t="s">
        <v>97</v>
      </c>
    </row>
    <row r="1775" spans="1:6" x14ac:dyDescent="0.3">
      <c r="A1775" s="75" t="s">
        <v>4966</v>
      </c>
      <c r="B1775" s="75" t="s">
        <v>4967</v>
      </c>
      <c r="C1775" s="75" t="s">
        <v>4968</v>
      </c>
      <c r="D1775" s="75" t="s">
        <v>13</v>
      </c>
      <c r="E1775" s="75" t="s">
        <v>31</v>
      </c>
      <c r="F1775" s="75" t="s">
        <v>161</v>
      </c>
    </row>
    <row r="1776" spans="1:6" x14ac:dyDescent="0.3">
      <c r="A1776" s="75" t="s">
        <v>4969</v>
      </c>
      <c r="B1776" s="75" t="s">
        <v>4967</v>
      </c>
      <c r="C1776" s="75" t="s">
        <v>4970</v>
      </c>
      <c r="D1776" s="75" t="s">
        <v>13</v>
      </c>
      <c r="E1776" s="75" t="s">
        <v>31</v>
      </c>
      <c r="F1776" s="75" t="s">
        <v>161</v>
      </c>
    </row>
    <row r="1777" spans="1:6" x14ac:dyDescent="0.3">
      <c r="A1777" s="75" t="s">
        <v>4971</v>
      </c>
      <c r="B1777" s="75" t="s">
        <v>4972</v>
      </c>
      <c r="C1777" s="75" t="s">
        <v>398</v>
      </c>
      <c r="D1777" s="75" t="s">
        <v>13</v>
      </c>
      <c r="E1777" s="75" t="s">
        <v>70</v>
      </c>
      <c r="F1777" s="75" t="s">
        <v>1375</v>
      </c>
    </row>
    <row r="1778" spans="1:6" x14ac:dyDescent="0.3">
      <c r="A1778" s="75" t="s">
        <v>4973</v>
      </c>
      <c r="B1778" s="75" t="s">
        <v>4974</v>
      </c>
      <c r="C1778" s="75" t="s">
        <v>4975</v>
      </c>
      <c r="D1778" s="75">
        <v>1991</v>
      </c>
      <c r="E1778" s="75" t="s">
        <v>53</v>
      </c>
      <c r="F1778" s="75" t="s">
        <v>63</v>
      </c>
    </row>
    <row r="1779" spans="1:6" x14ac:dyDescent="0.3">
      <c r="A1779" s="75" t="s">
        <v>4976</v>
      </c>
      <c r="B1779" s="75" t="s">
        <v>4977</v>
      </c>
      <c r="C1779" s="75" t="s">
        <v>4978</v>
      </c>
      <c r="D1779" s="75" t="s">
        <v>13</v>
      </c>
      <c r="E1779" s="75" t="s">
        <v>70</v>
      </c>
      <c r="F1779" s="75" t="s">
        <v>71</v>
      </c>
    </row>
    <row r="1780" spans="1:6" x14ac:dyDescent="0.3">
      <c r="A1780" s="75" t="s">
        <v>4979</v>
      </c>
      <c r="B1780" s="75" t="s">
        <v>4980</v>
      </c>
      <c r="C1780" s="75" t="s">
        <v>4981</v>
      </c>
      <c r="D1780" s="75" t="s">
        <v>13</v>
      </c>
      <c r="E1780" s="75" t="s">
        <v>348</v>
      </c>
      <c r="F1780" s="75" t="s">
        <v>1219</v>
      </c>
    </row>
    <row r="1781" spans="1:6" x14ac:dyDescent="0.3">
      <c r="A1781" s="75" t="s">
        <v>4982</v>
      </c>
      <c r="B1781" s="75" t="s">
        <v>4983</v>
      </c>
      <c r="C1781" s="75" t="s">
        <v>4984</v>
      </c>
      <c r="D1781" s="75" t="s">
        <v>13</v>
      </c>
      <c r="E1781" s="75" t="s">
        <v>70</v>
      </c>
      <c r="F1781" s="75" t="s">
        <v>71</v>
      </c>
    </row>
    <row r="1782" spans="1:6" x14ac:dyDescent="0.3">
      <c r="A1782" s="75" t="s">
        <v>4985</v>
      </c>
      <c r="B1782" s="75" t="s">
        <v>4986</v>
      </c>
      <c r="C1782" s="75" t="s">
        <v>4987</v>
      </c>
      <c r="D1782" s="75" t="s">
        <v>13</v>
      </c>
      <c r="E1782" s="75" t="s">
        <v>18</v>
      </c>
      <c r="F1782" s="75" t="s">
        <v>1032</v>
      </c>
    </row>
    <row r="1783" spans="1:6" x14ac:dyDescent="0.3">
      <c r="A1783" s="75" t="s">
        <v>4988</v>
      </c>
      <c r="B1783" s="75" t="s">
        <v>4989</v>
      </c>
      <c r="C1783" s="75" t="s">
        <v>4990</v>
      </c>
      <c r="D1783" s="75">
        <v>1996</v>
      </c>
      <c r="E1783" s="75" t="s">
        <v>31</v>
      </c>
      <c r="F1783" s="75" t="s">
        <v>92</v>
      </c>
    </row>
    <row r="1784" spans="1:6" x14ac:dyDescent="0.3">
      <c r="A1784" s="75" t="s">
        <v>4991</v>
      </c>
      <c r="B1784" s="75" t="s">
        <v>4992</v>
      </c>
      <c r="C1784" s="75" t="s">
        <v>4993</v>
      </c>
      <c r="D1784" s="75" t="s">
        <v>13</v>
      </c>
      <c r="E1784" s="75" t="s">
        <v>84</v>
      </c>
      <c r="F1784" s="75" t="s">
        <v>85</v>
      </c>
    </row>
    <row r="1785" spans="1:6" x14ac:dyDescent="0.3">
      <c r="A1785" s="75" t="s">
        <v>4994</v>
      </c>
      <c r="B1785" s="75" t="s">
        <v>4995</v>
      </c>
      <c r="C1785" s="75" t="s">
        <v>4996</v>
      </c>
      <c r="D1785" s="75" t="s">
        <v>13</v>
      </c>
      <c r="E1785" s="75" t="s">
        <v>58</v>
      </c>
      <c r="F1785" s="75" t="s">
        <v>1728</v>
      </c>
    </row>
    <row r="1786" spans="1:6" x14ac:dyDescent="0.3">
      <c r="A1786" s="75" t="s">
        <v>4997</v>
      </c>
      <c r="B1786" s="75" t="s">
        <v>4998</v>
      </c>
      <c r="C1786" s="75" t="s">
        <v>4999</v>
      </c>
      <c r="D1786" s="75">
        <v>2007</v>
      </c>
      <c r="E1786" s="75" t="s">
        <v>96</v>
      </c>
      <c r="F1786" s="75" t="s">
        <v>76</v>
      </c>
    </row>
    <row r="1787" spans="1:6" x14ac:dyDescent="0.3">
      <c r="A1787" s="75" t="s">
        <v>5000</v>
      </c>
      <c r="B1787" s="75" t="s">
        <v>5001</v>
      </c>
      <c r="C1787" s="75" t="s">
        <v>5002</v>
      </c>
      <c r="D1787" s="75" t="s">
        <v>13</v>
      </c>
      <c r="E1787" s="75" t="s">
        <v>348</v>
      </c>
      <c r="F1787" s="75" t="s">
        <v>349</v>
      </c>
    </row>
    <row r="1788" spans="1:6" x14ac:dyDescent="0.3">
      <c r="A1788" s="75" t="s">
        <v>5003</v>
      </c>
      <c r="B1788" s="75" t="s">
        <v>5004</v>
      </c>
      <c r="C1788" s="75" t="s">
        <v>5005</v>
      </c>
      <c r="D1788" s="75">
        <v>2005</v>
      </c>
      <c r="E1788" s="75" t="s">
        <v>18</v>
      </c>
      <c r="F1788" s="75" t="s">
        <v>434</v>
      </c>
    </row>
    <row r="1789" spans="1:6" x14ac:dyDescent="0.3">
      <c r="A1789" s="75" t="s">
        <v>5006</v>
      </c>
      <c r="B1789" s="75" t="s">
        <v>5007</v>
      </c>
      <c r="C1789" s="75" t="s">
        <v>5008</v>
      </c>
      <c r="D1789" s="75" t="s">
        <v>13</v>
      </c>
      <c r="E1789" s="75" t="s">
        <v>31</v>
      </c>
      <c r="F1789" s="75" t="s">
        <v>63</v>
      </c>
    </row>
    <row r="1790" spans="1:6" x14ac:dyDescent="0.3">
      <c r="A1790" s="75" t="s">
        <v>5009</v>
      </c>
      <c r="B1790" s="75" t="s">
        <v>5010</v>
      </c>
      <c r="C1790" s="75" t="s">
        <v>5011</v>
      </c>
      <c r="D1790" s="75">
        <v>2013</v>
      </c>
      <c r="E1790" s="75" t="s">
        <v>18</v>
      </c>
      <c r="F1790" s="75" t="s">
        <v>845</v>
      </c>
    </row>
    <row r="1791" spans="1:6" x14ac:dyDescent="0.3">
      <c r="A1791" s="75" t="s">
        <v>5012</v>
      </c>
      <c r="B1791" s="75" t="s">
        <v>5010</v>
      </c>
      <c r="C1791" s="75" t="s">
        <v>13</v>
      </c>
      <c r="D1791" s="75">
        <v>2013</v>
      </c>
      <c r="E1791" s="75" t="s">
        <v>18</v>
      </c>
      <c r="F1791" s="75" t="s">
        <v>845</v>
      </c>
    </row>
    <row r="1792" spans="1:6" x14ac:dyDescent="0.3">
      <c r="A1792" s="75" t="s">
        <v>5013</v>
      </c>
      <c r="B1792" s="75" t="s">
        <v>5014</v>
      </c>
      <c r="C1792" s="75" t="s">
        <v>5015</v>
      </c>
      <c r="D1792" s="75" t="s">
        <v>13</v>
      </c>
      <c r="E1792" s="75" t="s">
        <v>18</v>
      </c>
      <c r="F1792" s="75" t="s">
        <v>379</v>
      </c>
    </row>
    <row r="1793" spans="1:6" x14ac:dyDescent="0.3">
      <c r="A1793" s="75" t="s">
        <v>5016</v>
      </c>
      <c r="B1793" s="75" t="s">
        <v>5017</v>
      </c>
      <c r="C1793" s="75" t="s">
        <v>5018</v>
      </c>
      <c r="D1793" s="75" t="s">
        <v>13</v>
      </c>
      <c r="E1793" s="75" t="s">
        <v>70</v>
      </c>
      <c r="F1793" s="75" t="s">
        <v>71</v>
      </c>
    </row>
    <row r="1794" spans="1:6" x14ac:dyDescent="0.3">
      <c r="A1794" s="75" t="s">
        <v>5019</v>
      </c>
      <c r="B1794" s="75" t="s">
        <v>5020</v>
      </c>
      <c r="C1794" s="75" t="s">
        <v>5021</v>
      </c>
      <c r="D1794" s="75">
        <v>2006</v>
      </c>
      <c r="E1794" s="75" t="s">
        <v>96</v>
      </c>
      <c r="F1794" s="75" t="s">
        <v>76</v>
      </c>
    </row>
    <row r="1795" spans="1:6" x14ac:dyDescent="0.3">
      <c r="A1795" s="75" t="s">
        <v>5022</v>
      </c>
      <c r="B1795" s="75" t="s">
        <v>5023</v>
      </c>
      <c r="C1795" s="75" t="s">
        <v>1612</v>
      </c>
      <c r="D1795" s="75" t="s">
        <v>13</v>
      </c>
      <c r="E1795" s="75" t="s">
        <v>518</v>
      </c>
      <c r="F1795" s="75" t="s">
        <v>229</v>
      </c>
    </row>
    <row r="1796" spans="1:6" x14ac:dyDescent="0.3">
      <c r="A1796" s="75" t="s">
        <v>5024</v>
      </c>
      <c r="B1796" s="75" t="s">
        <v>5025</v>
      </c>
      <c r="C1796" s="75" t="s">
        <v>5026</v>
      </c>
      <c r="D1796" s="75" t="s">
        <v>13</v>
      </c>
      <c r="E1796" s="75" t="s">
        <v>70</v>
      </c>
      <c r="F1796" s="75" t="s">
        <v>671</v>
      </c>
    </row>
    <row r="1797" spans="1:6" x14ac:dyDescent="0.3">
      <c r="A1797" s="75" t="s">
        <v>5027</v>
      </c>
      <c r="B1797" s="75" t="s">
        <v>5028</v>
      </c>
      <c r="C1797" s="75" t="s">
        <v>5029</v>
      </c>
      <c r="D1797" s="75">
        <v>2015</v>
      </c>
      <c r="E1797" s="75" t="s">
        <v>8</v>
      </c>
      <c r="F1797" s="75" t="s">
        <v>27</v>
      </c>
    </row>
    <row r="1798" spans="1:6" x14ac:dyDescent="0.3">
      <c r="A1798" s="75" t="s">
        <v>5030</v>
      </c>
      <c r="B1798" s="75" t="s">
        <v>5031</v>
      </c>
      <c r="C1798" s="75" t="s">
        <v>5032</v>
      </c>
      <c r="D1798" s="75" t="s">
        <v>13</v>
      </c>
      <c r="E1798" s="75" t="s">
        <v>31</v>
      </c>
      <c r="F1798" s="75" t="s">
        <v>161</v>
      </c>
    </row>
    <row r="1799" spans="1:6" x14ac:dyDescent="0.3">
      <c r="A1799" s="75" t="s">
        <v>5033</v>
      </c>
      <c r="B1799" s="75" t="s">
        <v>5034</v>
      </c>
      <c r="C1799" s="75" t="s">
        <v>5035</v>
      </c>
      <c r="D1799" s="75">
        <v>2000</v>
      </c>
      <c r="E1799" s="75" t="s">
        <v>31</v>
      </c>
      <c r="F1799" s="75" t="s">
        <v>36</v>
      </c>
    </row>
    <row r="1800" spans="1:6" x14ac:dyDescent="0.3">
      <c r="A1800" s="75" t="s">
        <v>5036</v>
      </c>
      <c r="B1800" s="75" t="s">
        <v>5037</v>
      </c>
      <c r="C1800" s="75" t="s">
        <v>5038</v>
      </c>
      <c r="D1800" s="75" t="s">
        <v>13</v>
      </c>
      <c r="E1800" s="75" t="s">
        <v>18</v>
      </c>
      <c r="F1800" s="75" t="s">
        <v>1732</v>
      </c>
    </row>
    <row r="1801" spans="1:6" x14ac:dyDescent="0.3">
      <c r="A1801" s="75" t="s">
        <v>5039</v>
      </c>
      <c r="B1801" s="75" t="s">
        <v>5040</v>
      </c>
      <c r="C1801" s="75" t="s">
        <v>5041</v>
      </c>
      <c r="D1801" s="75">
        <v>2015</v>
      </c>
      <c r="E1801" s="75" t="s">
        <v>8</v>
      </c>
      <c r="F1801" s="75" t="s">
        <v>478</v>
      </c>
    </row>
    <row r="1802" spans="1:6" x14ac:dyDescent="0.3">
      <c r="A1802" s="75" t="s">
        <v>5042</v>
      </c>
      <c r="B1802" s="75" t="s">
        <v>5040</v>
      </c>
      <c r="C1802" s="75" t="s">
        <v>13</v>
      </c>
      <c r="D1802" s="75">
        <v>2015</v>
      </c>
      <c r="E1802" s="75" t="s">
        <v>8</v>
      </c>
      <c r="F1802" s="75" t="s">
        <v>478</v>
      </c>
    </row>
    <row r="1803" spans="1:6" x14ac:dyDescent="0.3">
      <c r="A1803" s="75" t="s">
        <v>5043</v>
      </c>
      <c r="B1803" s="75" t="s">
        <v>5044</v>
      </c>
      <c r="C1803" s="75" t="s">
        <v>5045</v>
      </c>
      <c r="D1803" s="75">
        <v>1997</v>
      </c>
      <c r="E1803" s="75" t="s">
        <v>31</v>
      </c>
      <c r="F1803" s="75" t="s">
        <v>798</v>
      </c>
    </row>
    <row r="1804" spans="1:6" x14ac:dyDescent="0.3">
      <c r="A1804" s="75" t="s">
        <v>5046</v>
      </c>
      <c r="B1804" s="75" t="s">
        <v>5047</v>
      </c>
      <c r="C1804" s="75" t="s">
        <v>2372</v>
      </c>
      <c r="D1804" s="75">
        <v>2009</v>
      </c>
      <c r="E1804" s="75" t="s">
        <v>31</v>
      </c>
      <c r="F1804" s="75" t="s">
        <v>36</v>
      </c>
    </row>
    <row r="1805" spans="1:6" x14ac:dyDescent="0.3">
      <c r="A1805" s="75" t="s">
        <v>5048</v>
      </c>
      <c r="B1805" s="75" t="s">
        <v>5049</v>
      </c>
      <c r="C1805" s="75" t="s">
        <v>5050</v>
      </c>
      <c r="D1805" s="75">
        <v>2014</v>
      </c>
      <c r="E1805" s="75" t="s">
        <v>70</v>
      </c>
      <c r="F1805" s="75" t="s">
        <v>80</v>
      </c>
    </row>
    <row r="1806" spans="1:6" x14ac:dyDescent="0.3">
      <c r="A1806" s="75" t="s">
        <v>5051</v>
      </c>
      <c r="B1806" s="75" t="s">
        <v>5052</v>
      </c>
      <c r="C1806" s="75" t="s">
        <v>13</v>
      </c>
      <c r="D1806" s="75" t="s">
        <v>13</v>
      </c>
      <c r="E1806" s="75" t="s">
        <v>13</v>
      </c>
      <c r="F1806" s="75" t="s">
        <v>13</v>
      </c>
    </row>
    <row r="1807" spans="1:6" x14ac:dyDescent="0.3">
      <c r="A1807" s="75" t="s">
        <v>5053</v>
      </c>
      <c r="B1807" s="75" t="s">
        <v>5054</v>
      </c>
      <c r="C1807" s="75" t="s">
        <v>5055</v>
      </c>
      <c r="D1807" s="75" t="s">
        <v>13</v>
      </c>
      <c r="E1807" s="75" t="s">
        <v>84</v>
      </c>
      <c r="F1807" s="75" t="s">
        <v>85</v>
      </c>
    </row>
    <row r="1808" spans="1:6" x14ac:dyDescent="0.3">
      <c r="A1808" s="75" t="s">
        <v>5056</v>
      </c>
      <c r="B1808" s="75" t="s">
        <v>5057</v>
      </c>
      <c r="C1808" s="75" t="s">
        <v>5058</v>
      </c>
      <c r="D1808" s="75" t="s">
        <v>13</v>
      </c>
      <c r="E1808" s="75" t="s">
        <v>348</v>
      </c>
      <c r="F1808" s="75" t="s">
        <v>1598</v>
      </c>
    </row>
    <row r="1809" spans="1:6" x14ac:dyDescent="0.3">
      <c r="A1809" s="75" t="s">
        <v>5059</v>
      </c>
      <c r="B1809" s="75" t="s">
        <v>5060</v>
      </c>
      <c r="C1809" s="75" t="s">
        <v>5061</v>
      </c>
      <c r="D1809" s="75" t="s">
        <v>13</v>
      </c>
      <c r="E1809" s="75" t="s">
        <v>31</v>
      </c>
      <c r="F1809" s="75" t="s">
        <v>291</v>
      </c>
    </row>
    <row r="1810" spans="1:6" x14ac:dyDescent="0.3">
      <c r="A1810" s="75" t="s">
        <v>5062</v>
      </c>
      <c r="B1810" s="75" t="s">
        <v>5063</v>
      </c>
      <c r="C1810" s="75" t="s">
        <v>2802</v>
      </c>
      <c r="D1810" s="75">
        <v>2014</v>
      </c>
      <c r="E1810" s="75" t="s">
        <v>70</v>
      </c>
      <c r="F1810" s="75" t="s">
        <v>71</v>
      </c>
    </row>
    <row r="1811" spans="1:6" x14ac:dyDescent="0.3">
      <c r="A1811" s="75" t="s">
        <v>5064</v>
      </c>
      <c r="B1811" s="75" t="s">
        <v>5065</v>
      </c>
      <c r="C1811" s="75" t="s">
        <v>1523</v>
      </c>
      <c r="D1811" s="75">
        <v>2010</v>
      </c>
      <c r="E1811" s="75" t="s">
        <v>8</v>
      </c>
      <c r="F1811" s="75" t="s">
        <v>1093</v>
      </c>
    </row>
    <row r="1812" spans="1:6" x14ac:dyDescent="0.3">
      <c r="A1812" s="75" t="s">
        <v>5066</v>
      </c>
      <c r="B1812" s="75" t="s">
        <v>5067</v>
      </c>
      <c r="C1812" s="75" t="s">
        <v>5068</v>
      </c>
      <c r="D1812" s="75" t="s">
        <v>13</v>
      </c>
      <c r="E1812" s="75" t="s">
        <v>348</v>
      </c>
      <c r="F1812" s="75" t="s">
        <v>4402</v>
      </c>
    </row>
    <row r="1813" spans="1:6" x14ac:dyDescent="0.3">
      <c r="A1813" s="75" t="s">
        <v>5069</v>
      </c>
      <c r="B1813" s="75" t="s">
        <v>5070</v>
      </c>
      <c r="C1813" s="75" t="s">
        <v>5071</v>
      </c>
      <c r="D1813" s="75">
        <v>1985</v>
      </c>
      <c r="E1813" s="75" t="s">
        <v>518</v>
      </c>
      <c r="F1813" s="75" t="s">
        <v>2520</v>
      </c>
    </row>
    <row r="1814" spans="1:6" x14ac:dyDescent="0.3">
      <c r="A1814" s="75" t="s">
        <v>5072</v>
      </c>
      <c r="B1814" s="75" t="s">
        <v>5073</v>
      </c>
      <c r="C1814" s="75" t="s">
        <v>5074</v>
      </c>
      <c r="D1814" s="75">
        <v>2007</v>
      </c>
      <c r="E1814" s="75" t="s">
        <v>348</v>
      </c>
      <c r="F1814" s="75" t="s">
        <v>1059</v>
      </c>
    </row>
    <row r="1815" spans="1:6" x14ac:dyDescent="0.3">
      <c r="A1815" s="75" t="s">
        <v>5075</v>
      </c>
      <c r="B1815" s="75" t="s">
        <v>5076</v>
      </c>
      <c r="C1815" s="75" t="s">
        <v>1831</v>
      </c>
      <c r="D1815" s="75" t="s">
        <v>13</v>
      </c>
      <c r="E1815" s="75" t="s">
        <v>518</v>
      </c>
      <c r="F1815" s="75" t="s">
        <v>49</v>
      </c>
    </row>
    <row r="1816" spans="1:6" x14ac:dyDescent="0.3">
      <c r="A1816" s="75" t="s">
        <v>5077</v>
      </c>
      <c r="B1816" s="75" t="s">
        <v>5078</v>
      </c>
      <c r="C1816" s="75" t="s">
        <v>5079</v>
      </c>
      <c r="D1816" s="75">
        <v>2000</v>
      </c>
      <c r="E1816" s="75" t="s">
        <v>70</v>
      </c>
      <c r="F1816" s="75" t="s">
        <v>80</v>
      </c>
    </row>
    <row r="1817" spans="1:6" x14ac:dyDescent="0.3">
      <c r="A1817" s="75" t="s">
        <v>5080</v>
      </c>
      <c r="B1817" s="75" t="s">
        <v>5081</v>
      </c>
      <c r="C1817" s="75" t="s">
        <v>5082</v>
      </c>
      <c r="D1817" s="75" t="s">
        <v>13</v>
      </c>
      <c r="E1817" s="75" t="s">
        <v>44</v>
      </c>
      <c r="F1817" s="75" t="s">
        <v>49</v>
      </c>
    </row>
    <row r="1818" spans="1:6" x14ac:dyDescent="0.3">
      <c r="A1818" s="75" t="s">
        <v>5083</v>
      </c>
      <c r="B1818" s="75" t="s">
        <v>5084</v>
      </c>
      <c r="C1818" s="75" t="s">
        <v>5085</v>
      </c>
      <c r="D1818" s="75">
        <v>2006</v>
      </c>
      <c r="E1818" s="75" t="s">
        <v>70</v>
      </c>
      <c r="F1818" s="75" t="s">
        <v>326</v>
      </c>
    </row>
    <row r="1819" spans="1:6" x14ac:dyDescent="0.3">
      <c r="A1819" s="75" t="s">
        <v>5086</v>
      </c>
      <c r="B1819" s="75" t="s">
        <v>5087</v>
      </c>
      <c r="C1819" s="75" t="s">
        <v>5088</v>
      </c>
      <c r="D1819" s="75" t="s">
        <v>13</v>
      </c>
      <c r="E1819" s="75" t="s">
        <v>8</v>
      </c>
      <c r="F1819" s="75" t="s">
        <v>27</v>
      </c>
    </row>
    <row r="1820" spans="1:6" x14ac:dyDescent="0.3">
      <c r="A1820" s="75" t="s">
        <v>5089</v>
      </c>
      <c r="B1820" s="75" t="s">
        <v>5090</v>
      </c>
      <c r="C1820" s="75" t="s">
        <v>5091</v>
      </c>
      <c r="D1820" s="75">
        <v>2016</v>
      </c>
      <c r="E1820" s="75" t="s">
        <v>8</v>
      </c>
      <c r="F1820" s="75" t="s">
        <v>76</v>
      </c>
    </row>
    <row r="1821" spans="1:6" x14ac:dyDescent="0.3">
      <c r="A1821" s="75" t="s">
        <v>5092</v>
      </c>
      <c r="B1821" s="75" t="s">
        <v>5090</v>
      </c>
      <c r="C1821" s="75" t="s">
        <v>13</v>
      </c>
      <c r="D1821" s="75">
        <v>2016</v>
      </c>
      <c r="E1821" s="75" t="s">
        <v>13</v>
      </c>
      <c r="F1821" s="75" t="s">
        <v>13</v>
      </c>
    </row>
    <row r="1822" spans="1:6" x14ac:dyDescent="0.3">
      <c r="A1822" s="75" t="s">
        <v>5093</v>
      </c>
      <c r="B1822" s="75" t="s">
        <v>5090</v>
      </c>
      <c r="C1822" s="75" t="s">
        <v>13</v>
      </c>
      <c r="D1822" s="75">
        <v>2016</v>
      </c>
      <c r="E1822" s="75" t="s">
        <v>8</v>
      </c>
      <c r="F1822" s="75" t="s">
        <v>76</v>
      </c>
    </row>
    <row r="1823" spans="1:6" x14ac:dyDescent="0.3">
      <c r="A1823" s="75" t="s">
        <v>5094</v>
      </c>
      <c r="B1823" s="75" t="s">
        <v>5095</v>
      </c>
      <c r="C1823" s="75" t="s">
        <v>5096</v>
      </c>
      <c r="D1823" s="75">
        <v>2016</v>
      </c>
      <c r="E1823" s="75" t="s">
        <v>8</v>
      </c>
      <c r="F1823" s="75" t="s">
        <v>76</v>
      </c>
    </row>
    <row r="1824" spans="1:6" x14ac:dyDescent="0.3">
      <c r="A1824" s="75" t="s">
        <v>5097</v>
      </c>
      <c r="B1824" s="75" t="s">
        <v>5095</v>
      </c>
      <c r="C1824" s="75" t="s">
        <v>13</v>
      </c>
      <c r="D1824" s="75">
        <v>2016</v>
      </c>
      <c r="E1824" s="75" t="s">
        <v>8</v>
      </c>
      <c r="F1824" s="75" t="s">
        <v>76</v>
      </c>
    </row>
    <row r="1825" spans="1:6" x14ac:dyDescent="0.3">
      <c r="A1825" s="75" t="s">
        <v>5098</v>
      </c>
      <c r="B1825" s="75" t="s">
        <v>5095</v>
      </c>
      <c r="C1825" s="75" t="s">
        <v>13</v>
      </c>
      <c r="D1825" s="75">
        <v>2016</v>
      </c>
      <c r="E1825" s="75" t="s">
        <v>8</v>
      </c>
      <c r="F1825" s="75" t="s">
        <v>76</v>
      </c>
    </row>
    <row r="1826" spans="1:6" x14ac:dyDescent="0.3">
      <c r="A1826" s="75" t="s">
        <v>5099</v>
      </c>
      <c r="B1826" s="75" t="s">
        <v>5100</v>
      </c>
      <c r="C1826" s="75" t="s">
        <v>5101</v>
      </c>
      <c r="D1826" s="75" t="s">
        <v>13</v>
      </c>
      <c r="E1826" s="75" t="s">
        <v>70</v>
      </c>
      <c r="F1826" s="75" t="s">
        <v>71</v>
      </c>
    </row>
    <row r="1827" spans="1:6" x14ac:dyDescent="0.3">
      <c r="A1827" s="75" t="s">
        <v>5102</v>
      </c>
      <c r="B1827" s="75" t="s">
        <v>5103</v>
      </c>
      <c r="C1827" s="75" t="s">
        <v>5104</v>
      </c>
      <c r="D1827" s="75" t="s">
        <v>13</v>
      </c>
      <c r="E1827" s="75" t="s">
        <v>8</v>
      </c>
      <c r="F1827" s="75" t="s">
        <v>27</v>
      </c>
    </row>
    <row r="1828" spans="1:6" x14ac:dyDescent="0.3">
      <c r="A1828" s="75" t="s">
        <v>5105</v>
      </c>
      <c r="B1828" s="75" t="s">
        <v>5106</v>
      </c>
      <c r="C1828" s="75" t="s">
        <v>5107</v>
      </c>
      <c r="D1828" s="75" t="s">
        <v>13</v>
      </c>
      <c r="E1828" s="75" t="s">
        <v>8</v>
      </c>
      <c r="F1828" s="75" t="s">
        <v>27</v>
      </c>
    </row>
    <row r="1829" spans="1:6" x14ac:dyDescent="0.3">
      <c r="A1829" s="75" t="s">
        <v>5108</v>
      </c>
      <c r="B1829" s="75" t="s">
        <v>5109</v>
      </c>
      <c r="C1829" s="75" t="s">
        <v>2967</v>
      </c>
      <c r="D1829" s="75">
        <v>2012</v>
      </c>
      <c r="E1829" s="75" t="s">
        <v>31</v>
      </c>
      <c r="F1829" s="75" t="s">
        <v>92</v>
      </c>
    </row>
    <row r="1830" spans="1:6" x14ac:dyDescent="0.3">
      <c r="A1830" s="75" t="s">
        <v>5110</v>
      </c>
      <c r="B1830" s="75" t="s">
        <v>5111</v>
      </c>
      <c r="C1830" s="75" t="s">
        <v>5112</v>
      </c>
      <c r="D1830" s="75">
        <v>2013</v>
      </c>
      <c r="E1830" s="75" t="s">
        <v>70</v>
      </c>
      <c r="F1830" s="75" t="s">
        <v>71</v>
      </c>
    </row>
    <row r="1831" spans="1:6" x14ac:dyDescent="0.3">
      <c r="A1831" s="75" t="s">
        <v>5113</v>
      </c>
      <c r="B1831" s="75" t="s">
        <v>5114</v>
      </c>
      <c r="C1831" s="75" t="s">
        <v>5115</v>
      </c>
      <c r="D1831" s="75" t="s">
        <v>13</v>
      </c>
      <c r="E1831" s="75" t="s">
        <v>70</v>
      </c>
      <c r="F1831" s="75" t="s">
        <v>71</v>
      </c>
    </row>
    <row r="1832" spans="1:6" x14ac:dyDescent="0.3">
      <c r="A1832" s="75" t="s">
        <v>5116</v>
      </c>
      <c r="B1832" s="75" t="s">
        <v>5117</v>
      </c>
      <c r="C1832" s="75" t="s">
        <v>5118</v>
      </c>
      <c r="D1832" s="75">
        <v>1993</v>
      </c>
      <c r="E1832" s="75" t="s">
        <v>518</v>
      </c>
      <c r="F1832" s="75" t="s">
        <v>49</v>
      </c>
    </row>
    <row r="1833" spans="1:6" x14ac:dyDescent="0.3">
      <c r="A1833" s="75" t="s">
        <v>5119</v>
      </c>
      <c r="B1833" s="75" t="s">
        <v>5120</v>
      </c>
      <c r="C1833" s="75" t="s">
        <v>319</v>
      </c>
      <c r="D1833" s="75" t="s">
        <v>13</v>
      </c>
      <c r="E1833" s="75" t="s">
        <v>70</v>
      </c>
      <c r="F1833" s="75" t="s">
        <v>1375</v>
      </c>
    </row>
    <row r="1834" spans="1:6" x14ac:dyDescent="0.3">
      <c r="A1834" s="75" t="s">
        <v>5121</v>
      </c>
      <c r="B1834" s="75" t="s">
        <v>5122</v>
      </c>
      <c r="C1834" s="75" t="s">
        <v>5123</v>
      </c>
      <c r="D1834" s="75">
        <v>1991</v>
      </c>
      <c r="E1834" s="75" t="s">
        <v>31</v>
      </c>
      <c r="F1834" s="75" t="s">
        <v>36</v>
      </c>
    </row>
    <row r="1835" spans="1:6" x14ac:dyDescent="0.3">
      <c r="A1835" s="75" t="s">
        <v>5124</v>
      </c>
      <c r="B1835" s="75" t="s">
        <v>5125</v>
      </c>
      <c r="C1835" s="75" t="s">
        <v>5126</v>
      </c>
      <c r="D1835" s="75" t="s">
        <v>13</v>
      </c>
      <c r="E1835" s="75" t="s">
        <v>44</v>
      </c>
      <c r="F1835" s="75" t="s">
        <v>49</v>
      </c>
    </row>
    <row r="1836" spans="1:6" x14ac:dyDescent="0.3">
      <c r="A1836" s="75" t="s">
        <v>5127</v>
      </c>
      <c r="B1836" s="75" t="s">
        <v>5128</v>
      </c>
      <c r="C1836" s="75" t="s">
        <v>5129</v>
      </c>
      <c r="D1836" s="75" t="s">
        <v>13</v>
      </c>
      <c r="E1836" s="75" t="s">
        <v>31</v>
      </c>
      <c r="F1836" s="75" t="s">
        <v>63</v>
      </c>
    </row>
    <row r="1837" spans="1:6" x14ac:dyDescent="0.3">
      <c r="A1837" s="75" t="s">
        <v>5130</v>
      </c>
      <c r="B1837" s="75" t="s">
        <v>5131</v>
      </c>
      <c r="C1837" s="75" t="s">
        <v>5132</v>
      </c>
      <c r="D1837" s="75" t="s">
        <v>13</v>
      </c>
      <c r="E1837" s="75" t="s">
        <v>8</v>
      </c>
      <c r="F1837" s="75" t="s">
        <v>23</v>
      </c>
    </row>
    <row r="1838" spans="1:6" x14ac:dyDescent="0.3">
      <c r="A1838" s="75" t="s">
        <v>5133</v>
      </c>
      <c r="B1838" s="75" t="s">
        <v>5134</v>
      </c>
      <c r="C1838" s="75" t="s">
        <v>5135</v>
      </c>
      <c r="D1838" s="75" t="s">
        <v>13</v>
      </c>
      <c r="E1838" s="75" t="s">
        <v>8</v>
      </c>
      <c r="F1838" s="75" t="s">
        <v>9</v>
      </c>
    </row>
    <row r="1839" spans="1:6" x14ac:dyDescent="0.3">
      <c r="A1839" s="75" t="s">
        <v>5136</v>
      </c>
      <c r="B1839" s="75" t="s">
        <v>5137</v>
      </c>
      <c r="C1839" s="75" t="s">
        <v>5138</v>
      </c>
      <c r="D1839" s="75" t="s">
        <v>13</v>
      </c>
      <c r="E1839" s="75" t="s">
        <v>8</v>
      </c>
      <c r="F1839" s="75" t="s">
        <v>27</v>
      </c>
    </row>
    <row r="1840" spans="1:6" x14ac:dyDescent="0.3">
      <c r="A1840" s="75" t="s">
        <v>5139</v>
      </c>
      <c r="B1840" s="75" t="s">
        <v>5140</v>
      </c>
      <c r="C1840" s="75" t="s">
        <v>4687</v>
      </c>
      <c r="D1840" s="75">
        <v>2010</v>
      </c>
      <c r="E1840" s="75" t="s">
        <v>18</v>
      </c>
      <c r="F1840" s="75" t="s">
        <v>845</v>
      </c>
    </row>
    <row r="1841" spans="1:6" x14ac:dyDescent="0.3">
      <c r="A1841" s="75" t="s">
        <v>5141</v>
      </c>
      <c r="B1841" s="75" t="s">
        <v>5142</v>
      </c>
      <c r="C1841" s="75" t="s">
        <v>5143</v>
      </c>
      <c r="D1841" s="75">
        <v>2014</v>
      </c>
      <c r="E1841" s="75" t="s">
        <v>53</v>
      </c>
      <c r="F1841" s="75" t="s">
        <v>1449</v>
      </c>
    </row>
    <row r="1842" spans="1:6" x14ac:dyDescent="0.3">
      <c r="A1842" s="75" t="s">
        <v>5144</v>
      </c>
      <c r="B1842" s="75" t="s">
        <v>5145</v>
      </c>
      <c r="C1842" s="75" t="s">
        <v>5146</v>
      </c>
      <c r="D1842" s="75" t="s">
        <v>13</v>
      </c>
      <c r="E1842" s="75" t="s">
        <v>8</v>
      </c>
      <c r="F1842" s="75" t="s">
        <v>579</v>
      </c>
    </row>
    <row r="1843" spans="1:6" x14ac:dyDescent="0.3">
      <c r="A1843" s="75" t="s">
        <v>5147</v>
      </c>
      <c r="B1843" s="75" t="s">
        <v>5148</v>
      </c>
      <c r="C1843" s="75" t="s">
        <v>5149</v>
      </c>
      <c r="D1843" s="75" t="s">
        <v>13</v>
      </c>
      <c r="E1843" s="75" t="s">
        <v>31</v>
      </c>
      <c r="F1843" s="75" t="s">
        <v>36</v>
      </c>
    </row>
    <row r="1844" spans="1:6" x14ac:dyDescent="0.3">
      <c r="A1844" s="75" t="s">
        <v>5150</v>
      </c>
      <c r="B1844" s="75" t="s">
        <v>5151</v>
      </c>
      <c r="C1844" s="75" t="s">
        <v>5152</v>
      </c>
      <c r="D1844" s="75">
        <v>2016</v>
      </c>
      <c r="E1844" s="75" t="s">
        <v>84</v>
      </c>
      <c r="F1844" s="75" t="s">
        <v>2197</v>
      </c>
    </row>
    <row r="1845" spans="1:6" x14ac:dyDescent="0.3">
      <c r="A1845" s="75" t="s">
        <v>5153</v>
      </c>
      <c r="B1845" s="75" t="s">
        <v>5154</v>
      </c>
      <c r="C1845" s="75" t="s">
        <v>1544</v>
      </c>
      <c r="D1845" s="75">
        <v>1998</v>
      </c>
      <c r="E1845" s="75" t="s">
        <v>31</v>
      </c>
      <c r="F1845" s="75" t="s">
        <v>36</v>
      </c>
    </row>
    <row r="1846" spans="1:6" x14ac:dyDescent="0.3">
      <c r="A1846" s="75" t="s">
        <v>5155</v>
      </c>
      <c r="B1846" s="75" t="s">
        <v>5156</v>
      </c>
      <c r="C1846" s="75" t="s">
        <v>5157</v>
      </c>
      <c r="D1846" s="75" t="s">
        <v>13</v>
      </c>
      <c r="E1846" s="75" t="s">
        <v>18</v>
      </c>
      <c r="F1846" s="75" t="s">
        <v>266</v>
      </c>
    </row>
    <row r="1847" spans="1:6" x14ac:dyDescent="0.3">
      <c r="A1847" s="75" t="s">
        <v>5158</v>
      </c>
      <c r="B1847" s="75" t="s">
        <v>5159</v>
      </c>
      <c r="C1847" s="75" t="s">
        <v>5160</v>
      </c>
      <c r="D1847" s="75" t="s">
        <v>13</v>
      </c>
      <c r="E1847" s="75" t="s">
        <v>31</v>
      </c>
      <c r="F1847" s="75" t="s">
        <v>63</v>
      </c>
    </row>
    <row r="1848" spans="1:6" x14ac:dyDescent="0.3">
      <c r="A1848" s="75" t="s">
        <v>5161</v>
      </c>
      <c r="B1848" s="75" t="s">
        <v>5162</v>
      </c>
      <c r="C1848" s="75" t="s">
        <v>5163</v>
      </c>
      <c r="D1848" s="75" t="s">
        <v>13</v>
      </c>
      <c r="E1848" s="75" t="s">
        <v>518</v>
      </c>
      <c r="F1848" s="75" t="s">
        <v>1762</v>
      </c>
    </row>
    <row r="1849" spans="1:6" x14ac:dyDescent="0.3">
      <c r="A1849" s="75" t="s">
        <v>5164</v>
      </c>
      <c r="B1849" s="75" t="s">
        <v>5165</v>
      </c>
      <c r="C1849" s="75" t="s">
        <v>5166</v>
      </c>
      <c r="D1849" s="75">
        <v>2004</v>
      </c>
      <c r="E1849" s="75" t="s">
        <v>70</v>
      </c>
      <c r="F1849" s="75" t="s">
        <v>71</v>
      </c>
    </row>
    <row r="1850" spans="1:6" x14ac:dyDescent="0.3">
      <c r="A1850" s="75" t="s">
        <v>5167</v>
      </c>
      <c r="B1850" s="75" t="s">
        <v>5168</v>
      </c>
      <c r="C1850" s="75" t="s">
        <v>4226</v>
      </c>
      <c r="D1850" s="75">
        <v>2002</v>
      </c>
      <c r="E1850" s="75" t="s">
        <v>18</v>
      </c>
      <c r="F1850" s="75" t="s">
        <v>434</v>
      </c>
    </row>
    <row r="1851" spans="1:6" x14ac:dyDescent="0.3">
      <c r="A1851" s="75" t="s">
        <v>5169</v>
      </c>
      <c r="B1851" s="75" t="s">
        <v>5170</v>
      </c>
      <c r="C1851" s="75" t="s">
        <v>1507</v>
      </c>
      <c r="D1851" s="75" t="s">
        <v>13</v>
      </c>
      <c r="E1851" s="75" t="s">
        <v>96</v>
      </c>
      <c r="F1851" s="75" t="s">
        <v>97</v>
      </c>
    </row>
    <row r="1852" spans="1:6" x14ac:dyDescent="0.3">
      <c r="A1852" s="75" t="s">
        <v>5171</v>
      </c>
      <c r="B1852" s="75" t="s">
        <v>5172</v>
      </c>
      <c r="C1852" s="75" t="s">
        <v>5173</v>
      </c>
      <c r="D1852" s="75">
        <v>2004</v>
      </c>
      <c r="E1852" s="75" t="s">
        <v>96</v>
      </c>
      <c r="F1852" s="75" t="s">
        <v>76</v>
      </c>
    </row>
    <row r="1853" spans="1:6" x14ac:dyDescent="0.3">
      <c r="A1853" s="75" t="s">
        <v>5174</v>
      </c>
      <c r="B1853" s="75" t="s">
        <v>5175</v>
      </c>
      <c r="C1853" s="75" t="s">
        <v>5176</v>
      </c>
      <c r="D1853" s="75" t="s">
        <v>13</v>
      </c>
      <c r="E1853" s="75" t="s">
        <v>84</v>
      </c>
      <c r="F1853" s="75" t="s">
        <v>85</v>
      </c>
    </row>
    <row r="1854" spans="1:6" x14ac:dyDescent="0.3">
      <c r="A1854" s="75" t="s">
        <v>5177</v>
      </c>
      <c r="B1854" s="75" t="s">
        <v>5178</v>
      </c>
      <c r="C1854" s="75" t="s">
        <v>5179</v>
      </c>
      <c r="D1854" s="75">
        <v>2014</v>
      </c>
      <c r="E1854" s="75" t="s">
        <v>70</v>
      </c>
      <c r="F1854" s="75" t="s">
        <v>71</v>
      </c>
    </row>
    <row r="1855" spans="1:6" x14ac:dyDescent="0.3">
      <c r="A1855" s="75" t="s">
        <v>5180</v>
      </c>
      <c r="B1855" s="75" t="s">
        <v>5181</v>
      </c>
      <c r="C1855" s="75" t="s">
        <v>4958</v>
      </c>
      <c r="D1855" s="75">
        <v>2004</v>
      </c>
      <c r="E1855" s="75" t="s">
        <v>8</v>
      </c>
      <c r="F1855" s="75" t="s">
        <v>1093</v>
      </c>
    </row>
    <row r="1856" spans="1:6" x14ac:dyDescent="0.3">
      <c r="A1856" s="75" t="s">
        <v>5182</v>
      </c>
      <c r="B1856" s="75" t="s">
        <v>5183</v>
      </c>
      <c r="C1856" s="75" t="s">
        <v>5184</v>
      </c>
      <c r="D1856" s="75">
        <v>2003</v>
      </c>
      <c r="E1856" s="75" t="s">
        <v>8</v>
      </c>
      <c r="F1856" s="75" t="s">
        <v>27</v>
      </c>
    </row>
    <row r="1857" spans="1:6" x14ac:dyDescent="0.3">
      <c r="A1857" s="75" t="s">
        <v>5185</v>
      </c>
      <c r="B1857" s="75" t="s">
        <v>5186</v>
      </c>
      <c r="C1857" s="75" t="s">
        <v>5187</v>
      </c>
      <c r="D1857" s="75" t="s">
        <v>13</v>
      </c>
      <c r="E1857" s="75" t="s">
        <v>18</v>
      </c>
      <c r="F1857" s="75" t="s">
        <v>1361</v>
      </c>
    </row>
    <row r="1858" spans="1:6" x14ac:dyDescent="0.3">
      <c r="A1858" s="75" t="s">
        <v>5188</v>
      </c>
      <c r="B1858" s="75" t="s">
        <v>5189</v>
      </c>
      <c r="C1858" s="75" t="s">
        <v>5190</v>
      </c>
      <c r="D1858" s="75">
        <v>2013</v>
      </c>
      <c r="E1858" s="75" t="s">
        <v>58</v>
      </c>
      <c r="F1858" s="75" t="s">
        <v>690</v>
      </c>
    </row>
    <row r="1859" spans="1:6" x14ac:dyDescent="0.3">
      <c r="A1859" s="75" t="s">
        <v>5191</v>
      </c>
      <c r="B1859" s="75" t="s">
        <v>5192</v>
      </c>
      <c r="C1859" s="75" t="s">
        <v>5193</v>
      </c>
      <c r="D1859" s="75">
        <v>1986</v>
      </c>
      <c r="E1859" s="75" t="s">
        <v>283</v>
      </c>
      <c r="F1859" s="75" t="s">
        <v>694</v>
      </c>
    </row>
    <row r="1860" spans="1:6" x14ac:dyDescent="0.3">
      <c r="A1860" s="75" t="s">
        <v>5194</v>
      </c>
      <c r="B1860" s="75" t="s">
        <v>5195</v>
      </c>
      <c r="C1860" s="75" t="s">
        <v>5196</v>
      </c>
      <c r="D1860" s="75">
        <v>2002</v>
      </c>
      <c r="E1860" s="75" t="s">
        <v>84</v>
      </c>
      <c r="F1860" s="75" t="s">
        <v>1345</v>
      </c>
    </row>
    <row r="1861" spans="1:6" x14ac:dyDescent="0.3">
      <c r="A1861" s="75" t="s">
        <v>5197</v>
      </c>
      <c r="B1861" s="75" t="s">
        <v>5198</v>
      </c>
      <c r="C1861" s="75" t="s">
        <v>5199</v>
      </c>
      <c r="D1861" s="75">
        <v>2000</v>
      </c>
      <c r="E1861" s="75" t="s">
        <v>31</v>
      </c>
      <c r="F1861" s="75" t="s">
        <v>92</v>
      </c>
    </row>
    <row r="1862" spans="1:6" x14ac:dyDescent="0.3">
      <c r="A1862" s="75" t="s">
        <v>5200</v>
      </c>
      <c r="B1862" s="75" t="s">
        <v>5201</v>
      </c>
      <c r="C1862" s="75" t="s">
        <v>1225</v>
      </c>
      <c r="D1862" s="75">
        <v>2007</v>
      </c>
      <c r="E1862" s="75" t="s">
        <v>70</v>
      </c>
      <c r="F1862" s="75" t="s">
        <v>671</v>
      </c>
    </row>
    <row r="1863" spans="1:6" x14ac:dyDescent="0.3">
      <c r="A1863" s="75" t="s">
        <v>5202</v>
      </c>
      <c r="B1863" s="75" t="s">
        <v>5203</v>
      </c>
      <c r="C1863" s="75" t="s">
        <v>5204</v>
      </c>
      <c r="D1863" s="75">
        <v>2015</v>
      </c>
      <c r="E1863" s="75" t="s">
        <v>31</v>
      </c>
      <c r="F1863" s="75" t="s">
        <v>32</v>
      </c>
    </row>
    <row r="1864" spans="1:6" x14ac:dyDescent="0.3">
      <c r="A1864" s="75" t="s">
        <v>5205</v>
      </c>
      <c r="B1864" s="75" t="s">
        <v>5206</v>
      </c>
      <c r="C1864" s="75" t="s">
        <v>5207</v>
      </c>
      <c r="D1864" s="75">
        <v>2014</v>
      </c>
      <c r="E1864" s="75" t="s">
        <v>31</v>
      </c>
      <c r="F1864" s="75" t="s">
        <v>36</v>
      </c>
    </row>
    <row r="1865" spans="1:6" x14ac:dyDescent="0.3">
      <c r="A1865" s="75" t="s">
        <v>5208</v>
      </c>
      <c r="B1865" s="75" t="s">
        <v>5209</v>
      </c>
      <c r="C1865" s="75" t="s">
        <v>5210</v>
      </c>
      <c r="D1865" s="75">
        <v>2017</v>
      </c>
      <c r="E1865" s="75" t="s">
        <v>8</v>
      </c>
      <c r="F1865" s="75" t="s">
        <v>76</v>
      </c>
    </row>
    <row r="1866" spans="1:6" x14ac:dyDescent="0.3">
      <c r="A1866" s="75" t="s">
        <v>5211</v>
      </c>
      <c r="B1866" s="75" t="s">
        <v>5209</v>
      </c>
      <c r="C1866" s="75" t="s">
        <v>13</v>
      </c>
      <c r="D1866" s="75">
        <v>2017</v>
      </c>
      <c r="E1866" s="75" t="s">
        <v>8</v>
      </c>
      <c r="F1866" s="75" t="s">
        <v>76</v>
      </c>
    </row>
    <row r="1867" spans="1:6" x14ac:dyDescent="0.3">
      <c r="A1867" s="75" t="s">
        <v>5212</v>
      </c>
      <c r="B1867" s="75" t="s">
        <v>5209</v>
      </c>
      <c r="C1867" s="75" t="s">
        <v>13</v>
      </c>
      <c r="D1867" s="75">
        <v>2017</v>
      </c>
      <c r="E1867" s="75" t="s">
        <v>8</v>
      </c>
      <c r="F1867" s="75" t="s">
        <v>76</v>
      </c>
    </row>
    <row r="1868" spans="1:6" x14ac:dyDescent="0.3">
      <c r="A1868" s="75" t="s">
        <v>5213</v>
      </c>
      <c r="B1868" s="75" t="s">
        <v>5214</v>
      </c>
      <c r="C1868" s="75" t="s">
        <v>5215</v>
      </c>
      <c r="D1868" s="75">
        <v>1990</v>
      </c>
      <c r="E1868" s="75" t="s">
        <v>58</v>
      </c>
      <c r="F1868" s="75" t="s">
        <v>1728</v>
      </c>
    </row>
    <row r="1869" spans="1:6" x14ac:dyDescent="0.3">
      <c r="A1869" s="75" t="s">
        <v>5216</v>
      </c>
      <c r="B1869" s="75" t="s">
        <v>5217</v>
      </c>
      <c r="C1869" s="75" t="s">
        <v>5218</v>
      </c>
      <c r="D1869" s="75" t="s">
        <v>13</v>
      </c>
      <c r="E1869" s="75" t="s">
        <v>348</v>
      </c>
      <c r="F1869" s="75" t="s">
        <v>1183</v>
      </c>
    </row>
    <row r="1870" spans="1:6" x14ac:dyDescent="0.3">
      <c r="A1870" s="75" t="s">
        <v>5219</v>
      </c>
      <c r="B1870" s="75" t="s">
        <v>5220</v>
      </c>
      <c r="C1870" s="75" t="s">
        <v>5221</v>
      </c>
      <c r="D1870" s="75" t="s">
        <v>13</v>
      </c>
      <c r="E1870" s="75" t="s">
        <v>31</v>
      </c>
      <c r="F1870" s="75" t="s">
        <v>161</v>
      </c>
    </row>
    <row r="1871" spans="1:6" x14ac:dyDescent="0.3">
      <c r="A1871" s="75" t="s">
        <v>5222</v>
      </c>
      <c r="B1871" s="75" t="s">
        <v>5223</v>
      </c>
      <c r="C1871" s="75" t="s">
        <v>368</v>
      </c>
      <c r="D1871" s="75">
        <v>1994</v>
      </c>
      <c r="E1871" s="75" t="s">
        <v>53</v>
      </c>
      <c r="F1871" s="75" t="s">
        <v>519</v>
      </c>
    </row>
    <row r="1872" spans="1:6" x14ac:dyDescent="0.3">
      <c r="A1872" s="75" t="s">
        <v>5224</v>
      </c>
      <c r="B1872" s="75" t="s">
        <v>5225</v>
      </c>
      <c r="C1872" s="75" t="s">
        <v>5226</v>
      </c>
      <c r="D1872" s="75">
        <v>1988</v>
      </c>
      <c r="E1872" s="75" t="s">
        <v>31</v>
      </c>
      <c r="F1872" s="75" t="s">
        <v>92</v>
      </c>
    </row>
    <row r="1873" spans="1:6" x14ac:dyDescent="0.3">
      <c r="A1873" s="75" t="s">
        <v>5227</v>
      </c>
      <c r="B1873" s="75" t="s">
        <v>5228</v>
      </c>
      <c r="C1873" s="75" t="s">
        <v>5229</v>
      </c>
      <c r="D1873" s="75" t="s">
        <v>13</v>
      </c>
      <c r="E1873" s="75" t="s">
        <v>18</v>
      </c>
      <c r="F1873" s="75" t="s">
        <v>295</v>
      </c>
    </row>
    <row r="1874" spans="1:6" x14ac:dyDescent="0.3">
      <c r="A1874" s="75" t="s">
        <v>5230</v>
      </c>
      <c r="B1874" s="75" t="s">
        <v>5231</v>
      </c>
      <c r="C1874" s="75" t="s">
        <v>5232</v>
      </c>
      <c r="D1874" s="75" t="s">
        <v>13</v>
      </c>
      <c r="E1874" s="75" t="s">
        <v>96</v>
      </c>
      <c r="F1874" s="75" t="s">
        <v>63</v>
      </c>
    </row>
    <row r="1875" spans="1:6" x14ac:dyDescent="0.3">
      <c r="A1875" s="75" t="s">
        <v>5233</v>
      </c>
      <c r="B1875" s="75" t="s">
        <v>5234</v>
      </c>
      <c r="C1875" s="75" t="s">
        <v>5235</v>
      </c>
      <c r="D1875" s="75" t="s">
        <v>13</v>
      </c>
      <c r="E1875" s="75" t="s">
        <v>70</v>
      </c>
      <c r="F1875" s="75" t="s">
        <v>80</v>
      </c>
    </row>
    <row r="1876" spans="1:6" x14ac:dyDescent="0.3">
      <c r="A1876" s="75" t="s">
        <v>5236</v>
      </c>
      <c r="B1876" s="75" t="s">
        <v>5237</v>
      </c>
      <c r="C1876" s="75" t="s">
        <v>5238</v>
      </c>
      <c r="D1876" s="75" t="s">
        <v>13</v>
      </c>
      <c r="E1876" s="75" t="s">
        <v>8</v>
      </c>
      <c r="F1876" s="75" t="s">
        <v>27</v>
      </c>
    </row>
    <row r="1877" spans="1:6" x14ac:dyDescent="0.3">
      <c r="A1877" s="75" t="s">
        <v>5239</v>
      </c>
      <c r="B1877" s="75" t="s">
        <v>5237</v>
      </c>
      <c r="C1877" s="75" t="s">
        <v>5240</v>
      </c>
      <c r="D1877" s="75" t="s">
        <v>13</v>
      </c>
      <c r="E1877" s="75" t="s">
        <v>8</v>
      </c>
      <c r="F1877" s="75" t="s">
        <v>27</v>
      </c>
    </row>
    <row r="1878" spans="1:6" x14ac:dyDescent="0.3">
      <c r="A1878" s="75" t="s">
        <v>5241</v>
      </c>
      <c r="B1878" s="75" t="s">
        <v>5242</v>
      </c>
      <c r="C1878" s="75" t="s">
        <v>5243</v>
      </c>
      <c r="D1878" s="75">
        <v>2015</v>
      </c>
      <c r="E1878" s="75" t="s">
        <v>53</v>
      </c>
      <c r="F1878" s="75" t="s">
        <v>1449</v>
      </c>
    </row>
    <row r="1879" spans="1:6" x14ac:dyDescent="0.3">
      <c r="A1879" s="75" t="s">
        <v>5244</v>
      </c>
      <c r="B1879" s="75" t="s">
        <v>5245</v>
      </c>
      <c r="C1879" s="75" t="s">
        <v>5246</v>
      </c>
      <c r="D1879" s="75">
        <v>1984</v>
      </c>
      <c r="E1879" s="75" t="s">
        <v>31</v>
      </c>
      <c r="F1879" s="75" t="s">
        <v>40</v>
      </c>
    </row>
    <row r="1880" spans="1:6" x14ac:dyDescent="0.3">
      <c r="A1880" s="75" t="s">
        <v>5247</v>
      </c>
      <c r="B1880" s="75" t="s">
        <v>5248</v>
      </c>
      <c r="C1880" s="75" t="s">
        <v>5249</v>
      </c>
      <c r="D1880" s="75" t="s">
        <v>13</v>
      </c>
      <c r="E1880" s="75" t="s">
        <v>31</v>
      </c>
      <c r="F1880" s="75" t="s">
        <v>295</v>
      </c>
    </row>
    <row r="1881" spans="1:6" x14ac:dyDescent="0.3">
      <c r="A1881" s="75" t="s">
        <v>5250</v>
      </c>
      <c r="B1881" s="75" t="s">
        <v>5251</v>
      </c>
      <c r="C1881" s="75" t="s">
        <v>5252</v>
      </c>
      <c r="D1881" s="75" t="s">
        <v>13</v>
      </c>
      <c r="E1881" s="75" t="s">
        <v>8</v>
      </c>
      <c r="F1881" s="75" t="s">
        <v>478</v>
      </c>
    </row>
    <row r="1882" spans="1:6" x14ac:dyDescent="0.3">
      <c r="A1882" s="75" t="s">
        <v>5253</v>
      </c>
      <c r="B1882" s="75" t="s">
        <v>5251</v>
      </c>
      <c r="C1882" s="75" t="s">
        <v>13</v>
      </c>
      <c r="D1882" s="75" t="s">
        <v>13</v>
      </c>
      <c r="E1882" s="75" t="s">
        <v>8</v>
      </c>
      <c r="F1882" s="75" t="s">
        <v>478</v>
      </c>
    </row>
    <row r="1883" spans="1:6" x14ac:dyDescent="0.3">
      <c r="A1883" s="75" t="s">
        <v>5254</v>
      </c>
      <c r="B1883" s="75" t="s">
        <v>5255</v>
      </c>
      <c r="C1883" s="75" t="s">
        <v>5256</v>
      </c>
      <c r="D1883" s="75">
        <v>2014</v>
      </c>
      <c r="E1883" s="75" t="s">
        <v>31</v>
      </c>
      <c r="F1883" s="75" t="s">
        <v>36</v>
      </c>
    </row>
    <row r="1884" spans="1:6" x14ac:dyDescent="0.3">
      <c r="A1884" s="75" t="s">
        <v>5257</v>
      </c>
      <c r="B1884" s="75" t="s">
        <v>5255</v>
      </c>
      <c r="C1884" s="75" t="s">
        <v>5258</v>
      </c>
      <c r="D1884" s="75" t="s">
        <v>13</v>
      </c>
      <c r="E1884" s="75" t="s">
        <v>31</v>
      </c>
      <c r="F1884" s="75" t="s">
        <v>36</v>
      </c>
    </row>
    <row r="1885" spans="1:6" x14ac:dyDescent="0.3">
      <c r="A1885" s="75" t="s">
        <v>5259</v>
      </c>
      <c r="B1885" s="75" t="s">
        <v>5260</v>
      </c>
      <c r="C1885" s="75" t="s">
        <v>5261</v>
      </c>
      <c r="D1885" s="75" t="s">
        <v>13</v>
      </c>
      <c r="E1885" s="75" t="s">
        <v>70</v>
      </c>
      <c r="F1885" s="75" t="s">
        <v>71</v>
      </c>
    </row>
    <row r="1886" spans="1:6" x14ac:dyDescent="0.3">
      <c r="A1886" s="75" t="s">
        <v>5262</v>
      </c>
      <c r="B1886" s="75" t="s">
        <v>5263</v>
      </c>
      <c r="C1886" s="75" t="s">
        <v>2785</v>
      </c>
      <c r="D1886" s="75">
        <v>2009</v>
      </c>
      <c r="E1886" s="75" t="s">
        <v>31</v>
      </c>
      <c r="F1886" s="75" t="s">
        <v>36</v>
      </c>
    </row>
    <row r="1887" spans="1:6" x14ac:dyDescent="0.3">
      <c r="A1887" s="75" t="s">
        <v>5264</v>
      </c>
      <c r="B1887" s="75" t="s">
        <v>5265</v>
      </c>
      <c r="C1887" s="75" t="s">
        <v>5266</v>
      </c>
      <c r="D1887" s="75" t="s">
        <v>13</v>
      </c>
      <c r="E1887" s="75" t="s">
        <v>70</v>
      </c>
      <c r="F1887" s="75" t="s">
        <v>80</v>
      </c>
    </row>
    <row r="1888" spans="1:6" x14ac:dyDescent="0.3">
      <c r="A1888" s="75" t="s">
        <v>5267</v>
      </c>
      <c r="B1888" s="75" t="s">
        <v>5268</v>
      </c>
      <c r="C1888" s="75" t="s">
        <v>5269</v>
      </c>
      <c r="D1888" s="75">
        <v>2014</v>
      </c>
      <c r="E1888" s="75" t="s">
        <v>518</v>
      </c>
      <c r="F1888" s="75" t="s">
        <v>1762</v>
      </c>
    </row>
    <row r="1889" spans="1:6" x14ac:dyDescent="0.3">
      <c r="A1889" s="75" t="s">
        <v>5270</v>
      </c>
      <c r="B1889" s="75" t="s">
        <v>5271</v>
      </c>
      <c r="C1889" s="75" t="s">
        <v>5272</v>
      </c>
      <c r="D1889" s="75">
        <v>2015</v>
      </c>
      <c r="E1889" s="75" t="s">
        <v>70</v>
      </c>
      <c r="F1889" s="75" t="s">
        <v>80</v>
      </c>
    </row>
    <row r="1890" spans="1:6" x14ac:dyDescent="0.3">
      <c r="A1890" s="75" t="s">
        <v>5273</v>
      </c>
      <c r="B1890" s="75" t="s">
        <v>5271</v>
      </c>
      <c r="C1890" s="75" t="s">
        <v>13</v>
      </c>
      <c r="D1890" s="75">
        <v>2015</v>
      </c>
      <c r="E1890" s="75" t="s">
        <v>70</v>
      </c>
      <c r="F1890" s="75" t="s">
        <v>80</v>
      </c>
    </row>
    <row r="1891" spans="1:6" x14ac:dyDescent="0.3">
      <c r="A1891" s="75" t="s">
        <v>5274</v>
      </c>
      <c r="B1891" s="75" t="s">
        <v>5275</v>
      </c>
      <c r="C1891" s="75" t="s">
        <v>5276</v>
      </c>
      <c r="D1891" s="75">
        <v>2016</v>
      </c>
      <c r="E1891" s="75" t="s">
        <v>70</v>
      </c>
      <c r="F1891" s="75" t="s">
        <v>326</v>
      </c>
    </row>
    <row r="1892" spans="1:6" x14ac:dyDescent="0.3">
      <c r="A1892" s="75" t="s">
        <v>5277</v>
      </c>
      <c r="B1892" s="75" t="s">
        <v>5278</v>
      </c>
      <c r="C1892" s="75" t="s">
        <v>5279</v>
      </c>
      <c r="D1892" s="75" t="s">
        <v>13</v>
      </c>
      <c r="E1892" s="75" t="s">
        <v>70</v>
      </c>
      <c r="F1892" s="75" t="s">
        <v>71</v>
      </c>
    </row>
    <row r="1893" spans="1:6" x14ac:dyDescent="0.3">
      <c r="A1893" s="75" t="s">
        <v>5280</v>
      </c>
      <c r="B1893" s="75" t="s">
        <v>5281</v>
      </c>
      <c r="C1893" s="75" t="s">
        <v>5282</v>
      </c>
      <c r="D1893" s="75" t="s">
        <v>13</v>
      </c>
      <c r="E1893" s="75" t="s">
        <v>18</v>
      </c>
      <c r="F1893" s="75" t="s">
        <v>1361</v>
      </c>
    </row>
    <row r="1894" spans="1:6" x14ac:dyDescent="0.3">
      <c r="A1894" s="75" t="s">
        <v>5283</v>
      </c>
      <c r="B1894" s="75" t="s">
        <v>5284</v>
      </c>
      <c r="C1894" s="75" t="s">
        <v>1672</v>
      </c>
      <c r="D1894" s="75">
        <v>2007</v>
      </c>
      <c r="E1894" s="75" t="s">
        <v>31</v>
      </c>
      <c r="F1894" s="75" t="s">
        <v>92</v>
      </c>
    </row>
    <row r="1895" spans="1:6" x14ac:dyDescent="0.3">
      <c r="A1895" s="75" t="s">
        <v>5285</v>
      </c>
      <c r="B1895" s="75" t="s">
        <v>5286</v>
      </c>
      <c r="C1895" s="75" t="s">
        <v>5287</v>
      </c>
      <c r="D1895" s="75">
        <v>2014</v>
      </c>
      <c r="E1895" s="75" t="s">
        <v>8</v>
      </c>
      <c r="F1895" s="75" t="s">
        <v>27</v>
      </c>
    </row>
    <row r="1896" spans="1:6" x14ac:dyDescent="0.3">
      <c r="A1896" s="75" t="s">
        <v>5288</v>
      </c>
      <c r="B1896" s="75" t="s">
        <v>5289</v>
      </c>
      <c r="C1896" s="75" t="s">
        <v>5290</v>
      </c>
      <c r="D1896" s="75">
        <v>1997</v>
      </c>
      <c r="E1896" s="75" t="s">
        <v>44</v>
      </c>
      <c r="F1896" s="75" t="s">
        <v>49</v>
      </c>
    </row>
    <row r="1897" spans="1:6" x14ac:dyDescent="0.3">
      <c r="A1897" s="75" t="s">
        <v>5291</v>
      </c>
      <c r="B1897" s="75" t="s">
        <v>5292</v>
      </c>
      <c r="C1897" s="75" t="s">
        <v>5293</v>
      </c>
      <c r="D1897" s="75">
        <v>2007</v>
      </c>
      <c r="E1897" s="75" t="s">
        <v>96</v>
      </c>
      <c r="F1897" s="75" t="s">
        <v>76</v>
      </c>
    </row>
    <row r="1898" spans="1:6" x14ac:dyDescent="0.3">
      <c r="A1898" s="75" t="s">
        <v>5294</v>
      </c>
      <c r="B1898" s="75" t="s">
        <v>5295</v>
      </c>
      <c r="C1898" s="75" t="s">
        <v>5296</v>
      </c>
      <c r="D1898" s="75">
        <v>1998</v>
      </c>
      <c r="E1898" s="75" t="s">
        <v>8</v>
      </c>
      <c r="F1898" s="75" t="s">
        <v>27</v>
      </c>
    </row>
    <row r="1899" spans="1:6" x14ac:dyDescent="0.3">
      <c r="A1899" s="75" t="s">
        <v>5297</v>
      </c>
      <c r="B1899" s="75" t="s">
        <v>5298</v>
      </c>
      <c r="C1899" s="75" t="s">
        <v>5299</v>
      </c>
      <c r="D1899" s="75" t="s">
        <v>13</v>
      </c>
      <c r="E1899" s="75" t="s">
        <v>58</v>
      </c>
      <c r="F1899" s="75" t="s">
        <v>2742</v>
      </c>
    </row>
    <row r="1900" spans="1:6" x14ac:dyDescent="0.3">
      <c r="A1900" s="75" t="s">
        <v>5300</v>
      </c>
      <c r="B1900" s="75" t="s">
        <v>5301</v>
      </c>
      <c r="C1900" s="75" t="s">
        <v>202</v>
      </c>
      <c r="D1900" s="75">
        <v>1998</v>
      </c>
      <c r="E1900" s="75" t="s">
        <v>53</v>
      </c>
      <c r="F1900" s="75" t="s">
        <v>229</v>
      </c>
    </row>
    <row r="1901" spans="1:6" x14ac:dyDescent="0.3">
      <c r="A1901" s="75" t="s">
        <v>5302</v>
      </c>
      <c r="B1901" s="75" t="s">
        <v>5303</v>
      </c>
      <c r="C1901" s="75" t="s">
        <v>5304</v>
      </c>
      <c r="D1901" s="75" t="s">
        <v>13</v>
      </c>
      <c r="E1901" s="75" t="s">
        <v>8</v>
      </c>
      <c r="F1901" s="75" t="s">
        <v>27</v>
      </c>
    </row>
    <row r="1902" spans="1:6" x14ac:dyDescent="0.3">
      <c r="A1902" s="75" t="s">
        <v>5305</v>
      </c>
      <c r="B1902" s="75" t="s">
        <v>5306</v>
      </c>
      <c r="C1902" s="75" t="s">
        <v>5307</v>
      </c>
      <c r="D1902" s="75">
        <v>1986</v>
      </c>
      <c r="E1902" s="75" t="s">
        <v>70</v>
      </c>
      <c r="F1902" s="75" t="s">
        <v>137</v>
      </c>
    </row>
    <row r="1903" spans="1:6" x14ac:dyDescent="0.3">
      <c r="A1903" s="75" t="s">
        <v>5308</v>
      </c>
      <c r="B1903" s="75" t="s">
        <v>5309</v>
      </c>
      <c r="C1903" s="75" t="s">
        <v>5310</v>
      </c>
      <c r="D1903" s="75" t="s">
        <v>13</v>
      </c>
      <c r="E1903" s="75" t="s">
        <v>58</v>
      </c>
      <c r="F1903" s="75" t="s">
        <v>96</v>
      </c>
    </row>
    <row r="1904" spans="1:6" x14ac:dyDescent="0.3">
      <c r="A1904" s="75" t="s">
        <v>5311</v>
      </c>
      <c r="B1904" s="75" t="s">
        <v>5309</v>
      </c>
      <c r="C1904" s="75" t="s">
        <v>13</v>
      </c>
      <c r="D1904" s="75" t="s">
        <v>13</v>
      </c>
      <c r="E1904" s="75" t="s">
        <v>58</v>
      </c>
      <c r="F1904" s="75" t="s">
        <v>96</v>
      </c>
    </row>
    <row r="1905" spans="1:6" x14ac:dyDescent="0.3">
      <c r="A1905" s="75" t="s">
        <v>5312</v>
      </c>
      <c r="B1905" s="75" t="s">
        <v>5313</v>
      </c>
      <c r="C1905" s="75" t="s">
        <v>368</v>
      </c>
      <c r="D1905" s="75" t="s">
        <v>13</v>
      </c>
      <c r="E1905" s="75" t="s">
        <v>70</v>
      </c>
      <c r="F1905" s="75" t="s">
        <v>80</v>
      </c>
    </row>
    <row r="1906" spans="1:6" x14ac:dyDescent="0.3">
      <c r="A1906" s="75" t="s">
        <v>5314</v>
      </c>
      <c r="B1906" s="75" t="s">
        <v>5315</v>
      </c>
      <c r="C1906" s="75" t="s">
        <v>5316</v>
      </c>
      <c r="D1906" s="75">
        <v>2012</v>
      </c>
      <c r="E1906" s="75" t="s">
        <v>70</v>
      </c>
      <c r="F1906" s="75" t="s">
        <v>71</v>
      </c>
    </row>
    <row r="1907" spans="1:6" x14ac:dyDescent="0.3">
      <c r="A1907" s="75" t="s">
        <v>5317</v>
      </c>
      <c r="B1907" s="75" t="s">
        <v>5318</v>
      </c>
      <c r="C1907" s="75" t="s">
        <v>5319</v>
      </c>
      <c r="D1907" s="75">
        <v>2017</v>
      </c>
      <c r="E1907" s="75" t="s">
        <v>70</v>
      </c>
      <c r="F1907" s="75" t="s">
        <v>71</v>
      </c>
    </row>
    <row r="1908" spans="1:6" x14ac:dyDescent="0.3">
      <c r="A1908" s="75" t="s">
        <v>5320</v>
      </c>
      <c r="B1908" s="75" t="s">
        <v>5321</v>
      </c>
      <c r="C1908" s="75" t="s">
        <v>5322</v>
      </c>
      <c r="D1908" s="75">
        <v>2016</v>
      </c>
      <c r="E1908" s="75" t="s">
        <v>70</v>
      </c>
      <c r="F1908" s="75" t="s">
        <v>71</v>
      </c>
    </row>
    <row r="1909" spans="1:6" x14ac:dyDescent="0.3">
      <c r="A1909" s="75" t="s">
        <v>5323</v>
      </c>
      <c r="B1909" s="75" t="s">
        <v>5324</v>
      </c>
      <c r="C1909" s="75" t="s">
        <v>5325</v>
      </c>
      <c r="D1909" s="75" t="s">
        <v>13</v>
      </c>
      <c r="E1909" s="75" t="s">
        <v>53</v>
      </c>
      <c r="F1909" s="75" t="s">
        <v>63</v>
      </c>
    </row>
    <row r="1910" spans="1:6" x14ac:dyDescent="0.3">
      <c r="A1910" s="75" t="s">
        <v>5326</v>
      </c>
      <c r="B1910" s="75" t="s">
        <v>5327</v>
      </c>
      <c r="C1910" s="75" t="s">
        <v>5328</v>
      </c>
      <c r="D1910" s="75">
        <v>2015</v>
      </c>
      <c r="E1910" s="75" t="s">
        <v>70</v>
      </c>
      <c r="F1910" s="75" t="s">
        <v>118</v>
      </c>
    </row>
    <row r="1911" spans="1:6" x14ac:dyDescent="0.3">
      <c r="A1911" s="75" t="s">
        <v>5329</v>
      </c>
      <c r="B1911" s="75" t="s">
        <v>5330</v>
      </c>
      <c r="C1911" s="75" t="s">
        <v>5331</v>
      </c>
      <c r="D1911" s="75">
        <v>1993</v>
      </c>
      <c r="E1911" s="75" t="s">
        <v>8</v>
      </c>
      <c r="F1911" s="75" t="s">
        <v>23</v>
      </c>
    </row>
    <row r="1912" spans="1:6" x14ac:dyDescent="0.3">
      <c r="A1912" s="75" t="s">
        <v>5332</v>
      </c>
      <c r="B1912" s="75" t="s">
        <v>5333</v>
      </c>
      <c r="C1912" s="75" t="s">
        <v>3694</v>
      </c>
      <c r="D1912" s="75" t="s">
        <v>13</v>
      </c>
      <c r="E1912" s="75" t="s">
        <v>58</v>
      </c>
      <c r="F1912" s="75" t="s">
        <v>59</v>
      </c>
    </row>
    <row r="1913" spans="1:6" x14ac:dyDescent="0.3">
      <c r="A1913" s="75" t="s">
        <v>5334</v>
      </c>
      <c r="B1913" s="75" t="s">
        <v>5335</v>
      </c>
      <c r="C1913" s="75" t="s">
        <v>5336</v>
      </c>
      <c r="D1913" s="75" t="s">
        <v>13</v>
      </c>
      <c r="E1913" s="75" t="s">
        <v>70</v>
      </c>
      <c r="F1913" s="75" t="s">
        <v>80</v>
      </c>
    </row>
    <row r="1914" spans="1:6" x14ac:dyDescent="0.3">
      <c r="A1914" s="75" t="s">
        <v>5337</v>
      </c>
      <c r="B1914" s="75" t="s">
        <v>5338</v>
      </c>
      <c r="C1914" s="75" t="s">
        <v>2164</v>
      </c>
      <c r="D1914" s="75" t="s">
        <v>13</v>
      </c>
      <c r="E1914" s="75" t="s">
        <v>84</v>
      </c>
      <c r="F1914" s="75" t="s">
        <v>45</v>
      </c>
    </row>
    <row r="1915" spans="1:6" x14ac:dyDescent="0.3">
      <c r="A1915" s="75" t="s">
        <v>5339</v>
      </c>
      <c r="B1915" s="75" t="s">
        <v>5340</v>
      </c>
      <c r="C1915" s="75" t="s">
        <v>5341</v>
      </c>
      <c r="D1915" s="75" t="s">
        <v>13</v>
      </c>
      <c r="E1915" s="75" t="s">
        <v>348</v>
      </c>
      <c r="F1915" s="75" t="s">
        <v>1598</v>
      </c>
    </row>
    <row r="1916" spans="1:6" x14ac:dyDescent="0.3">
      <c r="A1916" s="75" t="s">
        <v>5342</v>
      </c>
      <c r="B1916" s="75" t="s">
        <v>5343</v>
      </c>
      <c r="C1916" s="75" t="s">
        <v>5344</v>
      </c>
      <c r="D1916" s="75" t="s">
        <v>13</v>
      </c>
      <c r="E1916" s="75" t="s">
        <v>70</v>
      </c>
      <c r="F1916" s="75" t="s">
        <v>118</v>
      </c>
    </row>
    <row r="1917" spans="1:6" x14ac:dyDescent="0.3">
      <c r="A1917" s="75" t="s">
        <v>5345</v>
      </c>
      <c r="B1917" s="75" t="s">
        <v>5346</v>
      </c>
      <c r="C1917" s="75" t="s">
        <v>5347</v>
      </c>
      <c r="D1917" s="75">
        <v>1993</v>
      </c>
      <c r="E1917" s="75" t="s">
        <v>31</v>
      </c>
      <c r="F1917" s="75" t="s">
        <v>92</v>
      </c>
    </row>
    <row r="1918" spans="1:6" x14ac:dyDescent="0.3">
      <c r="A1918" s="75" t="s">
        <v>5348</v>
      </c>
      <c r="B1918" s="75" t="s">
        <v>5349</v>
      </c>
      <c r="C1918" s="75" t="s">
        <v>5350</v>
      </c>
      <c r="D1918" s="75" t="s">
        <v>13</v>
      </c>
      <c r="E1918" s="75" t="s">
        <v>31</v>
      </c>
      <c r="F1918" s="75" t="s">
        <v>92</v>
      </c>
    </row>
    <row r="1919" spans="1:6" x14ac:dyDescent="0.3">
      <c r="A1919" s="75" t="s">
        <v>5351</v>
      </c>
      <c r="B1919" s="75" t="s">
        <v>5352</v>
      </c>
      <c r="C1919" s="75" t="s">
        <v>5353</v>
      </c>
      <c r="D1919" s="75" t="s">
        <v>13</v>
      </c>
      <c r="E1919" s="75" t="s">
        <v>53</v>
      </c>
      <c r="F1919" s="75" t="s">
        <v>229</v>
      </c>
    </row>
    <row r="1920" spans="1:6" x14ac:dyDescent="0.3">
      <c r="A1920" s="75" t="s">
        <v>5354</v>
      </c>
      <c r="B1920" s="75" t="s">
        <v>5352</v>
      </c>
      <c r="C1920" s="75" t="s">
        <v>13</v>
      </c>
      <c r="D1920" s="75" t="s">
        <v>13</v>
      </c>
      <c r="E1920" s="75" t="s">
        <v>53</v>
      </c>
      <c r="F1920" s="75" t="s">
        <v>229</v>
      </c>
    </row>
    <row r="1921" spans="1:6" x14ac:dyDescent="0.3">
      <c r="A1921" s="75" t="s">
        <v>5355</v>
      </c>
      <c r="B1921" s="75" t="s">
        <v>5356</v>
      </c>
      <c r="C1921" s="75" t="s">
        <v>5357</v>
      </c>
      <c r="D1921" s="75" t="s">
        <v>13</v>
      </c>
      <c r="E1921" s="75" t="s">
        <v>31</v>
      </c>
      <c r="F1921" s="75" t="s">
        <v>92</v>
      </c>
    </row>
    <row r="1922" spans="1:6" x14ac:dyDescent="0.3">
      <c r="A1922" s="75" t="s">
        <v>5358</v>
      </c>
      <c r="B1922" s="75" t="s">
        <v>5359</v>
      </c>
      <c r="C1922" s="75" t="s">
        <v>5360</v>
      </c>
      <c r="D1922" s="75">
        <v>1986</v>
      </c>
      <c r="E1922" s="75" t="s">
        <v>31</v>
      </c>
      <c r="F1922" s="75" t="s">
        <v>36</v>
      </c>
    </row>
    <row r="1923" spans="1:6" x14ac:dyDescent="0.3">
      <c r="A1923" s="75" t="s">
        <v>5361</v>
      </c>
      <c r="B1923" s="75" t="s">
        <v>5362</v>
      </c>
      <c r="C1923" s="75" t="s">
        <v>2594</v>
      </c>
      <c r="D1923" s="75">
        <v>1998</v>
      </c>
      <c r="E1923" s="75" t="s">
        <v>31</v>
      </c>
      <c r="F1923" s="75" t="s">
        <v>36</v>
      </c>
    </row>
    <row r="1924" spans="1:6" x14ac:dyDescent="0.3">
      <c r="A1924" s="75" t="s">
        <v>5363</v>
      </c>
      <c r="B1924" s="75" t="s">
        <v>5364</v>
      </c>
      <c r="C1924" s="75" t="s">
        <v>5365</v>
      </c>
      <c r="D1924" s="75">
        <v>1996</v>
      </c>
      <c r="E1924" s="75" t="s">
        <v>53</v>
      </c>
      <c r="F1924" s="75" t="s">
        <v>63</v>
      </c>
    </row>
    <row r="1925" spans="1:6" x14ac:dyDescent="0.3">
      <c r="A1925" s="75" t="s">
        <v>5366</v>
      </c>
      <c r="B1925" s="75" t="s">
        <v>5367</v>
      </c>
      <c r="C1925" s="75" t="s">
        <v>1971</v>
      </c>
      <c r="D1925" s="75" t="s">
        <v>13</v>
      </c>
      <c r="E1925" s="75" t="s">
        <v>8</v>
      </c>
      <c r="F1925" s="75" t="s">
        <v>27</v>
      </c>
    </row>
    <row r="1926" spans="1:6" x14ac:dyDescent="0.3">
      <c r="A1926" s="75" t="s">
        <v>5368</v>
      </c>
      <c r="B1926" s="75" t="s">
        <v>5369</v>
      </c>
      <c r="C1926" s="75" t="s">
        <v>5370</v>
      </c>
      <c r="D1926" s="75" t="s">
        <v>13</v>
      </c>
      <c r="E1926" s="75" t="s">
        <v>70</v>
      </c>
      <c r="F1926" s="75" t="s">
        <v>71</v>
      </c>
    </row>
    <row r="1927" spans="1:6" x14ac:dyDescent="0.3">
      <c r="A1927" s="75" t="s">
        <v>5371</v>
      </c>
      <c r="B1927" s="75" t="s">
        <v>5372</v>
      </c>
      <c r="C1927" s="75" t="s">
        <v>5373</v>
      </c>
      <c r="D1927" s="75">
        <v>2011</v>
      </c>
      <c r="E1927" s="75" t="s">
        <v>84</v>
      </c>
      <c r="F1927" s="75" t="s">
        <v>85</v>
      </c>
    </row>
    <row r="1928" spans="1:6" x14ac:dyDescent="0.3">
      <c r="A1928" s="75" t="s">
        <v>5374</v>
      </c>
      <c r="B1928" s="75" t="s">
        <v>5375</v>
      </c>
      <c r="C1928" s="75" t="s">
        <v>5376</v>
      </c>
      <c r="D1928" s="75" t="s">
        <v>13</v>
      </c>
      <c r="E1928" s="75" t="s">
        <v>8</v>
      </c>
      <c r="F1928" s="75" t="s">
        <v>27</v>
      </c>
    </row>
    <row r="1929" spans="1:6" x14ac:dyDescent="0.3">
      <c r="A1929" s="75" t="s">
        <v>5377</v>
      </c>
      <c r="B1929" s="75" t="s">
        <v>5378</v>
      </c>
      <c r="C1929" s="75" t="s">
        <v>5379</v>
      </c>
      <c r="D1929" s="75" t="s">
        <v>13</v>
      </c>
      <c r="E1929" s="75" t="s">
        <v>44</v>
      </c>
      <c r="F1929" s="75" t="s">
        <v>222</v>
      </c>
    </row>
    <row r="1930" spans="1:6" x14ac:dyDescent="0.3">
      <c r="A1930" s="75" t="s">
        <v>5380</v>
      </c>
      <c r="B1930" s="75" t="s">
        <v>5381</v>
      </c>
      <c r="C1930" s="75" t="s">
        <v>5382</v>
      </c>
      <c r="D1930" s="75">
        <v>2016</v>
      </c>
      <c r="E1930" s="75" t="s">
        <v>8</v>
      </c>
      <c r="F1930" s="75" t="s">
        <v>27</v>
      </c>
    </row>
    <row r="1931" spans="1:6" x14ac:dyDescent="0.3">
      <c r="A1931" s="75" t="s">
        <v>5383</v>
      </c>
      <c r="B1931" s="75" t="s">
        <v>5384</v>
      </c>
      <c r="C1931" s="75" t="s">
        <v>5385</v>
      </c>
      <c r="D1931" s="75" t="s">
        <v>13</v>
      </c>
      <c r="E1931" s="75" t="s">
        <v>8</v>
      </c>
      <c r="F1931" s="75" t="s">
        <v>27</v>
      </c>
    </row>
    <row r="1932" spans="1:6" x14ac:dyDescent="0.3">
      <c r="A1932" s="75" t="s">
        <v>5386</v>
      </c>
      <c r="B1932" s="75" t="s">
        <v>5387</v>
      </c>
      <c r="C1932" s="75" t="s">
        <v>1407</v>
      </c>
      <c r="D1932" s="75">
        <v>2015</v>
      </c>
      <c r="E1932" s="75" t="s">
        <v>31</v>
      </c>
      <c r="F1932" s="75" t="s">
        <v>36</v>
      </c>
    </row>
    <row r="1933" spans="1:6" x14ac:dyDescent="0.3">
      <c r="A1933" s="75" t="s">
        <v>5388</v>
      </c>
      <c r="B1933" s="75" t="s">
        <v>5389</v>
      </c>
      <c r="C1933" s="75" t="s">
        <v>1243</v>
      </c>
      <c r="D1933" s="75" t="s">
        <v>13</v>
      </c>
      <c r="E1933" s="75" t="s">
        <v>70</v>
      </c>
      <c r="F1933" s="75" t="s">
        <v>80</v>
      </c>
    </row>
    <row r="1934" spans="1:6" x14ac:dyDescent="0.3">
      <c r="A1934" s="75" t="s">
        <v>5390</v>
      </c>
      <c r="B1934" s="75" t="s">
        <v>5391</v>
      </c>
      <c r="C1934" s="75" t="s">
        <v>5392</v>
      </c>
      <c r="D1934" s="75" t="s">
        <v>13</v>
      </c>
      <c r="E1934" s="75" t="s">
        <v>31</v>
      </c>
      <c r="F1934" s="75" t="s">
        <v>161</v>
      </c>
    </row>
    <row r="1935" spans="1:6" x14ac:dyDescent="0.3">
      <c r="A1935" s="75" t="s">
        <v>5393</v>
      </c>
      <c r="B1935" s="75" t="s">
        <v>5394</v>
      </c>
      <c r="C1935" s="75" t="s">
        <v>2936</v>
      </c>
      <c r="D1935" s="75">
        <v>2015</v>
      </c>
      <c r="E1935" s="75" t="s">
        <v>31</v>
      </c>
      <c r="F1935" s="75" t="s">
        <v>161</v>
      </c>
    </row>
    <row r="1936" spans="1:6" x14ac:dyDescent="0.3">
      <c r="A1936" s="75" t="s">
        <v>5395</v>
      </c>
      <c r="B1936" s="75" t="s">
        <v>5396</v>
      </c>
      <c r="C1936" s="75" t="s">
        <v>5397</v>
      </c>
      <c r="D1936" s="75">
        <v>2014</v>
      </c>
      <c r="E1936" s="75" t="s">
        <v>70</v>
      </c>
      <c r="F1936" s="75" t="s">
        <v>71</v>
      </c>
    </row>
    <row r="1937" spans="1:6" x14ac:dyDescent="0.3">
      <c r="A1937" s="75" t="s">
        <v>5398</v>
      </c>
      <c r="B1937" s="75" t="s">
        <v>5399</v>
      </c>
      <c r="C1937" s="75" t="s">
        <v>5400</v>
      </c>
      <c r="D1937" s="75">
        <v>2014</v>
      </c>
      <c r="E1937" s="75" t="s">
        <v>70</v>
      </c>
      <c r="F1937" s="75" t="s">
        <v>101</v>
      </c>
    </row>
    <row r="1938" spans="1:6" x14ac:dyDescent="0.3">
      <c r="A1938" s="75" t="s">
        <v>5401</v>
      </c>
      <c r="B1938" s="75" t="s">
        <v>5402</v>
      </c>
      <c r="C1938" s="75" t="s">
        <v>5403</v>
      </c>
      <c r="D1938" s="75" t="s">
        <v>13</v>
      </c>
      <c r="E1938" s="75" t="s">
        <v>70</v>
      </c>
      <c r="F1938" s="75" t="s">
        <v>71</v>
      </c>
    </row>
    <row r="1939" spans="1:6" x14ac:dyDescent="0.3">
      <c r="A1939" s="75" t="s">
        <v>5404</v>
      </c>
      <c r="B1939" s="75" t="s">
        <v>5405</v>
      </c>
      <c r="C1939" s="75" t="s">
        <v>5406</v>
      </c>
      <c r="D1939" s="75">
        <v>2015</v>
      </c>
      <c r="E1939" s="75" t="s">
        <v>70</v>
      </c>
      <c r="F1939" s="75" t="s">
        <v>71</v>
      </c>
    </row>
    <row r="1940" spans="1:6" x14ac:dyDescent="0.3">
      <c r="A1940" s="75" t="s">
        <v>5407</v>
      </c>
      <c r="B1940" s="75" t="s">
        <v>5408</v>
      </c>
      <c r="C1940" s="75" t="s">
        <v>5409</v>
      </c>
      <c r="D1940" s="75">
        <v>1992</v>
      </c>
      <c r="E1940" s="75" t="s">
        <v>53</v>
      </c>
      <c r="F1940" s="75" t="s">
        <v>101</v>
      </c>
    </row>
    <row r="1941" spans="1:6" x14ac:dyDescent="0.3">
      <c r="A1941" s="75" t="s">
        <v>5410</v>
      </c>
      <c r="B1941" s="75" t="s">
        <v>5411</v>
      </c>
      <c r="C1941" s="75" t="s">
        <v>5412</v>
      </c>
      <c r="D1941" s="75">
        <v>1994</v>
      </c>
      <c r="E1941" s="75" t="s">
        <v>31</v>
      </c>
      <c r="F1941" s="75" t="s">
        <v>40</v>
      </c>
    </row>
    <row r="1942" spans="1:6" x14ac:dyDescent="0.3">
      <c r="A1942" s="75" t="s">
        <v>5413</v>
      </c>
      <c r="B1942" s="75" t="s">
        <v>5411</v>
      </c>
      <c r="C1942" s="75" t="s">
        <v>13</v>
      </c>
      <c r="D1942" s="75" t="s">
        <v>13</v>
      </c>
      <c r="E1942" s="75" t="s">
        <v>31</v>
      </c>
      <c r="F1942" s="75" t="s">
        <v>40</v>
      </c>
    </row>
    <row r="1943" spans="1:6" x14ac:dyDescent="0.3">
      <c r="A1943" s="75" t="s">
        <v>5414</v>
      </c>
      <c r="B1943" s="75" t="s">
        <v>5415</v>
      </c>
      <c r="C1943" s="75" t="s">
        <v>5416</v>
      </c>
      <c r="D1943" s="75" t="s">
        <v>13</v>
      </c>
      <c r="E1943" s="75" t="s">
        <v>31</v>
      </c>
      <c r="F1943" s="75" t="s">
        <v>798</v>
      </c>
    </row>
    <row r="1944" spans="1:6" x14ac:dyDescent="0.3">
      <c r="A1944" s="75" t="s">
        <v>5417</v>
      </c>
      <c r="B1944" s="75" t="s">
        <v>5418</v>
      </c>
      <c r="C1944" s="75" t="s">
        <v>5419</v>
      </c>
      <c r="D1944" s="75" t="s">
        <v>13</v>
      </c>
      <c r="E1944" s="75" t="s">
        <v>31</v>
      </c>
      <c r="F1944" s="75" t="s">
        <v>291</v>
      </c>
    </row>
    <row r="1945" spans="1:6" x14ac:dyDescent="0.3">
      <c r="A1945" s="75" t="s">
        <v>5420</v>
      </c>
      <c r="B1945" s="75" t="s">
        <v>5421</v>
      </c>
      <c r="C1945" s="75" t="s">
        <v>4055</v>
      </c>
      <c r="D1945" s="75">
        <v>1999</v>
      </c>
      <c r="E1945" s="75" t="s">
        <v>53</v>
      </c>
      <c r="F1945" s="75" t="s">
        <v>63</v>
      </c>
    </row>
    <row r="1946" spans="1:6" x14ac:dyDescent="0.3">
      <c r="A1946" s="75" t="s">
        <v>5422</v>
      </c>
      <c r="B1946" s="75" t="s">
        <v>5423</v>
      </c>
      <c r="C1946" s="75" t="s">
        <v>5424</v>
      </c>
      <c r="D1946" s="75" t="s">
        <v>13</v>
      </c>
      <c r="E1946" s="75" t="s">
        <v>8</v>
      </c>
      <c r="F1946" s="75" t="s">
        <v>1261</v>
      </c>
    </row>
    <row r="1947" spans="1:6" x14ac:dyDescent="0.3">
      <c r="A1947" s="75" t="s">
        <v>5425</v>
      </c>
      <c r="B1947" s="75" t="s">
        <v>5426</v>
      </c>
      <c r="C1947" s="75" t="s">
        <v>1238</v>
      </c>
      <c r="D1947" s="75">
        <v>1994</v>
      </c>
      <c r="E1947" s="75" t="s">
        <v>53</v>
      </c>
      <c r="F1947" s="75" t="s">
        <v>519</v>
      </c>
    </row>
    <row r="1948" spans="1:6" x14ac:dyDescent="0.3">
      <c r="A1948" s="75" t="s">
        <v>5427</v>
      </c>
      <c r="B1948" s="75" t="s">
        <v>5428</v>
      </c>
      <c r="C1948" s="75" t="s">
        <v>5429</v>
      </c>
      <c r="D1948" s="75">
        <v>2014</v>
      </c>
      <c r="E1948" s="75" t="s">
        <v>31</v>
      </c>
      <c r="F1948" s="75" t="s">
        <v>36</v>
      </c>
    </row>
    <row r="1949" spans="1:6" x14ac:dyDescent="0.3">
      <c r="A1949" s="75" t="s">
        <v>5430</v>
      </c>
      <c r="B1949" s="75" t="s">
        <v>5431</v>
      </c>
      <c r="C1949" s="75" t="s">
        <v>5432</v>
      </c>
      <c r="D1949" s="75">
        <v>2017</v>
      </c>
      <c r="E1949" s="75" t="s">
        <v>8</v>
      </c>
      <c r="F1949" s="75" t="s">
        <v>76</v>
      </c>
    </row>
    <row r="1950" spans="1:6" x14ac:dyDescent="0.3">
      <c r="A1950" s="75" t="s">
        <v>5433</v>
      </c>
      <c r="B1950" s="75" t="s">
        <v>5431</v>
      </c>
      <c r="C1950" s="75" t="s">
        <v>13</v>
      </c>
      <c r="D1950" s="75">
        <v>2017</v>
      </c>
      <c r="E1950" s="75" t="s">
        <v>8</v>
      </c>
      <c r="F1950" s="75" t="s">
        <v>76</v>
      </c>
    </row>
    <row r="1951" spans="1:6" x14ac:dyDescent="0.3">
      <c r="A1951" s="75" t="s">
        <v>5434</v>
      </c>
      <c r="B1951" s="75" t="s">
        <v>5431</v>
      </c>
      <c r="C1951" s="75" t="s">
        <v>13</v>
      </c>
      <c r="D1951" s="75">
        <v>2017</v>
      </c>
      <c r="E1951" s="75" t="s">
        <v>8</v>
      </c>
      <c r="F1951" s="75" t="s">
        <v>76</v>
      </c>
    </row>
    <row r="1952" spans="1:6" x14ac:dyDescent="0.3">
      <c r="A1952" s="75" t="s">
        <v>5435</v>
      </c>
      <c r="B1952" s="75" t="s">
        <v>5431</v>
      </c>
      <c r="C1952" s="75" t="s">
        <v>13</v>
      </c>
      <c r="D1952" s="75">
        <v>2017</v>
      </c>
      <c r="E1952" s="75" t="s">
        <v>8</v>
      </c>
      <c r="F1952" s="75" t="s">
        <v>76</v>
      </c>
    </row>
    <row r="1953" spans="1:6" x14ac:dyDescent="0.3">
      <c r="A1953" s="75" t="s">
        <v>5436</v>
      </c>
      <c r="B1953" s="75" t="s">
        <v>5437</v>
      </c>
      <c r="C1953" s="75" t="s">
        <v>5438</v>
      </c>
      <c r="D1953" s="75" t="s">
        <v>13</v>
      </c>
      <c r="E1953" s="75" t="s">
        <v>96</v>
      </c>
      <c r="F1953" s="75" t="s">
        <v>76</v>
      </c>
    </row>
    <row r="1954" spans="1:6" x14ac:dyDescent="0.3">
      <c r="A1954" s="75" t="s">
        <v>5439</v>
      </c>
      <c r="B1954" s="75" t="s">
        <v>5440</v>
      </c>
      <c r="C1954" s="75" t="s">
        <v>5441</v>
      </c>
      <c r="D1954" s="75" t="s">
        <v>13</v>
      </c>
      <c r="E1954" s="75" t="s">
        <v>70</v>
      </c>
      <c r="F1954" s="75" t="s">
        <v>71</v>
      </c>
    </row>
    <row r="1955" spans="1:6" x14ac:dyDescent="0.3">
      <c r="A1955" s="75" t="s">
        <v>5442</v>
      </c>
      <c r="B1955" s="75" t="s">
        <v>5443</v>
      </c>
      <c r="C1955" s="75" t="s">
        <v>5444</v>
      </c>
      <c r="D1955" s="75">
        <v>2016</v>
      </c>
      <c r="E1955" s="75" t="s">
        <v>70</v>
      </c>
      <c r="F1955" s="75" t="s">
        <v>71</v>
      </c>
    </row>
    <row r="1956" spans="1:6" x14ac:dyDescent="0.3">
      <c r="A1956" s="75" t="s">
        <v>5445</v>
      </c>
      <c r="B1956" s="75" t="s">
        <v>5446</v>
      </c>
      <c r="C1956" s="75" t="s">
        <v>5447</v>
      </c>
      <c r="D1956" s="75">
        <v>2004</v>
      </c>
      <c r="E1956" s="75" t="s">
        <v>70</v>
      </c>
      <c r="F1956" s="75" t="s">
        <v>118</v>
      </c>
    </row>
    <row r="1957" spans="1:6" x14ac:dyDescent="0.3">
      <c r="A1957" s="75" t="s">
        <v>5448</v>
      </c>
      <c r="B1957" s="75" t="s">
        <v>5449</v>
      </c>
      <c r="C1957" s="75" t="s">
        <v>5450</v>
      </c>
      <c r="D1957" s="75">
        <v>2014</v>
      </c>
      <c r="E1957" s="75" t="s">
        <v>31</v>
      </c>
      <c r="F1957" s="75" t="s">
        <v>36</v>
      </c>
    </row>
    <row r="1958" spans="1:6" x14ac:dyDescent="0.3">
      <c r="A1958" s="75" t="s">
        <v>5451</v>
      </c>
      <c r="B1958" s="75" t="s">
        <v>5452</v>
      </c>
      <c r="C1958" s="75" t="s">
        <v>5453</v>
      </c>
      <c r="D1958" s="75">
        <v>1993</v>
      </c>
      <c r="E1958" s="75" t="s">
        <v>18</v>
      </c>
      <c r="F1958" s="75" t="s">
        <v>1361</v>
      </c>
    </row>
    <row r="1959" spans="1:6" x14ac:dyDescent="0.3">
      <c r="A1959" s="75" t="s">
        <v>5454</v>
      </c>
      <c r="B1959" s="75" t="s">
        <v>5455</v>
      </c>
      <c r="C1959" s="75" t="s">
        <v>5456</v>
      </c>
      <c r="D1959" s="75" t="s">
        <v>13</v>
      </c>
      <c r="E1959" s="75" t="s">
        <v>348</v>
      </c>
      <c r="F1959" s="75" t="s">
        <v>1219</v>
      </c>
    </row>
    <row r="1960" spans="1:6" x14ac:dyDescent="0.3">
      <c r="A1960" s="75" t="s">
        <v>5457</v>
      </c>
      <c r="B1960" s="75" t="s">
        <v>5458</v>
      </c>
      <c r="C1960" s="75" t="s">
        <v>5459</v>
      </c>
      <c r="D1960" s="75" t="s">
        <v>13</v>
      </c>
      <c r="E1960" s="75" t="s">
        <v>96</v>
      </c>
      <c r="F1960" s="75" t="s">
        <v>76</v>
      </c>
    </row>
    <row r="1961" spans="1:6" x14ac:dyDescent="0.3">
      <c r="A1961" s="75" t="s">
        <v>5460</v>
      </c>
      <c r="B1961" s="75" t="s">
        <v>5461</v>
      </c>
      <c r="C1961" s="75" t="s">
        <v>1163</v>
      </c>
      <c r="D1961" s="75">
        <v>2004</v>
      </c>
      <c r="E1961" s="75" t="s">
        <v>31</v>
      </c>
      <c r="F1961" s="75" t="s">
        <v>92</v>
      </c>
    </row>
    <row r="1962" spans="1:6" x14ac:dyDescent="0.3">
      <c r="A1962" s="75" t="s">
        <v>5462</v>
      </c>
      <c r="B1962" s="75" t="s">
        <v>5463</v>
      </c>
      <c r="C1962" s="75" t="s">
        <v>5464</v>
      </c>
      <c r="D1962" s="75">
        <v>2007</v>
      </c>
      <c r="E1962" s="75" t="s">
        <v>31</v>
      </c>
      <c r="F1962" s="75" t="s">
        <v>161</v>
      </c>
    </row>
    <row r="1963" spans="1:6" x14ac:dyDescent="0.3">
      <c r="A1963" s="75" t="s">
        <v>5465</v>
      </c>
      <c r="B1963" s="75" t="s">
        <v>5466</v>
      </c>
      <c r="C1963" s="75" t="s">
        <v>3379</v>
      </c>
      <c r="D1963" s="75">
        <v>1991</v>
      </c>
      <c r="E1963" s="75" t="s">
        <v>18</v>
      </c>
      <c r="F1963" s="75" t="s">
        <v>527</v>
      </c>
    </row>
    <row r="1964" spans="1:6" x14ac:dyDescent="0.3">
      <c r="A1964" s="75" t="s">
        <v>5467</v>
      </c>
      <c r="B1964" s="75" t="s">
        <v>5468</v>
      </c>
      <c r="C1964" s="75" t="s">
        <v>5469</v>
      </c>
      <c r="D1964" s="75">
        <v>2012</v>
      </c>
      <c r="E1964" s="75" t="s">
        <v>13</v>
      </c>
      <c r="F1964" s="75" t="s">
        <v>13</v>
      </c>
    </row>
    <row r="1965" spans="1:6" x14ac:dyDescent="0.3">
      <c r="A1965" s="75" t="s">
        <v>5470</v>
      </c>
      <c r="B1965" s="75" t="s">
        <v>5471</v>
      </c>
      <c r="C1965" s="75" t="s">
        <v>5472</v>
      </c>
      <c r="D1965" s="75" t="s">
        <v>13</v>
      </c>
      <c r="E1965" s="75" t="s">
        <v>348</v>
      </c>
      <c r="F1965" s="75" t="s">
        <v>1598</v>
      </c>
    </row>
    <row r="1966" spans="1:6" x14ac:dyDescent="0.3">
      <c r="A1966" s="75" t="s">
        <v>5473</v>
      </c>
      <c r="B1966" s="75" t="s">
        <v>5474</v>
      </c>
      <c r="C1966" s="75" t="s">
        <v>5475</v>
      </c>
      <c r="D1966" s="75">
        <v>2016</v>
      </c>
      <c r="E1966" s="75" t="s">
        <v>31</v>
      </c>
      <c r="F1966" s="75" t="s">
        <v>1427</v>
      </c>
    </row>
    <row r="1967" spans="1:6" x14ac:dyDescent="0.3">
      <c r="A1967" s="75" t="s">
        <v>5476</v>
      </c>
      <c r="B1967" s="75" t="s">
        <v>5474</v>
      </c>
      <c r="C1967" s="75" t="s">
        <v>13</v>
      </c>
      <c r="D1967" s="75">
        <v>2016</v>
      </c>
      <c r="E1967" s="75" t="s">
        <v>31</v>
      </c>
      <c r="F1967" s="75" t="s">
        <v>1427</v>
      </c>
    </row>
    <row r="1968" spans="1:6" x14ac:dyDescent="0.3">
      <c r="A1968" s="75" t="s">
        <v>5477</v>
      </c>
      <c r="B1968" s="75" t="s">
        <v>5478</v>
      </c>
      <c r="C1968" s="75" t="s">
        <v>5479</v>
      </c>
      <c r="D1968" s="75">
        <v>2005</v>
      </c>
      <c r="E1968" s="75" t="s">
        <v>8</v>
      </c>
      <c r="F1968" s="75" t="s">
        <v>2382</v>
      </c>
    </row>
    <row r="1969" spans="1:6" x14ac:dyDescent="0.3">
      <c r="A1969" s="75" t="s">
        <v>5480</v>
      </c>
      <c r="B1969" s="75" t="s">
        <v>5481</v>
      </c>
      <c r="C1969" s="75" t="s">
        <v>5482</v>
      </c>
      <c r="D1969" s="75">
        <v>2001</v>
      </c>
      <c r="E1969" s="75" t="s">
        <v>31</v>
      </c>
      <c r="F1969" s="75" t="s">
        <v>92</v>
      </c>
    </row>
    <row r="1970" spans="1:6" x14ac:dyDescent="0.3">
      <c r="A1970" s="75" t="s">
        <v>5483</v>
      </c>
      <c r="B1970" s="75" t="s">
        <v>5484</v>
      </c>
      <c r="C1970" s="75" t="s">
        <v>5485</v>
      </c>
      <c r="D1970" s="75">
        <v>2016</v>
      </c>
      <c r="E1970" s="75" t="s">
        <v>70</v>
      </c>
      <c r="F1970" s="75" t="s">
        <v>71</v>
      </c>
    </row>
    <row r="1971" spans="1:6" x14ac:dyDescent="0.3">
      <c r="A1971" s="75" t="s">
        <v>5486</v>
      </c>
      <c r="B1971" s="75" t="s">
        <v>5484</v>
      </c>
      <c r="C1971" s="75" t="s">
        <v>13</v>
      </c>
      <c r="D1971" s="75">
        <v>2016</v>
      </c>
      <c r="E1971" s="75" t="s">
        <v>70</v>
      </c>
      <c r="F1971" s="75" t="s">
        <v>71</v>
      </c>
    </row>
    <row r="1972" spans="1:6" x14ac:dyDescent="0.3">
      <c r="A1972" s="75" t="s">
        <v>5487</v>
      </c>
      <c r="B1972" s="75" t="s">
        <v>5488</v>
      </c>
      <c r="C1972" s="75" t="s">
        <v>5489</v>
      </c>
      <c r="D1972" s="75" t="s">
        <v>13</v>
      </c>
      <c r="E1972" s="75" t="s">
        <v>53</v>
      </c>
      <c r="F1972" s="75" t="s">
        <v>193</v>
      </c>
    </row>
    <row r="1973" spans="1:6" x14ac:dyDescent="0.3">
      <c r="A1973" s="75" t="s">
        <v>5490</v>
      </c>
      <c r="B1973" s="75" t="s">
        <v>5491</v>
      </c>
      <c r="C1973" s="75" t="s">
        <v>5492</v>
      </c>
      <c r="D1973" s="75" t="s">
        <v>13</v>
      </c>
      <c r="E1973" s="75" t="s">
        <v>58</v>
      </c>
      <c r="F1973" s="75" t="s">
        <v>1773</v>
      </c>
    </row>
    <row r="1974" spans="1:6" x14ac:dyDescent="0.3">
      <c r="A1974" s="75" t="s">
        <v>5493</v>
      </c>
      <c r="B1974" s="75" t="s">
        <v>5494</v>
      </c>
      <c r="C1974" s="75" t="s">
        <v>5495</v>
      </c>
      <c r="D1974" s="75" t="s">
        <v>13</v>
      </c>
      <c r="E1974" s="75" t="s">
        <v>31</v>
      </c>
      <c r="F1974" s="75" t="s">
        <v>32</v>
      </c>
    </row>
    <row r="1975" spans="1:6" x14ac:dyDescent="0.3">
      <c r="A1975" s="75" t="s">
        <v>5496</v>
      </c>
      <c r="B1975" s="75" t="s">
        <v>5497</v>
      </c>
      <c r="C1975" s="75" t="s">
        <v>5498</v>
      </c>
      <c r="D1975" s="75">
        <v>1992</v>
      </c>
      <c r="E1975" s="75" t="s">
        <v>31</v>
      </c>
      <c r="F1975" s="75" t="s">
        <v>92</v>
      </c>
    </row>
    <row r="1976" spans="1:6" x14ac:dyDescent="0.3">
      <c r="A1976" s="75" t="s">
        <v>5499</v>
      </c>
      <c r="B1976" s="75" t="s">
        <v>5500</v>
      </c>
      <c r="C1976" s="75" t="s">
        <v>5501</v>
      </c>
      <c r="D1976" s="75" t="s">
        <v>13</v>
      </c>
      <c r="E1976" s="75" t="s">
        <v>8</v>
      </c>
      <c r="F1976" s="75" t="s">
        <v>23</v>
      </c>
    </row>
    <row r="1977" spans="1:6" x14ac:dyDescent="0.3">
      <c r="A1977" s="75" t="s">
        <v>5502</v>
      </c>
      <c r="B1977" s="75" t="s">
        <v>5503</v>
      </c>
      <c r="C1977" s="75" t="s">
        <v>5504</v>
      </c>
      <c r="D1977" s="75">
        <v>2015</v>
      </c>
      <c r="E1977" s="75" t="s">
        <v>18</v>
      </c>
      <c r="F1977" s="75" t="s">
        <v>379</v>
      </c>
    </row>
    <row r="1978" spans="1:6" x14ac:dyDescent="0.3">
      <c r="A1978" s="75" t="s">
        <v>5505</v>
      </c>
      <c r="B1978" s="75" t="s">
        <v>5506</v>
      </c>
      <c r="C1978" s="75" t="s">
        <v>5507</v>
      </c>
      <c r="D1978" s="75">
        <v>2011</v>
      </c>
      <c r="E1978" s="75" t="s">
        <v>18</v>
      </c>
      <c r="F1978" s="75" t="s">
        <v>266</v>
      </c>
    </row>
    <row r="1979" spans="1:6" x14ac:dyDescent="0.3">
      <c r="A1979" s="75" t="s">
        <v>5508</v>
      </c>
      <c r="B1979" s="75" t="s">
        <v>5506</v>
      </c>
      <c r="C1979" s="75" t="s">
        <v>5509</v>
      </c>
      <c r="D1979" s="75" t="s">
        <v>13</v>
      </c>
      <c r="E1979" s="75" t="s">
        <v>18</v>
      </c>
      <c r="F1979" s="75" t="s">
        <v>266</v>
      </c>
    </row>
    <row r="1980" spans="1:6" x14ac:dyDescent="0.3">
      <c r="A1980" s="75" t="s">
        <v>5510</v>
      </c>
      <c r="B1980" s="75" t="s">
        <v>5511</v>
      </c>
      <c r="C1980" s="75" t="s">
        <v>5512</v>
      </c>
      <c r="D1980" s="75" t="s">
        <v>13</v>
      </c>
      <c r="E1980" s="75" t="s">
        <v>53</v>
      </c>
      <c r="F1980" s="75" t="s">
        <v>63</v>
      </c>
    </row>
    <row r="1981" spans="1:6" x14ac:dyDescent="0.3">
      <c r="A1981" s="75" t="s">
        <v>5513</v>
      </c>
      <c r="B1981" s="75" t="s">
        <v>5514</v>
      </c>
      <c r="C1981" s="75" t="s">
        <v>643</v>
      </c>
      <c r="D1981" s="75">
        <v>1987</v>
      </c>
      <c r="E1981" s="75" t="s">
        <v>96</v>
      </c>
      <c r="F1981" s="75" t="s">
        <v>1420</v>
      </c>
    </row>
    <row r="1982" spans="1:6" x14ac:dyDescent="0.3">
      <c r="A1982" s="75" t="s">
        <v>5515</v>
      </c>
      <c r="B1982" s="75" t="s">
        <v>5516</v>
      </c>
      <c r="C1982" s="75" t="s">
        <v>5517</v>
      </c>
      <c r="D1982" s="75" t="s">
        <v>13</v>
      </c>
      <c r="E1982" s="75" t="s">
        <v>8</v>
      </c>
      <c r="F1982" s="75" t="s">
        <v>27</v>
      </c>
    </row>
    <row r="1983" spans="1:6" x14ac:dyDescent="0.3">
      <c r="A1983" s="75" t="s">
        <v>5518</v>
      </c>
      <c r="B1983" s="75" t="s">
        <v>5519</v>
      </c>
      <c r="C1983" s="75" t="s">
        <v>5520</v>
      </c>
      <c r="D1983" s="75" t="s">
        <v>13</v>
      </c>
      <c r="E1983" s="75" t="s">
        <v>31</v>
      </c>
      <c r="F1983" s="75" t="s">
        <v>36</v>
      </c>
    </row>
    <row r="1984" spans="1:6" x14ac:dyDescent="0.3">
      <c r="A1984" s="75" t="s">
        <v>5521</v>
      </c>
      <c r="B1984" s="75" t="s">
        <v>5522</v>
      </c>
      <c r="C1984" s="75" t="s">
        <v>5523</v>
      </c>
      <c r="D1984" s="75" t="s">
        <v>13</v>
      </c>
      <c r="E1984" s="75" t="s">
        <v>70</v>
      </c>
      <c r="F1984" s="75" t="s">
        <v>71</v>
      </c>
    </row>
    <row r="1985" spans="1:6" x14ac:dyDescent="0.3">
      <c r="A1985" s="75" t="s">
        <v>5524</v>
      </c>
      <c r="B1985" s="75" t="s">
        <v>5525</v>
      </c>
      <c r="C1985" s="75" t="s">
        <v>5526</v>
      </c>
      <c r="D1985" s="75" t="s">
        <v>13</v>
      </c>
      <c r="E1985" s="75" t="s">
        <v>70</v>
      </c>
      <c r="F1985" s="75" t="s">
        <v>1375</v>
      </c>
    </row>
    <row r="1986" spans="1:6" x14ac:dyDescent="0.3">
      <c r="A1986" s="75" t="s">
        <v>5527</v>
      </c>
      <c r="B1986" s="75" t="s">
        <v>5525</v>
      </c>
      <c r="C1986" s="75" t="s">
        <v>13</v>
      </c>
      <c r="D1986" s="75" t="s">
        <v>13</v>
      </c>
      <c r="E1986" s="75" t="s">
        <v>70</v>
      </c>
      <c r="F1986" s="75" t="s">
        <v>1375</v>
      </c>
    </row>
    <row r="1987" spans="1:6" x14ac:dyDescent="0.3">
      <c r="A1987" s="75" t="s">
        <v>5528</v>
      </c>
      <c r="B1987" s="75" t="s">
        <v>5529</v>
      </c>
      <c r="C1987" s="75" t="s">
        <v>43</v>
      </c>
      <c r="D1987" s="75">
        <v>2015</v>
      </c>
      <c r="E1987" s="75" t="s">
        <v>70</v>
      </c>
      <c r="F1987" s="75" t="s">
        <v>71</v>
      </c>
    </row>
    <row r="1988" spans="1:6" x14ac:dyDescent="0.3">
      <c r="A1988" s="75" t="s">
        <v>5530</v>
      </c>
      <c r="B1988" s="75" t="s">
        <v>5531</v>
      </c>
      <c r="C1988" s="75" t="s">
        <v>5532</v>
      </c>
      <c r="D1988" s="75" t="s">
        <v>13</v>
      </c>
      <c r="E1988" s="75" t="s">
        <v>70</v>
      </c>
      <c r="F1988" s="75" t="s">
        <v>71</v>
      </c>
    </row>
    <row r="1989" spans="1:6" x14ac:dyDescent="0.3">
      <c r="A1989" s="75" t="s">
        <v>5533</v>
      </c>
      <c r="B1989" s="75" t="s">
        <v>5534</v>
      </c>
      <c r="C1989" s="75" t="s">
        <v>5535</v>
      </c>
      <c r="D1989" s="75" t="s">
        <v>13</v>
      </c>
      <c r="E1989" s="75" t="s">
        <v>58</v>
      </c>
      <c r="F1989" s="75" t="s">
        <v>222</v>
      </c>
    </row>
    <row r="1990" spans="1:6" x14ac:dyDescent="0.3">
      <c r="A1990" s="75" t="s">
        <v>5536</v>
      </c>
      <c r="B1990" s="75" t="s">
        <v>5537</v>
      </c>
      <c r="C1990" s="75" t="s">
        <v>2991</v>
      </c>
      <c r="D1990" s="75">
        <v>1995</v>
      </c>
      <c r="E1990" s="75" t="s">
        <v>70</v>
      </c>
      <c r="F1990" s="75" t="s">
        <v>137</v>
      </c>
    </row>
    <row r="1991" spans="1:6" x14ac:dyDescent="0.3">
      <c r="A1991" s="75" t="s">
        <v>5538</v>
      </c>
      <c r="B1991" s="75" t="s">
        <v>5539</v>
      </c>
      <c r="C1991" s="75" t="s">
        <v>5540</v>
      </c>
      <c r="D1991" s="75">
        <v>2015</v>
      </c>
      <c r="E1991" s="75" t="s">
        <v>70</v>
      </c>
      <c r="F1991" s="75" t="s">
        <v>71</v>
      </c>
    </row>
    <row r="1992" spans="1:6" x14ac:dyDescent="0.3">
      <c r="A1992" s="75" t="s">
        <v>5541</v>
      </c>
      <c r="B1992" s="75" t="s">
        <v>5542</v>
      </c>
      <c r="C1992" s="75" t="s">
        <v>5543</v>
      </c>
      <c r="D1992" s="75" t="s">
        <v>13</v>
      </c>
      <c r="E1992" s="75" t="s">
        <v>348</v>
      </c>
      <c r="F1992" s="75" t="s">
        <v>1059</v>
      </c>
    </row>
    <row r="1993" spans="1:6" x14ac:dyDescent="0.3">
      <c r="A1993" s="75" t="s">
        <v>5544</v>
      </c>
      <c r="B1993" s="75" t="s">
        <v>5545</v>
      </c>
      <c r="C1993" s="75" t="s">
        <v>5546</v>
      </c>
      <c r="D1993" s="75" t="s">
        <v>13</v>
      </c>
      <c r="E1993" s="75" t="s">
        <v>31</v>
      </c>
      <c r="F1993" s="75" t="s">
        <v>229</v>
      </c>
    </row>
    <row r="1994" spans="1:6" x14ac:dyDescent="0.3">
      <c r="A1994" s="75" t="s">
        <v>5547</v>
      </c>
      <c r="B1994" s="75" t="s">
        <v>5548</v>
      </c>
      <c r="C1994" s="75" t="s">
        <v>5549</v>
      </c>
      <c r="D1994" s="75">
        <v>1984</v>
      </c>
      <c r="E1994" s="75" t="s">
        <v>53</v>
      </c>
      <c r="F1994" s="75" t="s">
        <v>63</v>
      </c>
    </row>
    <row r="1995" spans="1:6" x14ac:dyDescent="0.3">
      <c r="A1995" s="75" t="s">
        <v>5550</v>
      </c>
      <c r="B1995" s="75" t="s">
        <v>5551</v>
      </c>
      <c r="C1995" s="75" t="s">
        <v>5552</v>
      </c>
      <c r="D1995" s="75">
        <v>2013</v>
      </c>
      <c r="E1995" s="75" t="s">
        <v>70</v>
      </c>
      <c r="F1995" s="75" t="s">
        <v>118</v>
      </c>
    </row>
    <row r="1996" spans="1:6" x14ac:dyDescent="0.3">
      <c r="A1996" s="75" t="s">
        <v>5553</v>
      </c>
      <c r="B1996" s="75" t="s">
        <v>5554</v>
      </c>
      <c r="C1996" s="75" t="s">
        <v>5555</v>
      </c>
      <c r="D1996" s="75">
        <v>2016</v>
      </c>
      <c r="E1996" s="75" t="s">
        <v>31</v>
      </c>
      <c r="F1996" s="75" t="s">
        <v>161</v>
      </c>
    </row>
    <row r="1997" spans="1:6" x14ac:dyDescent="0.3">
      <c r="A1997" s="75" t="s">
        <v>5556</v>
      </c>
      <c r="B1997" s="75" t="s">
        <v>5557</v>
      </c>
      <c r="C1997" s="75" t="s">
        <v>5558</v>
      </c>
      <c r="D1997" s="75">
        <v>2015</v>
      </c>
      <c r="E1997" s="75" t="s">
        <v>70</v>
      </c>
      <c r="F1997" s="75" t="s">
        <v>118</v>
      </c>
    </row>
    <row r="1998" spans="1:6" x14ac:dyDescent="0.3">
      <c r="A1998" s="75" t="s">
        <v>5559</v>
      </c>
      <c r="B1998" s="75" t="s">
        <v>5560</v>
      </c>
      <c r="C1998" s="75" t="s">
        <v>5561</v>
      </c>
      <c r="D1998" s="75" t="s">
        <v>13</v>
      </c>
      <c r="E1998" s="75" t="s">
        <v>518</v>
      </c>
      <c r="F1998" s="75" t="s">
        <v>49</v>
      </c>
    </row>
    <row r="1999" spans="1:6" x14ac:dyDescent="0.3">
      <c r="A1999" s="75" t="s">
        <v>5562</v>
      </c>
      <c r="B1999" s="75" t="s">
        <v>5563</v>
      </c>
      <c r="C1999" s="75" t="s">
        <v>5564</v>
      </c>
      <c r="D1999" s="75" t="s">
        <v>13</v>
      </c>
      <c r="E1999" s="75" t="s">
        <v>8</v>
      </c>
      <c r="F1999" s="75" t="s">
        <v>1093</v>
      </c>
    </row>
    <row r="2000" spans="1:6" x14ac:dyDescent="0.3">
      <c r="A2000" s="75" t="s">
        <v>5565</v>
      </c>
      <c r="B2000" s="75" t="s">
        <v>5566</v>
      </c>
      <c r="C2000" s="75" t="s">
        <v>5567</v>
      </c>
      <c r="D2000" s="75">
        <v>2015</v>
      </c>
      <c r="E2000" s="75" t="s">
        <v>70</v>
      </c>
      <c r="F2000" s="75" t="s">
        <v>101</v>
      </c>
    </row>
    <row r="2001" spans="1:6" x14ac:dyDescent="0.3">
      <c r="A2001" s="75" t="s">
        <v>5568</v>
      </c>
      <c r="B2001" s="75" t="s">
        <v>5569</v>
      </c>
      <c r="C2001" s="75" t="s">
        <v>5570</v>
      </c>
      <c r="D2001" s="75">
        <v>1993</v>
      </c>
      <c r="E2001" s="75" t="s">
        <v>18</v>
      </c>
      <c r="F2001" s="75" t="s">
        <v>729</v>
      </c>
    </row>
    <row r="2002" spans="1:6" x14ac:dyDescent="0.3">
      <c r="A2002" s="75" t="s">
        <v>5571</v>
      </c>
      <c r="B2002" s="75" t="s">
        <v>5572</v>
      </c>
      <c r="C2002" s="75" t="s">
        <v>5573</v>
      </c>
      <c r="D2002" s="75" t="s">
        <v>13</v>
      </c>
      <c r="E2002" s="75" t="s">
        <v>18</v>
      </c>
      <c r="F2002" s="75" t="s">
        <v>434</v>
      </c>
    </row>
    <row r="2003" spans="1:6" x14ac:dyDescent="0.3">
      <c r="A2003" s="75" t="s">
        <v>5574</v>
      </c>
      <c r="B2003" s="75" t="s">
        <v>5575</v>
      </c>
      <c r="C2003" s="75" t="s">
        <v>5576</v>
      </c>
      <c r="D2003" s="75" t="s">
        <v>13</v>
      </c>
      <c r="E2003" s="75" t="s">
        <v>8</v>
      </c>
      <c r="F2003" s="75" t="s">
        <v>27</v>
      </c>
    </row>
    <row r="2004" spans="1:6" x14ac:dyDescent="0.3">
      <c r="A2004" s="75" t="s">
        <v>5577</v>
      </c>
      <c r="B2004" s="75" t="s">
        <v>5578</v>
      </c>
      <c r="C2004" s="75" t="s">
        <v>2263</v>
      </c>
      <c r="D2004" s="75" t="s">
        <v>13</v>
      </c>
      <c r="E2004" s="75" t="s">
        <v>348</v>
      </c>
      <c r="F2004" s="75" t="s">
        <v>1598</v>
      </c>
    </row>
    <row r="2005" spans="1:6" x14ac:dyDescent="0.3">
      <c r="A2005" s="75" t="s">
        <v>5579</v>
      </c>
      <c r="B2005" s="75" t="s">
        <v>5580</v>
      </c>
      <c r="C2005" s="75" t="s">
        <v>5581</v>
      </c>
      <c r="D2005" s="75">
        <v>2007</v>
      </c>
      <c r="E2005" s="75" t="s">
        <v>18</v>
      </c>
      <c r="F2005" s="75" t="s">
        <v>295</v>
      </c>
    </row>
    <row r="2006" spans="1:6" x14ac:dyDescent="0.3">
      <c r="A2006" s="75" t="s">
        <v>5582</v>
      </c>
      <c r="B2006" s="75" t="s">
        <v>5583</v>
      </c>
      <c r="C2006" s="75" t="s">
        <v>5584</v>
      </c>
      <c r="D2006" s="75">
        <v>2015</v>
      </c>
      <c r="E2006" s="75" t="s">
        <v>8</v>
      </c>
      <c r="F2006" s="75" t="s">
        <v>27</v>
      </c>
    </row>
    <row r="2007" spans="1:6" x14ac:dyDescent="0.3">
      <c r="A2007" s="75" t="s">
        <v>5585</v>
      </c>
      <c r="B2007" s="75" t="s">
        <v>5586</v>
      </c>
      <c r="C2007" s="75" t="s">
        <v>5587</v>
      </c>
      <c r="D2007" s="75">
        <v>2017</v>
      </c>
      <c r="E2007" s="75" t="s">
        <v>8</v>
      </c>
      <c r="F2007" s="75" t="s">
        <v>76</v>
      </c>
    </row>
    <row r="2008" spans="1:6" x14ac:dyDescent="0.3">
      <c r="A2008" s="75" t="s">
        <v>5588</v>
      </c>
      <c r="B2008" s="75" t="s">
        <v>5586</v>
      </c>
      <c r="C2008" s="75" t="s">
        <v>13</v>
      </c>
      <c r="D2008" s="75">
        <v>2017</v>
      </c>
      <c r="E2008" s="75" t="s">
        <v>8</v>
      </c>
      <c r="F2008" s="75" t="s">
        <v>76</v>
      </c>
    </row>
    <row r="2009" spans="1:6" x14ac:dyDescent="0.3">
      <c r="A2009" s="75" t="s">
        <v>5589</v>
      </c>
      <c r="B2009" s="75" t="s">
        <v>5590</v>
      </c>
      <c r="C2009" s="75" t="s">
        <v>5591</v>
      </c>
      <c r="D2009" s="75" t="s">
        <v>13</v>
      </c>
      <c r="E2009" s="75" t="s">
        <v>8</v>
      </c>
      <c r="F2009" s="75" t="s">
        <v>9</v>
      </c>
    </row>
    <row r="2010" spans="1:6" x14ac:dyDescent="0.3">
      <c r="A2010" s="75" t="s">
        <v>5592</v>
      </c>
      <c r="B2010" s="75" t="s">
        <v>5590</v>
      </c>
      <c r="C2010" s="75" t="s">
        <v>13</v>
      </c>
      <c r="D2010" s="75" t="s">
        <v>13</v>
      </c>
      <c r="E2010" s="75" t="s">
        <v>8</v>
      </c>
      <c r="F2010" s="75" t="s">
        <v>9</v>
      </c>
    </row>
    <row r="2011" spans="1:6" x14ac:dyDescent="0.3">
      <c r="A2011" s="75" t="s">
        <v>5593</v>
      </c>
      <c r="B2011" s="75" t="s">
        <v>5590</v>
      </c>
      <c r="C2011" s="75" t="s">
        <v>13</v>
      </c>
      <c r="D2011" s="75" t="s">
        <v>13</v>
      </c>
      <c r="E2011" s="75" t="s">
        <v>8</v>
      </c>
      <c r="F2011" s="75" t="s">
        <v>9</v>
      </c>
    </row>
    <row r="2012" spans="1:6" x14ac:dyDescent="0.3">
      <c r="A2012" s="75" t="s">
        <v>5594</v>
      </c>
      <c r="B2012" s="75" t="s">
        <v>5590</v>
      </c>
      <c r="C2012" s="75" t="s">
        <v>5595</v>
      </c>
      <c r="D2012" s="75" t="s">
        <v>13</v>
      </c>
      <c r="E2012" s="75" t="s">
        <v>8</v>
      </c>
      <c r="F2012" s="75" t="s">
        <v>9</v>
      </c>
    </row>
    <row r="2013" spans="1:6" x14ac:dyDescent="0.3">
      <c r="A2013" s="75" t="s">
        <v>5596</v>
      </c>
      <c r="B2013" s="75" t="s">
        <v>5590</v>
      </c>
      <c r="C2013" s="75" t="s">
        <v>13</v>
      </c>
      <c r="D2013" s="75" t="s">
        <v>13</v>
      </c>
      <c r="E2013" s="75" t="s">
        <v>8</v>
      </c>
      <c r="F2013" s="75" t="s">
        <v>9</v>
      </c>
    </row>
    <row r="2014" spans="1:6" x14ac:dyDescent="0.3">
      <c r="A2014" s="75" t="s">
        <v>5597</v>
      </c>
      <c r="B2014" s="75" t="s">
        <v>5598</v>
      </c>
      <c r="C2014" s="75" t="s">
        <v>5599</v>
      </c>
      <c r="D2014" s="75" t="s">
        <v>13</v>
      </c>
      <c r="E2014" s="75" t="s">
        <v>8</v>
      </c>
      <c r="F2014" s="75" t="s">
        <v>1093</v>
      </c>
    </row>
    <row r="2015" spans="1:6" x14ac:dyDescent="0.3">
      <c r="A2015" s="75" t="s">
        <v>5600</v>
      </c>
      <c r="B2015" s="75" t="s">
        <v>5598</v>
      </c>
      <c r="C2015" s="75" t="s">
        <v>13</v>
      </c>
      <c r="D2015" s="75" t="s">
        <v>13</v>
      </c>
      <c r="E2015" s="75" t="s">
        <v>8</v>
      </c>
      <c r="F2015" s="75" t="s">
        <v>1093</v>
      </c>
    </row>
    <row r="2016" spans="1:6" x14ac:dyDescent="0.3">
      <c r="A2016" s="75" t="s">
        <v>5601</v>
      </c>
      <c r="B2016" s="75" t="s">
        <v>5602</v>
      </c>
      <c r="C2016" s="75" t="s">
        <v>5603</v>
      </c>
      <c r="D2016" s="75">
        <v>1995</v>
      </c>
      <c r="E2016" s="75" t="s">
        <v>31</v>
      </c>
      <c r="F2016" s="75" t="s">
        <v>36</v>
      </c>
    </row>
    <row r="2017" spans="1:6" x14ac:dyDescent="0.3">
      <c r="A2017" s="75" t="s">
        <v>5604</v>
      </c>
      <c r="B2017" s="75" t="s">
        <v>5605</v>
      </c>
      <c r="C2017" s="75" t="s">
        <v>5606</v>
      </c>
      <c r="D2017" s="75" t="s">
        <v>13</v>
      </c>
      <c r="E2017" s="75" t="s">
        <v>70</v>
      </c>
      <c r="F2017" s="75" t="s">
        <v>326</v>
      </c>
    </row>
    <row r="2018" spans="1:6" x14ac:dyDescent="0.3">
      <c r="A2018" s="75" t="s">
        <v>5607</v>
      </c>
      <c r="B2018" s="75" t="s">
        <v>5605</v>
      </c>
      <c r="C2018" s="75" t="s">
        <v>944</v>
      </c>
      <c r="D2018" s="75" t="s">
        <v>13</v>
      </c>
      <c r="E2018" s="75" t="s">
        <v>70</v>
      </c>
      <c r="F2018" s="75" t="s">
        <v>326</v>
      </c>
    </row>
    <row r="2019" spans="1:6" x14ac:dyDescent="0.3">
      <c r="A2019" s="75" t="s">
        <v>5608</v>
      </c>
      <c r="B2019" s="75" t="s">
        <v>5609</v>
      </c>
      <c r="C2019" s="75" t="s">
        <v>5610</v>
      </c>
      <c r="D2019" s="75" t="s">
        <v>13</v>
      </c>
      <c r="E2019" s="75" t="s">
        <v>8</v>
      </c>
      <c r="F2019" s="75" t="s">
        <v>497</v>
      </c>
    </row>
    <row r="2020" spans="1:6" x14ac:dyDescent="0.3">
      <c r="A2020" s="75" t="s">
        <v>5611</v>
      </c>
      <c r="B2020" s="75" t="s">
        <v>5612</v>
      </c>
      <c r="C2020" s="75" t="s">
        <v>110</v>
      </c>
      <c r="D2020" s="75" t="s">
        <v>13</v>
      </c>
      <c r="E2020" s="75" t="s">
        <v>8</v>
      </c>
      <c r="F2020" s="75" t="s">
        <v>497</v>
      </c>
    </row>
    <row r="2021" spans="1:6" x14ac:dyDescent="0.3">
      <c r="A2021" s="75" t="s">
        <v>5613</v>
      </c>
      <c r="B2021" s="75" t="s">
        <v>5614</v>
      </c>
      <c r="C2021" s="75" t="s">
        <v>5615</v>
      </c>
      <c r="D2021" s="75" t="s">
        <v>13</v>
      </c>
      <c r="E2021" s="75" t="s">
        <v>518</v>
      </c>
      <c r="F2021" s="75" t="s">
        <v>1762</v>
      </c>
    </row>
    <row r="2022" spans="1:6" x14ac:dyDescent="0.3">
      <c r="A2022" s="75" t="s">
        <v>5616</v>
      </c>
      <c r="B2022" s="75" t="s">
        <v>5617</v>
      </c>
      <c r="C2022" s="75" t="s">
        <v>5618</v>
      </c>
      <c r="D2022" s="75" t="s">
        <v>13</v>
      </c>
      <c r="E2022" s="75" t="s">
        <v>518</v>
      </c>
      <c r="F2022" s="75" t="s">
        <v>1624</v>
      </c>
    </row>
    <row r="2023" spans="1:6" x14ac:dyDescent="0.3">
      <c r="A2023" s="75" t="s">
        <v>5619</v>
      </c>
      <c r="B2023" s="75" t="s">
        <v>5620</v>
      </c>
      <c r="C2023" s="75" t="s">
        <v>5621</v>
      </c>
      <c r="D2023" s="75" t="s">
        <v>13</v>
      </c>
      <c r="E2023" s="75" t="s">
        <v>70</v>
      </c>
      <c r="F2023" s="75" t="s">
        <v>71</v>
      </c>
    </row>
    <row r="2024" spans="1:6" x14ac:dyDescent="0.3">
      <c r="A2024" s="75" t="s">
        <v>5622</v>
      </c>
      <c r="B2024" s="75" t="s">
        <v>5623</v>
      </c>
      <c r="C2024" s="75" t="s">
        <v>1313</v>
      </c>
      <c r="D2024" s="75">
        <v>2001</v>
      </c>
      <c r="E2024" s="75" t="s">
        <v>70</v>
      </c>
      <c r="F2024" s="75" t="s">
        <v>671</v>
      </c>
    </row>
    <row r="2025" spans="1:6" x14ac:dyDescent="0.3">
      <c r="A2025" s="75" t="s">
        <v>5624</v>
      </c>
      <c r="B2025" s="75" t="s">
        <v>5625</v>
      </c>
      <c r="C2025" s="75" t="s">
        <v>13</v>
      </c>
      <c r="D2025" s="75" t="s">
        <v>13</v>
      </c>
      <c r="E2025" s="75" t="s">
        <v>8</v>
      </c>
      <c r="F2025" s="75" t="s">
        <v>478</v>
      </c>
    </row>
    <row r="2026" spans="1:6" x14ac:dyDescent="0.3">
      <c r="A2026" s="75" t="s">
        <v>5626</v>
      </c>
      <c r="B2026" s="75" t="s">
        <v>5625</v>
      </c>
      <c r="C2026" s="75" t="s">
        <v>13</v>
      </c>
      <c r="D2026" s="75" t="s">
        <v>13</v>
      </c>
      <c r="E2026" s="75" t="s">
        <v>8</v>
      </c>
      <c r="F2026" s="75" t="s">
        <v>478</v>
      </c>
    </row>
    <row r="2027" spans="1:6" x14ac:dyDescent="0.3">
      <c r="A2027" s="75" t="s">
        <v>5627</v>
      </c>
      <c r="B2027" s="75" t="s">
        <v>5625</v>
      </c>
      <c r="C2027" s="75" t="s">
        <v>460</v>
      </c>
      <c r="D2027" s="75" t="s">
        <v>13</v>
      </c>
      <c r="E2027" s="75" t="s">
        <v>8</v>
      </c>
      <c r="F2027" s="75" t="s">
        <v>1093</v>
      </c>
    </row>
    <row r="2028" spans="1:6" x14ac:dyDescent="0.3">
      <c r="A2028" s="75" t="s">
        <v>5628</v>
      </c>
      <c r="B2028" s="75" t="s">
        <v>5629</v>
      </c>
      <c r="C2028" s="75" t="s">
        <v>3108</v>
      </c>
      <c r="D2028" s="75" t="s">
        <v>13</v>
      </c>
      <c r="E2028" s="75" t="s">
        <v>8</v>
      </c>
      <c r="F2028" s="75" t="s">
        <v>27</v>
      </c>
    </row>
    <row r="2029" spans="1:6" x14ac:dyDescent="0.3">
      <c r="A2029" s="75" t="s">
        <v>5630</v>
      </c>
      <c r="B2029" s="75" t="s">
        <v>5631</v>
      </c>
      <c r="C2029" s="75" t="s">
        <v>5632</v>
      </c>
      <c r="D2029" s="75">
        <v>2005</v>
      </c>
      <c r="E2029" s="75" t="s">
        <v>31</v>
      </c>
      <c r="F2029" s="75" t="s">
        <v>161</v>
      </c>
    </row>
    <row r="2030" spans="1:6" x14ac:dyDescent="0.3">
      <c r="A2030" s="75" t="s">
        <v>5633</v>
      </c>
      <c r="B2030" s="75" t="s">
        <v>5634</v>
      </c>
      <c r="C2030" s="75" t="s">
        <v>5635</v>
      </c>
      <c r="D2030" s="75">
        <v>2017</v>
      </c>
      <c r="E2030" s="75" t="s">
        <v>84</v>
      </c>
      <c r="F2030" s="75" t="s">
        <v>2197</v>
      </c>
    </row>
    <row r="2031" spans="1:6" x14ac:dyDescent="0.3">
      <c r="A2031" s="75" t="s">
        <v>5636</v>
      </c>
      <c r="B2031" s="75" t="s">
        <v>5637</v>
      </c>
      <c r="C2031" s="75" t="s">
        <v>4932</v>
      </c>
      <c r="D2031" s="75" t="s">
        <v>13</v>
      </c>
      <c r="E2031" s="75" t="s">
        <v>70</v>
      </c>
      <c r="F2031" s="75" t="s">
        <v>71</v>
      </c>
    </row>
    <row r="2032" spans="1:6" x14ac:dyDescent="0.3">
      <c r="A2032" s="75" t="s">
        <v>5638</v>
      </c>
      <c r="B2032" s="75" t="s">
        <v>5639</v>
      </c>
      <c r="C2032" s="75" t="s">
        <v>5640</v>
      </c>
      <c r="D2032" s="75">
        <v>1989</v>
      </c>
      <c r="E2032" s="75" t="s">
        <v>70</v>
      </c>
      <c r="F2032" s="75" t="s">
        <v>137</v>
      </c>
    </row>
    <row r="2033" spans="1:6" x14ac:dyDescent="0.3">
      <c r="A2033" s="75" t="s">
        <v>5641</v>
      </c>
      <c r="B2033" s="75" t="s">
        <v>5642</v>
      </c>
      <c r="C2033" s="75" t="s">
        <v>5643</v>
      </c>
      <c r="D2033" s="75" t="s">
        <v>13</v>
      </c>
      <c r="E2033" s="75" t="s">
        <v>70</v>
      </c>
      <c r="F2033" s="75" t="s">
        <v>5644</v>
      </c>
    </row>
    <row r="2034" spans="1:6" x14ac:dyDescent="0.3">
      <c r="A2034" s="75" t="s">
        <v>5645</v>
      </c>
      <c r="B2034" s="75" t="s">
        <v>5646</v>
      </c>
      <c r="C2034" s="75" t="s">
        <v>5647</v>
      </c>
      <c r="D2034" s="75" t="s">
        <v>13</v>
      </c>
      <c r="E2034" s="75" t="s">
        <v>53</v>
      </c>
      <c r="F2034" s="75" t="s">
        <v>63</v>
      </c>
    </row>
    <row r="2035" spans="1:6" x14ac:dyDescent="0.3">
      <c r="A2035" s="75" t="s">
        <v>5648</v>
      </c>
      <c r="B2035" s="75" t="s">
        <v>5649</v>
      </c>
      <c r="C2035" s="75" t="s">
        <v>5650</v>
      </c>
      <c r="D2035" s="75">
        <v>2015</v>
      </c>
      <c r="E2035" s="75" t="s">
        <v>70</v>
      </c>
      <c r="F2035" s="75" t="s">
        <v>71</v>
      </c>
    </row>
    <row r="2036" spans="1:6" x14ac:dyDescent="0.3">
      <c r="A2036" s="75" t="s">
        <v>5651</v>
      </c>
      <c r="B2036" s="75" t="s">
        <v>5652</v>
      </c>
      <c r="C2036" s="75" t="s">
        <v>5653</v>
      </c>
      <c r="D2036" s="75">
        <v>1996</v>
      </c>
      <c r="E2036" s="75" t="s">
        <v>70</v>
      </c>
      <c r="F2036" s="75" t="s">
        <v>71</v>
      </c>
    </row>
    <row r="2037" spans="1:6" x14ac:dyDescent="0.3">
      <c r="A2037" s="75" t="s">
        <v>5654</v>
      </c>
      <c r="B2037" s="75" t="s">
        <v>5655</v>
      </c>
      <c r="C2037" s="75" t="s">
        <v>5656</v>
      </c>
      <c r="D2037" s="75" t="s">
        <v>13</v>
      </c>
      <c r="E2037" s="75" t="s">
        <v>70</v>
      </c>
      <c r="F2037" s="75" t="s">
        <v>80</v>
      </c>
    </row>
    <row r="2038" spans="1:6" x14ac:dyDescent="0.3">
      <c r="A2038" s="75" t="s">
        <v>5657</v>
      </c>
      <c r="B2038" s="75" t="s">
        <v>5658</v>
      </c>
      <c r="C2038" s="75" t="s">
        <v>4697</v>
      </c>
      <c r="D2038" s="75" t="s">
        <v>13</v>
      </c>
      <c r="E2038" s="75" t="s">
        <v>70</v>
      </c>
      <c r="F2038" s="75" t="s">
        <v>71</v>
      </c>
    </row>
    <row r="2039" spans="1:6" x14ac:dyDescent="0.3">
      <c r="A2039" s="75" t="s">
        <v>5659</v>
      </c>
      <c r="B2039" s="75" t="s">
        <v>5660</v>
      </c>
      <c r="C2039" s="75" t="s">
        <v>5661</v>
      </c>
      <c r="D2039" s="75">
        <v>2005</v>
      </c>
      <c r="E2039" s="75" t="s">
        <v>8</v>
      </c>
      <c r="F2039" s="75" t="s">
        <v>1093</v>
      </c>
    </row>
    <row r="2040" spans="1:6" x14ac:dyDescent="0.3">
      <c r="A2040" s="75" t="s">
        <v>5662</v>
      </c>
      <c r="B2040" s="75" t="s">
        <v>5663</v>
      </c>
      <c r="C2040" s="75" t="s">
        <v>5664</v>
      </c>
      <c r="D2040" s="75" t="s">
        <v>13</v>
      </c>
      <c r="E2040" s="75" t="s">
        <v>31</v>
      </c>
      <c r="F2040" s="75" t="s">
        <v>161</v>
      </c>
    </row>
    <row r="2041" spans="1:6" x14ac:dyDescent="0.3">
      <c r="A2041" s="75" t="s">
        <v>5665</v>
      </c>
      <c r="B2041" s="75" t="s">
        <v>5666</v>
      </c>
      <c r="C2041" s="75" t="s">
        <v>5667</v>
      </c>
      <c r="D2041" s="75">
        <v>1995</v>
      </c>
      <c r="E2041" s="75" t="s">
        <v>31</v>
      </c>
      <c r="F2041" s="75" t="s">
        <v>1427</v>
      </c>
    </row>
    <row r="2042" spans="1:6" x14ac:dyDescent="0.3">
      <c r="A2042" s="75" t="s">
        <v>5668</v>
      </c>
      <c r="B2042" s="75" t="s">
        <v>5669</v>
      </c>
      <c r="C2042" s="75" t="s">
        <v>5670</v>
      </c>
      <c r="D2042" s="75" t="s">
        <v>13</v>
      </c>
      <c r="E2042" s="75" t="s">
        <v>96</v>
      </c>
      <c r="F2042" s="75" t="s">
        <v>76</v>
      </c>
    </row>
    <row r="2043" spans="1:6" x14ac:dyDescent="0.3">
      <c r="A2043" s="75" t="s">
        <v>5671</v>
      </c>
      <c r="B2043" s="75" t="s">
        <v>5672</v>
      </c>
      <c r="C2043" s="75" t="s">
        <v>5673</v>
      </c>
      <c r="D2043" s="75">
        <v>2002</v>
      </c>
      <c r="E2043" s="75" t="s">
        <v>18</v>
      </c>
      <c r="F2043" s="75" t="s">
        <v>1825</v>
      </c>
    </row>
    <row r="2044" spans="1:6" x14ac:dyDescent="0.3">
      <c r="A2044" s="75" t="s">
        <v>5674</v>
      </c>
      <c r="B2044" s="75" t="s">
        <v>5675</v>
      </c>
      <c r="C2044" s="75" t="s">
        <v>5676</v>
      </c>
      <c r="D2044" s="75">
        <v>2003</v>
      </c>
      <c r="E2044" s="75" t="s">
        <v>44</v>
      </c>
      <c r="F2044" s="75" t="s">
        <v>49</v>
      </c>
    </row>
    <row r="2045" spans="1:6" x14ac:dyDescent="0.3">
      <c r="A2045" s="75" t="s">
        <v>5677</v>
      </c>
      <c r="B2045" s="75" t="s">
        <v>5678</v>
      </c>
      <c r="C2045" s="75" t="s">
        <v>5679</v>
      </c>
      <c r="D2045" s="75">
        <v>2006</v>
      </c>
      <c r="E2045" s="75" t="s">
        <v>31</v>
      </c>
      <c r="F2045" s="75" t="s">
        <v>92</v>
      </c>
    </row>
    <row r="2046" spans="1:6" x14ac:dyDescent="0.3">
      <c r="A2046" s="75" t="s">
        <v>5680</v>
      </c>
      <c r="B2046" s="75" t="s">
        <v>5681</v>
      </c>
      <c r="C2046" s="75" t="s">
        <v>5682</v>
      </c>
      <c r="D2046" s="75">
        <v>1999</v>
      </c>
      <c r="E2046" s="75" t="s">
        <v>31</v>
      </c>
      <c r="F2046" s="75" t="s">
        <v>161</v>
      </c>
    </row>
    <row r="2047" spans="1:6" x14ac:dyDescent="0.3">
      <c r="A2047" s="75" t="s">
        <v>5683</v>
      </c>
      <c r="B2047" s="75" t="s">
        <v>5684</v>
      </c>
      <c r="C2047" s="75" t="s">
        <v>5685</v>
      </c>
      <c r="D2047" s="75" t="s">
        <v>13</v>
      </c>
      <c r="E2047" s="75" t="s">
        <v>31</v>
      </c>
      <c r="F2047" s="75" t="s">
        <v>36</v>
      </c>
    </row>
    <row r="2048" spans="1:6" x14ac:dyDescent="0.3">
      <c r="A2048" s="75" t="s">
        <v>5686</v>
      </c>
      <c r="B2048" s="75" t="s">
        <v>5687</v>
      </c>
      <c r="C2048" s="75" t="s">
        <v>5688</v>
      </c>
      <c r="D2048" s="75" t="s">
        <v>13</v>
      </c>
      <c r="E2048" s="75" t="s">
        <v>70</v>
      </c>
      <c r="F2048" s="75" t="s">
        <v>118</v>
      </c>
    </row>
    <row r="2049" spans="1:6" x14ac:dyDescent="0.3">
      <c r="A2049" s="75" t="s">
        <v>5689</v>
      </c>
      <c r="B2049" s="75" t="s">
        <v>5690</v>
      </c>
      <c r="C2049" s="75" t="s">
        <v>3989</v>
      </c>
      <c r="D2049" s="75">
        <v>1996</v>
      </c>
      <c r="E2049" s="75" t="s">
        <v>70</v>
      </c>
      <c r="F2049" s="75" t="s">
        <v>118</v>
      </c>
    </row>
    <row r="2050" spans="1:6" x14ac:dyDescent="0.3">
      <c r="A2050" s="75" t="s">
        <v>5691</v>
      </c>
      <c r="B2050" s="75" t="s">
        <v>5692</v>
      </c>
      <c r="C2050" s="75" t="s">
        <v>1367</v>
      </c>
      <c r="D2050" s="75">
        <v>2014</v>
      </c>
      <c r="E2050" s="75" t="s">
        <v>70</v>
      </c>
      <c r="F2050" s="75" t="s">
        <v>71</v>
      </c>
    </row>
    <row r="2051" spans="1:6" x14ac:dyDescent="0.3">
      <c r="A2051" s="75" t="s">
        <v>5693</v>
      </c>
      <c r="B2051" s="75" t="s">
        <v>5694</v>
      </c>
      <c r="C2051" s="75" t="s">
        <v>5695</v>
      </c>
      <c r="D2051" s="75">
        <v>2004</v>
      </c>
      <c r="E2051" s="75" t="s">
        <v>70</v>
      </c>
      <c r="F2051" s="75" t="s">
        <v>80</v>
      </c>
    </row>
    <row r="2052" spans="1:6" x14ac:dyDescent="0.3">
      <c r="A2052" s="75" t="s">
        <v>5696</v>
      </c>
      <c r="B2052" s="75" t="s">
        <v>5694</v>
      </c>
      <c r="C2052" s="75" t="s">
        <v>13</v>
      </c>
      <c r="D2052" s="75" t="s">
        <v>13</v>
      </c>
      <c r="E2052" s="75" t="s">
        <v>70</v>
      </c>
      <c r="F2052" s="75" t="s">
        <v>80</v>
      </c>
    </row>
    <row r="2053" spans="1:6" x14ac:dyDescent="0.3">
      <c r="A2053" s="75" t="s">
        <v>5697</v>
      </c>
      <c r="B2053" s="75" t="s">
        <v>5698</v>
      </c>
      <c r="C2053" s="75" t="s">
        <v>5699</v>
      </c>
      <c r="D2053" s="75" t="s">
        <v>13</v>
      </c>
      <c r="E2053" s="75" t="s">
        <v>70</v>
      </c>
      <c r="F2053" s="75" t="s">
        <v>71</v>
      </c>
    </row>
    <row r="2054" spans="1:6" x14ac:dyDescent="0.3">
      <c r="A2054" s="75" t="s">
        <v>5700</v>
      </c>
      <c r="B2054" s="75" t="s">
        <v>5701</v>
      </c>
      <c r="C2054" s="75" t="s">
        <v>5702</v>
      </c>
      <c r="D2054" s="75" t="s">
        <v>13</v>
      </c>
      <c r="E2054" s="75" t="s">
        <v>348</v>
      </c>
      <c r="F2054" s="75" t="s">
        <v>1598</v>
      </c>
    </row>
    <row r="2055" spans="1:6" x14ac:dyDescent="0.3">
      <c r="A2055" s="75" t="s">
        <v>5703</v>
      </c>
      <c r="B2055" s="75" t="s">
        <v>5704</v>
      </c>
      <c r="C2055" s="75" t="s">
        <v>5705</v>
      </c>
      <c r="D2055" s="75" t="s">
        <v>13</v>
      </c>
      <c r="E2055" s="75" t="s">
        <v>18</v>
      </c>
      <c r="F2055" s="75" t="s">
        <v>266</v>
      </c>
    </row>
    <row r="2056" spans="1:6" x14ac:dyDescent="0.3">
      <c r="A2056" s="75" t="s">
        <v>5706</v>
      </c>
      <c r="B2056" s="75" t="s">
        <v>5704</v>
      </c>
      <c r="C2056" s="75" t="s">
        <v>13</v>
      </c>
      <c r="D2056" s="75" t="s">
        <v>13</v>
      </c>
      <c r="E2056" s="75" t="s">
        <v>18</v>
      </c>
      <c r="F2056" s="75" t="s">
        <v>266</v>
      </c>
    </row>
    <row r="2057" spans="1:6" x14ac:dyDescent="0.3">
      <c r="A2057" s="75" t="s">
        <v>5707</v>
      </c>
      <c r="B2057" s="75" t="s">
        <v>5704</v>
      </c>
      <c r="C2057" s="75" t="s">
        <v>13</v>
      </c>
      <c r="D2057" s="75" t="s">
        <v>13</v>
      </c>
      <c r="E2057" s="75" t="s">
        <v>8</v>
      </c>
      <c r="F2057" s="75" t="s">
        <v>478</v>
      </c>
    </row>
    <row r="2058" spans="1:6" x14ac:dyDescent="0.3">
      <c r="A2058" s="75" t="s">
        <v>5708</v>
      </c>
      <c r="B2058" s="75" t="s">
        <v>5709</v>
      </c>
      <c r="C2058" s="75" t="s">
        <v>5710</v>
      </c>
      <c r="D2058" s="75">
        <v>2017</v>
      </c>
      <c r="E2058" s="75" t="s">
        <v>58</v>
      </c>
      <c r="F2058" s="75" t="s">
        <v>96</v>
      </c>
    </row>
    <row r="2059" spans="1:6" x14ac:dyDescent="0.3">
      <c r="A2059" s="75" t="s">
        <v>5711</v>
      </c>
      <c r="B2059" s="75" t="s">
        <v>5712</v>
      </c>
      <c r="C2059" s="75" t="s">
        <v>5713</v>
      </c>
      <c r="D2059" s="75">
        <v>2011</v>
      </c>
      <c r="E2059" s="75" t="s">
        <v>70</v>
      </c>
      <c r="F2059" s="75" t="s">
        <v>71</v>
      </c>
    </row>
    <row r="2060" spans="1:6" x14ac:dyDescent="0.3">
      <c r="A2060" s="75" t="s">
        <v>5714</v>
      </c>
      <c r="B2060" s="75" t="s">
        <v>5715</v>
      </c>
      <c r="C2060" s="75" t="s">
        <v>5716</v>
      </c>
      <c r="D2060" s="75" t="s">
        <v>13</v>
      </c>
      <c r="E2060" s="75" t="s">
        <v>18</v>
      </c>
      <c r="F2060" s="75" t="s">
        <v>2283</v>
      </c>
    </row>
    <row r="2061" spans="1:6" x14ac:dyDescent="0.3">
      <c r="A2061" s="75" t="s">
        <v>5717</v>
      </c>
      <c r="B2061" s="75" t="s">
        <v>5715</v>
      </c>
      <c r="C2061" s="75" t="s">
        <v>4613</v>
      </c>
      <c r="D2061" s="75" t="s">
        <v>13</v>
      </c>
      <c r="E2061" s="75" t="s">
        <v>18</v>
      </c>
      <c r="F2061" s="75" t="s">
        <v>2283</v>
      </c>
    </row>
    <row r="2062" spans="1:6" x14ac:dyDescent="0.3">
      <c r="A2062" s="75" t="s">
        <v>5718</v>
      </c>
      <c r="B2062" s="75" t="s">
        <v>5719</v>
      </c>
      <c r="C2062" s="75" t="s">
        <v>5720</v>
      </c>
      <c r="D2062" s="75">
        <v>2006</v>
      </c>
      <c r="E2062" s="75" t="s">
        <v>8</v>
      </c>
      <c r="F2062" s="75" t="s">
        <v>478</v>
      </c>
    </row>
    <row r="2063" spans="1:6" x14ac:dyDescent="0.3">
      <c r="A2063" s="75" t="s">
        <v>5721</v>
      </c>
      <c r="B2063" s="75" t="s">
        <v>5722</v>
      </c>
      <c r="C2063" s="75" t="s">
        <v>5723</v>
      </c>
      <c r="D2063" s="75" t="s">
        <v>13</v>
      </c>
      <c r="E2063" s="75" t="s">
        <v>13</v>
      </c>
      <c r="F2063" s="75" t="s">
        <v>13</v>
      </c>
    </row>
    <row r="2064" spans="1:6" x14ac:dyDescent="0.3">
      <c r="A2064" s="75" t="s">
        <v>5724</v>
      </c>
      <c r="B2064" s="75" t="s">
        <v>5722</v>
      </c>
      <c r="C2064" s="75" t="s">
        <v>13</v>
      </c>
      <c r="D2064" s="75" t="s">
        <v>13</v>
      </c>
      <c r="E2064" s="75" t="s">
        <v>13</v>
      </c>
      <c r="F2064" s="75" t="s">
        <v>13</v>
      </c>
    </row>
    <row r="2065" spans="1:6" x14ac:dyDescent="0.3">
      <c r="A2065" s="75" t="s">
        <v>5725</v>
      </c>
      <c r="B2065" s="75" t="s">
        <v>5722</v>
      </c>
      <c r="C2065" s="75" t="s">
        <v>13</v>
      </c>
      <c r="D2065" s="75" t="s">
        <v>13</v>
      </c>
      <c r="E2065" s="75" t="s">
        <v>13</v>
      </c>
      <c r="F2065" s="75" t="s">
        <v>13</v>
      </c>
    </row>
    <row r="2066" spans="1:6" x14ac:dyDescent="0.3">
      <c r="A2066" s="75" t="s">
        <v>5726</v>
      </c>
      <c r="B2066" s="75" t="s">
        <v>5727</v>
      </c>
      <c r="C2066" s="75" t="s">
        <v>5728</v>
      </c>
      <c r="D2066" s="75" t="s">
        <v>13</v>
      </c>
      <c r="E2066" s="75" t="s">
        <v>518</v>
      </c>
      <c r="F2066" s="75" t="s">
        <v>1762</v>
      </c>
    </row>
    <row r="2067" spans="1:6" x14ac:dyDescent="0.3">
      <c r="A2067" s="75" t="s">
        <v>5729</v>
      </c>
      <c r="B2067" s="75" t="s">
        <v>5727</v>
      </c>
      <c r="C2067" s="75" t="s">
        <v>13</v>
      </c>
      <c r="D2067" s="75">
        <v>2014</v>
      </c>
      <c r="E2067" s="75" t="s">
        <v>518</v>
      </c>
      <c r="F2067" s="75" t="s">
        <v>1762</v>
      </c>
    </row>
    <row r="2068" spans="1:6" x14ac:dyDescent="0.3">
      <c r="A2068" s="75" t="s">
        <v>5730</v>
      </c>
      <c r="B2068" s="75" t="s">
        <v>5727</v>
      </c>
      <c r="C2068" s="75" t="s">
        <v>13</v>
      </c>
      <c r="D2068" s="75" t="s">
        <v>13</v>
      </c>
      <c r="E2068" s="75" t="s">
        <v>518</v>
      </c>
      <c r="F2068" s="75" t="s">
        <v>1762</v>
      </c>
    </row>
    <row r="2069" spans="1:6" x14ac:dyDescent="0.3">
      <c r="A2069" s="75" t="s">
        <v>5731</v>
      </c>
      <c r="B2069" s="75" t="s">
        <v>5732</v>
      </c>
      <c r="C2069" s="75" t="s">
        <v>5733</v>
      </c>
      <c r="D2069" s="75">
        <v>2003</v>
      </c>
      <c r="E2069" s="75" t="s">
        <v>18</v>
      </c>
      <c r="F2069" s="75" t="s">
        <v>1055</v>
      </c>
    </row>
    <row r="2070" spans="1:6" x14ac:dyDescent="0.3">
      <c r="A2070" s="75" t="s">
        <v>5734</v>
      </c>
      <c r="B2070" s="75" t="s">
        <v>5735</v>
      </c>
      <c r="C2070" s="75" t="s">
        <v>5736</v>
      </c>
      <c r="D2070" s="75">
        <v>2015</v>
      </c>
      <c r="E2070" s="75" t="s">
        <v>44</v>
      </c>
      <c r="F2070" s="75" t="s">
        <v>85</v>
      </c>
    </row>
    <row r="2071" spans="1:6" x14ac:dyDescent="0.3">
      <c r="A2071" s="75" t="s">
        <v>5737</v>
      </c>
      <c r="B2071" s="75" t="s">
        <v>5735</v>
      </c>
      <c r="C2071" s="75" t="s">
        <v>13</v>
      </c>
      <c r="D2071" s="75">
        <v>2015</v>
      </c>
      <c r="E2071" s="75" t="s">
        <v>44</v>
      </c>
      <c r="F2071" s="75" t="s">
        <v>85</v>
      </c>
    </row>
    <row r="2072" spans="1:6" x14ac:dyDescent="0.3">
      <c r="A2072" s="75" t="s">
        <v>5738</v>
      </c>
      <c r="B2072" s="75" t="s">
        <v>5739</v>
      </c>
      <c r="C2072" s="75" t="s">
        <v>5740</v>
      </c>
      <c r="D2072" s="75" t="s">
        <v>13</v>
      </c>
      <c r="E2072" s="75" t="s">
        <v>53</v>
      </c>
      <c r="F2072" s="75" t="s">
        <v>519</v>
      </c>
    </row>
    <row r="2073" spans="1:6" x14ac:dyDescent="0.3">
      <c r="A2073" s="75" t="s">
        <v>5741</v>
      </c>
      <c r="B2073" s="75" t="s">
        <v>5742</v>
      </c>
      <c r="C2073" s="75" t="s">
        <v>5743</v>
      </c>
      <c r="D2073" s="75">
        <v>2017</v>
      </c>
      <c r="E2073" s="75" t="s">
        <v>8</v>
      </c>
      <c r="F2073" s="75" t="s">
        <v>9</v>
      </c>
    </row>
    <row r="2074" spans="1:6" x14ac:dyDescent="0.3">
      <c r="A2074" s="75" t="s">
        <v>5744</v>
      </c>
      <c r="B2074" s="75" t="s">
        <v>5745</v>
      </c>
      <c r="C2074" s="75" t="s">
        <v>196</v>
      </c>
      <c r="D2074" s="75">
        <v>1999</v>
      </c>
      <c r="E2074" s="75" t="s">
        <v>96</v>
      </c>
      <c r="F2074" s="75" t="s">
        <v>76</v>
      </c>
    </row>
    <row r="2075" spans="1:6" x14ac:dyDescent="0.3">
      <c r="A2075" s="75" t="s">
        <v>5746</v>
      </c>
      <c r="B2075" s="75" t="s">
        <v>5747</v>
      </c>
      <c r="C2075" s="75" t="s">
        <v>5748</v>
      </c>
      <c r="D2075" s="75" t="s">
        <v>13</v>
      </c>
      <c r="E2075" s="75" t="s">
        <v>31</v>
      </c>
      <c r="F2075" s="75" t="s">
        <v>626</v>
      </c>
    </row>
    <row r="2076" spans="1:6" x14ac:dyDescent="0.3">
      <c r="A2076" s="75" t="s">
        <v>5749</v>
      </c>
      <c r="B2076" s="75" t="s">
        <v>5750</v>
      </c>
      <c r="C2076" s="75" t="s">
        <v>5751</v>
      </c>
      <c r="D2076" s="75" t="s">
        <v>13</v>
      </c>
      <c r="E2076" s="75" t="s">
        <v>8</v>
      </c>
      <c r="F2076" s="75" t="s">
        <v>787</v>
      </c>
    </row>
    <row r="2077" spans="1:6" x14ac:dyDescent="0.3">
      <c r="A2077" s="75" t="s">
        <v>5752</v>
      </c>
      <c r="B2077" s="75" t="s">
        <v>5753</v>
      </c>
      <c r="C2077" s="75" t="s">
        <v>5754</v>
      </c>
      <c r="D2077" s="75" t="s">
        <v>13</v>
      </c>
      <c r="E2077" s="75" t="s">
        <v>8</v>
      </c>
      <c r="F2077" s="75" t="s">
        <v>27</v>
      </c>
    </row>
    <row r="2078" spans="1:6" x14ac:dyDescent="0.3">
      <c r="A2078" s="75" t="s">
        <v>5755</v>
      </c>
      <c r="B2078" s="75" t="s">
        <v>5756</v>
      </c>
      <c r="C2078" s="75" t="s">
        <v>5757</v>
      </c>
      <c r="D2078" s="75" t="s">
        <v>13</v>
      </c>
      <c r="E2078" s="75" t="s">
        <v>44</v>
      </c>
      <c r="F2078" s="75" t="s">
        <v>49</v>
      </c>
    </row>
    <row r="2079" spans="1:6" x14ac:dyDescent="0.3">
      <c r="A2079" s="75" t="s">
        <v>5758</v>
      </c>
      <c r="B2079" s="75" t="s">
        <v>5759</v>
      </c>
      <c r="C2079" s="75" t="s">
        <v>5760</v>
      </c>
      <c r="D2079" s="75">
        <v>2013</v>
      </c>
      <c r="E2079" s="75" t="s">
        <v>8</v>
      </c>
      <c r="F2079" s="75" t="s">
        <v>9</v>
      </c>
    </row>
    <row r="2080" spans="1:6" x14ac:dyDescent="0.3">
      <c r="A2080" s="75" t="s">
        <v>5761</v>
      </c>
      <c r="B2080" s="75" t="s">
        <v>5762</v>
      </c>
      <c r="C2080" s="75" t="s">
        <v>5763</v>
      </c>
      <c r="D2080" s="75">
        <v>1994</v>
      </c>
      <c r="E2080" s="75" t="s">
        <v>53</v>
      </c>
      <c r="F2080" s="75" t="s">
        <v>519</v>
      </c>
    </row>
    <row r="2081" spans="1:6" x14ac:dyDescent="0.3">
      <c r="A2081" s="75" t="s">
        <v>5764</v>
      </c>
      <c r="B2081" s="75" t="s">
        <v>5765</v>
      </c>
      <c r="C2081" s="75" t="s">
        <v>5766</v>
      </c>
      <c r="D2081" s="75">
        <v>2013</v>
      </c>
      <c r="E2081" s="75" t="s">
        <v>18</v>
      </c>
      <c r="F2081" s="75" t="s">
        <v>729</v>
      </c>
    </row>
    <row r="2082" spans="1:6" x14ac:dyDescent="0.3">
      <c r="A2082" s="75" t="s">
        <v>5767</v>
      </c>
      <c r="B2082" s="75" t="s">
        <v>5768</v>
      </c>
      <c r="C2082" s="75" t="s">
        <v>5769</v>
      </c>
      <c r="D2082" s="75" t="s">
        <v>13</v>
      </c>
      <c r="E2082" s="75" t="s">
        <v>53</v>
      </c>
      <c r="F2082" s="75" t="s">
        <v>63</v>
      </c>
    </row>
    <row r="2083" spans="1:6" x14ac:dyDescent="0.3">
      <c r="A2083" s="75" t="s">
        <v>5770</v>
      </c>
      <c r="B2083" s="75" t="s">
        <v>5771</v>
      </c>
      <c r="C2083" s="75" t="s">
        <v>5772</v>
      </c>
      <c r="D2083" s="75" t="s">
        <v>13</v>
      </c>
      <c r="E2083" s="75" t="s">
        <v>53</v>
      </c>
      <c r="F2083" s="75" t="s">
        <v>63</v>
      </c>
    </row>
    <row r="2084" spans="1:6" x14ac:dyDescent="0.3">
      <c r="A2084" s="75" t="s">
        <v>5773</v>
      </c>
      <c r="B2084" s="75" t="s">
        <v>5774</v>
      </c>
      <c r="C2084" s="75" t="s">
        <v>5775</v>
      </c>
      <c r="D2084" s="75" t="s">
        <v>13</v>
      </c>
      <c r="E2084" s="75" t="s">
        <v>8</v>
      </c>
      <c r="F2084" s="75" t="s">
        <v>27</v>
      </c>
    </row>
    <row r="2085" spans="1:6" x14ac:dyDescent="0.3">
      <c r="A2085" s="75" t="s">
        <v>5776</v>
      </c>
      <c r="B2085" s="75" t="s">
        <v>5777</v>
      </c>
      <c r="C2085" s="75" t="s">
        <v>5778</v>
      </c>
      <c r="D2085" s="75" t="s">
        <v>13</v>
      </c>
      <c r="E2085" s="75" t="s">
        <v>53</v>
      </c>
      <c r="F2085" s="75" t="s">
        <v>353</v>
      </c>
    </row>
    <row r="2086" spans="1:6" x14ac:dyDescent="0.3">
      <c r="A2086" s="75" t="s">
        <v>5779</v>
      </c>
      <c r="B2086" s="75" t="s">
        <v>5780</v>
      </c>
      <c r="C2086" s="75" t="s">
        <v>5781</v>
      </c>
      <c r="D2086" s="75" t="s">
        <v>13</v>
      </c>
      <c r="E2086" s="75" t="s">
        <v>8</v>
      </c>
      <c r="F2086" s="75" t="s">
        <v>27</v>
      </c>
    </row>
    <row r="2087" spans="1:6" x14ac:dyDescent="0.3">
      <c r="A2087" s="75" t="s">
        <v>5782</v>
      </c>
      <c r="B2087" s="75" t="s">
        <v>5780</v>
      </c>
      <c r="C2087" s="75" t="s">
        <v>5783</v>
      </c>
      <c r="D2087" s="75" t="s">
        <v>13</v>
      </c>
      <c r="E2087" s="75" t="s">
        <v>8</v>
      </c>
      <c r="F2087" s="75" t="s">
        <v>27</v>
      </c>
    </row>
    <row r="2088" spans="1:6" x14ac:dyDescent="0.3">
      <c r="A2088" s="75" t="s">
        <v>5784</v>
      </c>
      <c r="B2088" s="75" t="s">
        <v>5785</v>
      </c>
      <c r="C2088" s="75" t="s">
        <v>5786</v>
      </c>
      <c r="D2088" s="75" t="s">
        <v>13</v>
      </c>
      <c r="E2088" s="75" t="s">
        <v>8</v>
      </c>
      <c r="F2088" s="75" t="s">
        <v>23</v>
      </c>
    </row>
    <row r="2089" spans="1:6" x14ac:dyDescent="0.3">
      <c r="A2089" s="75" t="s">
        <v>5787</v>
      </c>
      <c r="B2089" s="75" t="s">
        <v>5788</v>
      </c>
      <c r="C2089" s="75" t="s">
        <v>5789</v>
      </c>
      <c r="D2089" s="75" t="s">
        <v>13</v>
      </c>
      <c r="E2089" s="75" t="s">
        <v>8</v>
      </c>
      <c r="F2089" s="75" t="s">
        <v>23</v>
      </c>
    </row>
    <row r="2090" spans="1:6" x14ac:dyDescent="0.3">
      <c r="A2090" s="75" t="s">
        <v>5790</v>
      </c>
      <c r="B2090" s="75" t="s">
        <v>5791</v>
      </c>
      <c r="C2090" s="75" t="s">
        <v>2132</v>
      </c>
      <c r="D2090" s="75">
        <v>2009</v>
      </c>
      <c r="E2090" s="75" t="s">
        <v>8</v>
      </c>
      <c r="F2090" s="75" t="s">
        <v>27</v>
      </c>
    </row>
    <row r="2091" spans="1:6" x14ac:dyDescent="0.3">
      <c r="A2091" s="75" t="s">
        <v>5792</v>
      </c>
      <c r="B2091" s="75" t="s">
        <v>5793</v>
      </c>
      <c r="C2091" s="75" t="s">
        <v>5794</v>
      </c>
      <c r="D2091" s="75">
        <v>1995</v>
      </c>
      <c r="E2091" s="75" t="s">
        <v>58</v>
      </c>
      <c r="F2091" s="75" t="s">
        <v>3547</v>
      </c>
    </row>
    <row r="2092" spans="1:6" x14ac:dyDescent="0.3">
      <c r="A2092" s="75" t="s">
        <v>5795</v>
      </c>
      <c r="B2092" s="75" t="s">
        <v>5796</v>
      </c>
      <c r="C2092" s="75" t="s">
        <v>5797</v>
      </c>
      <c r="D2092" s="75">
        <v>2013</v>
      </c>
      <c r="E2092" s="75" t="s">
        <v>18</v>
      </c>
      <c r="F2092" s="75" t="s">
        <v>1449</v>
      </c>
    </row>
    <row r="2093" spans="1:6" x14ac:dyDescent="0.3">
      <c r="A2093" s="75" t="s">
        <v>5798</v>
      </c>
      <c r="B2093" s="75" t="s">
        <v>5799</v>
      </c>
      <c r="C2093" s="75" t="s">
        <v>5800</v>
      </c>
      <c r="D2093" s="75" t="s">
        <v>13</v>
      </c>
      <c r="E2093" s="75" t="s">
        <v>8</v>
      </c>
      <c r="F2093" s="75" t="s">
        <v>27</v>
      </c>
    </row>
    <row r="2094" spans="1:6" x14ac:dyDescent="0.3">
      <c r="A2094" s="75" t="s">
        <v>5801</v>
      </c>
      <c r="B2094" s="75" t="s">
        <v>5802</v>
      </c>
      <c r="C2094" s="75" t="s">
        <v>5803</v>
      </c>
      <c r="D2094" s="75" t="s">
        <v>13</v>
      </c>
      <c r="E2094" s="75" t="s">
        <v>518</v>
      </c>
      <c r="F2094" s="75" t="s">
        <v>630</v>
      </c>
    </row>
    <row r="2095" spans="1:6" x14ac:dyDescent="0.3">
      <c r="A2095" s="75" t="s">
        <v>5804</v>
      </c>
      <c r="B2095" s="75" t="s">
        <v>5805</v>
      </c>
      <c r="C2095" s="75" t="s">
        <v>5806</v>
      </c>
      <c r="D2095" s="75">
        <v>2000</v>
      </c>
      <c r="E2095" s="75" t="s">
        <v>53</v>
      </c>
      <c r="F2095" s="75" t="s">
        <v>1427</v>
      </c>
    </row>
    <row r="2096" spans="1:6" x14ac:dyDescent="0.3">
      <c r="A2096" s="75" t="s">
        <v>5807</v>
      </c>
      <c r="B2096" s="75" t="s">
        <v>5808</v>
      </c>
      <c r="C2096" s="75" t="s">
        <v>5809</v>
      </c>
      <c r="D2096" s="75" t="s">
        <v>13</v>
      </c>
      <c r="E2096" s="75" t="s">
        <v>70</v>
      </c>
      <c r="F2096" s="75" t="s">
        <v>671</v>
      </c>
    </row>
    <row r="2097" spans="1:6" x14ac:dyDescent="0.3">
      <c r="A2097" s="75" t="s">
        <v>5810</v>
      </c>
      <c r="B2097" s="75" t="s">
        <v>5811</v>
      </c>
      <c r="C2097" s="75" t="s">
        <v>5812</v>
      </c>
      <c r="D2097" s="75">
        <v>2016</v>
      </c>
      <c r="E2097" s="75" t="s">
        <v>70</v>
      </c>
      <c r="F2097" s="75" t="s">
        <v>71</v>
      </c>
    </row>
    <row r="2098" spans="1:6" x14ac:dyDescent="0.3">
      <c r="A2098" s="75" t="s">
        <v>5813</v>
      </c>
      <c r="B2098" s="75" t="s">
        <v>5814</v>
      </c>
      <c r="C2098" s="75" t="s">
        <v>944</v>
      </c>
      <c r="D2098" s="75" t="s">
        <v>13</v>
      </c>
      <c r="E2098" s="75" t="s">
        <v>96</v>
      </c>
      <c r="F2098" s="75" t="s">
        <v>63</v>
      </c>
    </row>
    <row r="2099" spans="1:6" x14ac:dyDescent="0.3">
      <c r="A2099" s="75" t="s">
        <v>5815</v>
      </c>
      <c r="B2099" s="75" t="s">
        <v>5816</v>
      </c>
      <c r="C2099" s="75" t="s">
        <v>5817</v>
      </c>
      <c r="D2099" s="75" t="s">
        <v>13</v>
      </c>
      <c r="E2099" s="75" t="s">
        <v>70</v>
      </c>
      <c r="F2099" s="75" t="s">
        <v>118</v>
      </c>
    </row>
    <row r="2100" spans="1:6" x14ac:dyDescent="0.3">
      <c r="A2100" s="75" t="s">
        <v>5818</v>
      </c>
      <c r="B2100" s="75" t="s">
        <v>5819</v>
      </c>
      <c r="C2100" s="75" t="s">
        <v>5820</v>
      </c>
      <c r="D2100" s="75" t="s">
        <v>13</v>
      </c>
      <c r="E2100" s="75" t="s">
        <v>70</v>
      </c>
      <c r="F2100" s="75" t="s">
        <v>71</v>
      </c>
    </row>
    <row r="2101" spans="1:6" x14ac:dyDescent="0.3">
      <c r="A2101" s="75" t="s">
        <v>5821</v>
      </c>
      <c r="B2101" s="75" t="s">
        <v>5822</v>
      </c>
      <c r="C2101" s="75" t="s">
        <v>530</v>
      </c>
      <c r="D2101" s="75">
        <v>2015</v>
      </c>
      <c r="E2101" s="75" t="s">
        <v>70</v>
      </c>
      <c r="F2101" s="75" t="s">
        <v>80</v>
      </c>
    </row>
    <row r="2102" spans="1:6" x14ac:dyDescent="0.3">
      <c r="A2102" s="75" t="s">
        <v>5823</v>
      </c>
      <c r="B2102" s="75" t="s">
        <v>5824</v>
      </c>
      <c r="C2102" s="75" t="s">
        <v>5825</v>
      </c>
      <c r="D2102" s="75" t="s">
        <v>13</v>
      </c>
      <c r="E2102" s="75" t="s">
        <v>70</v>
      </c>
      <c r="F2102" s="75" t="s">
        <v>71</v>
      </c>
    </row>
    <row r="2103" spans="1:6" x14ac:dyDescent="0.3">
      <c r="A2103" s="75" t="s">
        <v>5826</v>
      </c>
      <c r="B2103" s="75" t="s">
        <v>5827</v>
      </c>
      <c r="C2103" s="75" t="s">
        <v>5828</v>
      </c>
      <c r="D2103" s="75">
        <v>2014</v>
      </c>
      <c r="E2103" s="75" t="s">
        <v>70</v>
      </c>
      <c r="F2103" s="75" t="s">
        <v>71</v>
      </c>
    </row>
    <row r="2104" spans="1:6" x14ac:dyDescent="0.3">
      <c r="A2104" s="75" t="s">
        <v>5829</v>
      </c>
      <c r="B2104" s="75" t="s">
        <v>5830</v>
      </c>
      <c r="C2104" s="75" t="s">
        <v>5831</v>
      </c>
      <c r="D2104" s="75" t="s">
        <v>13</v>
      </c>
      <c r="E2104" s="75" t="s">
        <v>31</v>
      </c>
      <c r="F2104" s="75" t="s">
        <v>36</v>
      </c>
    </row>
    <row r="2105" spans="1:6" x14ac:dyDescent="0.3">
      <c r="A2105" s="75" t="s">
        <v>5832</v>
      </c>
      <c r="B2105" s="75" t="s">
        <v>5833</v>
      </c>
      <c r="C2105" s="75" t="s">
        <v>5834</v>
      </c>
      <c r="D2105" s="75" t="s">
        <v>13</v>
      </c>
      <c r="E2105" s="75" t="s">
        <v>518</v>
      </c>
      <c r="F2105" s="75" t="s">
        <v>49</v>
      </c>
    </row>
    <row r="2106" spans="1:6" x14ac:dyDescent="0.3">
      <c r="A2106" s="75" t="s">
        <v>5835</v>
      </c>
      <c r="B2106" s="75" t="s">
        <v>5836</v>
      </c>
      <c r="C2106" s="75" t="s">
        <v>5837</v>
      </c>
      <c r="D2106" s="75">
        <v>2016</v>
      </c>
      <c r="E2106" s="75" t="s">
        <v>31</v>
      </c>
      <c r="F2106" s="75" t="s">
        <v>36</v>
      </c>
    </row>
    <row r="2107" spans="1:6" x14ac:dyDescent="0.3">
      <c r="A2107" s="75" t="s">
        <v>5838</v>
      </c>
      <c r="B2107" s="75" t="s">
        <v>5839</v>
      </c>
      <c r="C2107" s="75" t="s">
        <v>5840</v>
      </c>
      <c r="D2107" s="75">
        <v>1998</v>
      </c>
      <c r="E2107" s="75" t="s">
        <v>518</v>
      </c>
      <c r="F2107" s="75" t="s">
        <v>1762</v>
      </c>
    </row>
    <row r="2108" spans="1:6" x14ac:dyDescent="0.3">
      <c r="A2108" s="75" t="s">
        <v>5841</v>
      </c>
      <c r="B2108" s="75" t="s">
        <v>5842</v>
      </c>
      <c r="C2108" s="75" t="s">
        <v>2132</v>
      </c>
      <c r="D2108" s="75" t="s">
        <v>13</v>
      </c>
      <c r="E2108" s="75" t="s">
        <v>18</v>
      </c>
      <c r="F2108" s="75" t="s">
        <v>450</v>
      </c>
    </row>
    <row r="2109" spans="1:6" x14ac:dyDescent="0.3">
      <c r="A2109" s="75" t="s">
        <v>5843</v>
      </c>
      <c r="B2109" s="75" t="s">
        <v>5844</v>
      </c>
      <c r="C2109" s="75" t="s">
        <v>4118</v>
      </c>
      <c r="D2109" s="75">
        <v>2004</v>
      </c>
      <c r="E2109" s="75" t="s">
        <v>70</v>
      </c>
      <c r="F2109" s="75" t="s">
        <v>80</v>
      </c>
    </row>
    <row r="2110" spans="1:6" x14ac:dyDescent="0.3">
      <c r="A2110" s="75" t="s">
        <v>5845</v>
      </c>
      <c r="B2110" s="75" t="s">
        <v>5846</v>
      </c>
      <c r="C2110" s="75" t="s">
        <v>5847</v>
      </c>
      <c r="D2110" s="75" t="s">
        <v>13</v>
      </c>
      <c r="E2110" s="75" t="s">
        <v>70</v>
      </c>
      <c r="F2110" s="75" t="s">
        <v>80</v>
      </c>
    </row>
    <row r="2111" spans="1:6" x14ac:dyDescent="0.3">
      <c r="A2111" s="75" t="s">
        <v>5848</v>
      </c>
      <c r="B2111" s="75" t="s">
        <v>5849</v>
      </c>
      <c r="C2111" s="75" t="s">
        <v>5850</v>
      </c>
      <c r="D2111" s="75" t="s">
        <v>13</v>
      </c>
      <c r="E2111" s="75" t="s">
        <v>13</v>
      </c>
      <c r="F2111" s="75" t="s">
        <v>13</v>
      </c>
    </row>
    <row r="2112" spans="1:6" x14ac:dyDescent="0.3">
      <c r="A2112" s="75" t="s">
        <v>5851</v>
      </c>
      <c r="B2112" s="75" t="s">
        <v>5852</v>
      </c>
      <c r="C2112" s="75" t="s">
        <v>5853</v>
      </c>
      <c r="D2112" s="75">
        <v>2013</v>
      </c>
      <c r="E2112" s="75" t="s">
        <v>18</v>
      </c>
      <c r="F2112" s="75" t="s">
        <v>434</v>
      </c>
    </row>
    <row r="2113" spans="1:6" x14ac:dyDescent="0.3">
      <c r="A2113" s="75" t="s">
        <v>5854</v>
      </c>
      <c r="B2113" s="75" t="s">
        <v>5855</v>
      </c>
      <c r="C2113" s="75" t="s">
        <v>5856</v>
      </c>
      <c r="D2113" s="75" t="s">
        <v>13</v>
      </c>
      <c r="E2113" s="75" t="s">
        <v>31</v>
      </c>
      <c r="F2113" s="75" t="s">
        <v>92</v>
      </c>
    </row>
    <row r="2114" spans="1:6" x14ac:dyDescent="0.3">
      <c r="A2114" s="75" t="s">
        <v>5857</v>
      </c>
      <c r="B2114" s="75" t="s">
        <v>5858</v>
      </c>
      <c r="C2114" s="75" t="s">
        <v>5859</v>
      </c>
      <c r="D2114" s="75">
        <v>1999</v>
      </c>
      <c r="E2114" s="75" t="s">
        <v>31</v>
      </c>
      <c r="F2114" s="75" t="s">
        <v>92</v>
      </c>
    </row>
    <row r="2115" spans="1:6" x14ac:dyDescent="0.3">
      <c r="A2115" s="75" t="s">
        <v>5860</v>
      </c>
      <c r="B2115" s="75" t="s">
        <v>5861</v>
      </c>
      <c r="C2115" s="75" t="s">
        <v>5862</v>
      </c>
      <c r="D2115" s="75">
        <v>2010</v>
      </c>
      <c r="E2115" s="75" t="s">
        <v>31</v>
      </c>
      <c r="F2115" s="75" t="s">
        <v>92</v>
      </c>
    </row>
    <row r="2116" spans="1:6" x14ac:dyDescent="0.3">
      <c r="A2116" s="75" t="s">
        <v>5863</v>
      </c>
      <c r="B2116" s="75" t="s">
        <v>5864</v>
      </c>
      <c r="C2116" s="75" t="s">
        <v>1233</v>
      </c>
      <c r="D2116" s="75">
        <v>2005</v>
      </c>
      <c r="E2116" s="75" t="s">
        <v>70</v>
      </c>
      <c r="F2116" s="75" t="s">
        <v>671</v>
      </c>
    </row>
    <row r="2117" spans="1:6" x14ac:dyDescent="0.3">
      <c r="A2117" s="75" t="s">
        <v>5865</v>
      </c>
      <c r="B2117" s="75" t="s">
        <v>5866</v>
      </c>
      <c r="C2117" s="75" t="s">
        <v>5867</v>
      </c>
      <c r="D2117" s="75" t="s">
        <v>13</v>
      </c>
      <c r="E2117" s="75" t="s">
        <v>18</v>
      </c>
      <c r="F2117" s="75" t="s">
        <v>40</v>
      </c>
    </row>
    <row r="2118" spans="1:6" x14ac:dyDescent="0.3">
      <c r="A2118" s="75" t="s">
        <v>5868</v>
      </c>
      <c r="B2118" s="75" t="s">
        <v>5866</v>
      </c>
      <c r="C2118" s="75" t="s">
        <v>13</v>
      </c>
      <c r="D2118" s="75" t="s">
        <v>13</v>
      </c>
      <c r="E2118" s="75" t="s">
        <v>18</v>
      </c>
      <c r="F2118" s="75" t="s">
        <v>40</v>
      </c>
    </row>
    <row r="2119" spans="1:6" x14ac:dyDescent="0.3">
      <c r="A2119" s="75" t="s">
        <v>5869</v>
      </c>
      <c r="B2119" s="75" t="s">
        <v>5870</v>
      </c>
      <c r="C2119" s="75" t="s">
        <v>5871</v>
      </c>
      <c r="D2119" s="75" t="s">
        <v>13</v>
      </c>
      <c r="E2119" s="75" t="s">
        <v>70</v>
      </c>
      <c r="F2119" s="75" t="s">
        <v>137</v>
      </c>
    </row>
    <row r="2120" spans="1:6" x14ac:dyDescent="0.3">
      <c r="A2120" s="75" t="s">
        <v>5872</v>
      </c>
      <c r="B2120" s="75" t="s">
        <v>5873</v>
      </c>
      <c r="C2120" s="75" t="s">
        <v>5874</v>
      </c>
      <c r="D2120" s="75" t="s">
        <v>13</v>
      </c>
      <c r="E2120" s="75" t="s">
        <v>31</v>
      </c>
      <c r="F2120" s="75" t="s">
        <v>92</v>
      </c>
    </row>
    <row r="2121" spans="1:6" x14ac:dyDescent="0.3">
      <c r="A2121" s="75" t="s">
        <v>5875</v>
      </c>
      <c r="B2121" s="75" t="s">
        <v>5876</v>
      </c>
      <c r="C2121" s="75" t="s">
        <v>5877</v>
      </c>
      <c r="D2121" s="75" t="s">
        <v>13</v>
      </c>
      <c r="E2121" s="75" t="s">
        <v>8</v>
      </c>
      <c r="F2121" s="75" t="s">
        <v>27</v>
      </c>
    </row>
    <row r="2122" spans="1:6" x14ac:dyDescent="0.3">
      <c r="A2122" s="75" t="s">
        <v>5878</v>
      </c>
      <c r="B2122" s="75" t="s">
        <v>5879</v>
      </c>
      <c r="C2122" s="75" t="s">
        <v>5880</v>
      </c>
      <c r="D2122" s="75">
        <v>2015</v>
      </c>
      <c r="E2122" s="75" t="s">
        <v>70</v>
      </c>
      <c r="F2122" s="75" t="s">
        <v>71</v>
      </c>
    </row>
    <row r="2123" spans="1:6" x14ac:dyDescent="0.3">
      <c r="A2123" s="75" t="s">
        <v>5881</v>
      </c>
      <c r="B2123" s="75" t="s">
        <v>5882</v>
      </c>
      <c r="C2123" s="75" t="s">
        <v>5883</v>
      </c>
      <c r="D2123" s="75">
        <v>2016</v>
      </c>
      <c r="E2123" s="75" t="s">
        <v>70</v>
      </c>
      <c r="F2123" s="75" t="s">
        <v>80</v>
      </c>
    </row>
    <row r="2124" spans="1:6" x14ac:dyDescent="0.3">
      <c r="A2124" s="75" t="s">
        <v>5884</v>
      </c>
      <c r="B2124" s="75" t="s">
        <v>5885</v>
      </c>
      <c r="C2124" s="75" t="s">
        <v>5886</v>
      </c>
      <c r="D2124" s="75">
        <v>2017</v>
      </c>
      <c r="E2124" s="75" t="s">
        <v>70</v>
      </c>
      <c r="F2124" s="75" t="s">
        <v>71</v>
      </c>
    </row>
    <row r="2125" spans="1:6" x14ac:dyDescent="0.3">
      <c r="A2125" s="75" t="s">
        <v>5887</v>
      </c>
      <c r="B2125" s="75" t="s">
        <v>5888</v>
      </c>
      <c r="C2125" s="75" t="s">
        <v>5889</v>
      </c>
      <c r="D2125" s="75" t="s">
        <v>13</v>
      </c>
      <c r="E2125" s="75" t="s">
        <v>518</v>
      </c>
      <c r="F2125" s="75" t="s">
        <v>1762</v>
      </c>
    </row>
    <row r="2126" spans="1:6" x14ac:dyDescent="0.3">
      <c r="A2126" s="75" t="s">
        <v>5890</v>
      </c>
      <c r="B2126" s="75" t="s">
        <v>5891</v>
      </c>
      <c r="C2126" s="75" t="s">
        <v>5892</v>
      </c>
      <c r="D2126" s="75">
        <v>2007</v>
      </c>
      <c r="E2126" s="75" t="s">
        <v>44</v>
      </c>
      <c r="F2126" s="75" t="s">
        <v>45</v>
      </c>
    </row>
    <row r="2127" spans="1:6" x14ac:dyDescent="0.3">
      <c r="A2127" s="75" t="s">
        <v>5893</v>
      </c>
      <c r="B2127" s="75" t="s">
        <v>5894</v>
      </c>
      <c r="C2127" s="75" t="s">
        <v>5895</v>
      </c>
      <c r="D2127" s="75" t="s">
        <v>13</v>
      </c>
      <c r="E2127" s="75" t="s">
        <v>84</v>
      </c>
      <c r="F2127" s="75" t="s">
        <v>85</v>
      </c>
    </row>
    <row r="2128" spans="1:6" x14ac:dyDescent="0.3">
      <c r="A2128" s="75" t="s">
        <v>5896</v>
      </c>
      <c r="B2128" s="75" t="s">
        <v>5897</v>
      </c>
      <c r="C2128" s="75" t="s">
        <v>5898</v>
      </c>
      <c r="D2128" s="75" t="s">
        <v>13</v>
      </c>
      <c r="E2128" s="75" t="s">
        <v>8</v>
      </c>
      <c r="F2128" s="75" t="s">
        <v>23</v>
      </c>
    </row>
    <row r="2129" spans="1:6" x14ac:dyDescent="0.3">
      <c r="A2129" s="75" t="s">
        <v>5899</v>
      </c>
      <c r="B2129" s="75" t="s">
        <v>5900</v>
      </c>
      <c r="C2129" s="75" t="s">
        <v>5901</v>
      </c>
      <c r="D2129" s="75">
        <v>2011</v>
      </c>
      <c r="E2129" s="75" t="s">
        <v>70</v>
      </c>
      <c r="F2129" s="75" t="s">
        <v>71</v>
      </c>
    </row>
    <row r="2130" spans="1:6" x14ac:dyDescent="0.3">
      <c r="A2130" s="75" t="s">
        <v>5902</v>
      </c>
      <c r="B2130" s="75" t="s">
        <v>5903</v>
      </c>
      <c r="C2130" s="75" t="s">
        <v>3108</v>
      </c>
      <c r="D2130" s="75" t="s">
        <v>13</v>
      </c>
      <c r="E2130" s="75" t="s">
        <v>31</v>
      </c>
      <c r="F2130" s="75" t="s">
        <v>92</v>
      </c>
    </row>
    <row r="2131" spans="1:6" x14ac:dyDescent="0.3">
      <c r="A2131" s="75" t="s">
        <v>5904</v>
      </c>
      <c r="B2131" s="75" t="s">
        <v>5905</v>
      </c>
      <c r="C2131" s="75" t="s">
        <v>5906</v>
      </c>
      <c r="D2131" s="75">
        <v>2011</v>
      </c>
      <c r="E2131" s="75" t="s">
        <v>8</v>
      </c>
      <c r="F2131" s="75" t="s">
        <v>23</v>
      </c>
    </row>
    <row r="2132" spans="1:6" x14ac:dyDescent="0.3">
      <c r="A2132" s="75" t="s">
        <v>5907</v>
      </c>
      <c r="B2132" s="75" t="s">
        <v>5908</v>
      </c>
      <c r="C2132" s="75" t="s">
        <v>5909</v>
      </c>
      <c r="D2132" s="75">
        <v>2014</v>
      </c>
      <c r="E2132" s="75" t="s">
        <v>70</v>
      </c>
      <c r="F2132" s="75" t="s">
        <v>71</v>
      </c>
    </row>
    <row r="2133" spans="1:6" x14ac:dyDescent="0.3">
      <c r="A2133" s="75" t="s">
        <v>5910</v>
      </c>
      <c r="B2133" s="75" t="s">
        <v>5911</v>
      </c>
      <c r="C2133" s="75" t="s">
        <v>5912</v>
      </c>
      <c r="D2133" s="75" t="s">
        <v>13</v>
      </c>
      <c r="E2133" s="75" t="s">
        <v>18</v>
      </c>
      <c r="F2133" s="75" t="s">
        <v>1449</v>
      </c>
    </row>
    <row r="2134" spans="1:6" x14ac:dyDescent="0.3">
      <c r="A2134" s="75" t="s">
        <v>5913</v>
      </c>
      <c r="B2134" s="75" t="s">
        <v>5914</v>
      </c>
      <c r="C2134" s="75" t="s">
        <v>5915</v>
      </c>
      <c r="D2134" s="75" t="s">
        <v>13</v>
      </c>
      <c r="E2134" s="75" t="s">
        <v>18</v>
      </c>
      <c r="F2134" s="75" t="s">
        <v>19</v>
      </c>
    </row>
    <row r="2135" spans="1:6" x14ac:dyDescent="0.3">
      <c r="A2135" s="75" t="s">
        <v>5916</v>
      </c>
      <c r="B2135" s="75" t="s">
        <v>5917</v>
      </c>
      <c r="C2135" s="75" t="s">
        <v>5918</v>
      </c>
      <c r="D2135" s="75" t="s">
        <v>13</v>
      </c>
      <c r="E2135" s="75" t="s">
        <v>13</v>
      </c>
      <c r="F2135" s="75" t="s">
        <v>13</v>
      </c>
    </row>
    <row r="2136" spans="1:6" x14ac:dyDescent="0.3">
      <c r="A2136" s="75" t="s">
        <v>5919</v>
      </c>
      <c r="B2136" s="75" t="s">
        <v>5920</v>
      </c>
      <c r="C2136" s="75" t="s">
        <v>5921</v>
      </c>
      <c r="D2136" s="75" t="s">
        <v>13</v>
      </c>
      <c r="E2136" s="75" t="s">
        <v>13</v>
      </c>
      <c r="F2136" s="75" t="s">
        <v>13</v>
      </c>
    </row>
    <row r="2137" spans="1:6" x14ac:dyDescent="0.3">
      <c r="A2137" s="75" t="s">
        <v>5922</v>
      </c>
      <c r="B2137" s="75" t="s">
        <v>5923</v>
      </c>
      <c r="C2137" s="75" t="s">
        <v>5924</v>
      </c>
      <c r="D2137" s="75" t="s">
        <v>13</v>
      </c>
      <c r="E2137" s="75" t="s">
        <v>8</v>
      </c>
      <c r="F2137" s="75" t="s">
        <v>27</v>
      </c>
    </row>
    <row r="2138" spans="1:6" x14ac:dyDescent="0.3">
      <c r="A2138" s="75" t="s">
        <v>5925</v>
      </c>
      <c r="B2138" s="75" t="s">
        <v>5926</v>
      </c>
      <c r="C2138" s="75" t="s">
        <v>5927</v>
      </c>
      <c r="D2138" s="75" t="s">
        <v>13</v>
      </c>
      <c r="E2138" s="75" t="s">
        <v>70</v>
      </c>
      <c r="F2138" s="75" t="s">
        <v>71</v>
      </c>
    </row>
    <row r="2139" spans="1:6" x14ac:dyDescent="0.3">
      <c r="A2139" s="75" t="s">
        <v>5928</v>
      </c>
      <c r="B2139" s="75" t="s">
        <v>5929</v>
      </c>
      <c r="C2139" s="75" t="s">
        <v>5930</v>
      </c>
      <c r="D2139" s="75">
        <v>2017</v>
      </c>
      <c r="E2139" s="75" t="s">
        <v>31</v>
      </c>
      <c r="F2139" s="75" t="s">
        <v>36</v>
      </c>
    </row>
    <row r="2140" spans="1:6" x14ac:dyDescent="0.3">
      <c r="A2140" s="75" t="s">
        <v>5931</v>
      </c>
      <c r="B2140" s="75" t="s">
        <v>5932</v>
      </c>
      <c r="C2140" s="75" t="s">
        <v>5933</v>
      </c>
      <c r="D2140" s="75">
        <v>1991</v>
      </c>
      <c r="E2140" s="75" t="s">
        <v>283</v>
      </c>
      <c r="F2140" s="75" t="s">
        <v>694</v>
      </c>
    </row>
    <row r="2141" spans="1:6" x14ac:dyDescent="0.3">
      <c r="A2141" s="75" t="s">
        <v>5934</v>
      </c>
      <c r="B2141" s="75" t="s">
        <v>5935</v>
      </c>
      <c r="C2141" s="75" t="s">
        <v>5936</v>
      </c>
      <c r="D2141" s="75" t="s">
        <v>13</v>
      </c>
      <c r="E2141" s="75" t="s">
        <v>8</v>
      </c>
      <c r="F2141" s="75" t="s">
        <v>27</v>
      </c>
    </row>
    <row r="2142" spans="1:6" x14ac:dyDescent="0.3">
      <c r="A2142" s="75" t="s">
        <v>5937</v>
      </c>
      <c r="B2142" s="75" t="s">
        <v>5938</v>
      </c>
      <c r="C2142" s="75" t="s">
        <v>1672</v>
      </c>
      <c r="D2142" s="75" t="s">
        <v>13</v>
      </c>
      <c r="E2142" s="75" t="s">
        <v>8</v>
      </c>
      <c r="F2142" s="75" t="s">
        <v>27</v>
      </c>
    </row>
    <row r="2143" spans="1:6" x14ac:dyDescent="0.3">
      <c r="A2143" s="75" t="s">
        <v>5939</v>
      </c>
      <c r="B2143" s="75" t="s">
        <v>5940</v>
      </c>
      <c r="C2143" s="75" t="s">
        <v>5941</v>
      </c>
      <c r="D2143" s="75" t="s">
        <v>13</v>
      </c>
      <c r="E2143" s="75" t="s">
        <v>8</v>
      </c>
      <c r="F2143" s="75" t="s">
        <v>27</v>
      </c>
    </row>
    <row r="2144" spans="1:6" x14ac:dyDescent="0.3">
      <c r="A2144" s="75" t="s">
        <v>5942</v>
      </c>
      <c r="B2144" s="75" t="s">
        <v>5943</v>
      </c>
      <c r="C2144" s="75" t="s">
        <v>5944</v>
      </c>
      <c r="D2144" s="75" t="s">
        <v>13</v>
      </c>
      <c r="E2144" s="75" t="s">
        <v>8</v>
      </c>
      <c r="F2144" s="75" t="s">
        <v>27</v>
      </c>
    </row>
    <row r="2145" spans="1:6" x14ac:dyDescent="0.3">
      <c r="A2145" s="75" t="s">
        <v>5945</v>
      </c>
      <c r="B2145" s="75" t="s">
        <v>5943</v>
      </c>
      <c r="C2145" s="75" t="s">
        <v>13</v>
      </c>
      <c r="D2145" s="75" t="s">
        <v>13</v>
      </c>
      <c r="E2145" s="75" t="s">
        <v>8</v>
      </c>
      <c r="F2145" s="75" t="s">
        <v>27</v>
      </c>
    </row>
    <row r="2146" spans="1:6" x14ac:dyDescent="0.3">
      <c r="A2146" s="75" t="s">
        <v>5946</v>
      </c>
      <c r="B2146" s="75" t="s">
        <v>5947</v>
      </c>
      <c r="C2146" s="75" t="s">
        <v>3284</v>
      </c>
      <c r="D2146" s="75">
        <v>2015</v>
      </c>
      <c r="E2146" s="75" t="s">
        <v>18</v>
      </c>
      <c r="F2146" s="75" t="s">
        <v>2123</v>
      </c>
    </row>
    <row r="2147" spans="1:6" x14ac:dyDescent="0.3">
      <c r="A2147" s="75" t="s">
        <v>5948</v>
      </c>
      <c r="B2147" s="75" t="s">
        <v>5949</v>
      </c>
      <c r="C2147" s="75" t="s">
        <v>5950</v>
      </c>
      <c r="D2147" s="75">
        <v>1994</v>
      </c>
      <c r="E2147" s="75" t="s">
        <v>58</v>
      </c>
      <c r="F2147" s="75" t="s">
        <v>519</v>
      </c>
    </row>
    <row r="2148" spans="1:6" x14ac:dyDescent="0.3">
      <c r="A2148" s="75" t="s">
        <v>5951</v>
      </c>
      <c r="B2148" s="75" t="s">
        <v>5952</v>
      </c>
      <c r="C2148" s="75" t="s">
        <v>5953</v>
      </c>
      <c r="D2148" s="75" t="s">
        <v>13</v>
      </c>
      <c r="E2148" s="75" t="s">
        <v>53</v>
      </c>
      <c r="F2148" s="75" t="s">
        <v>353</v>
      </c>
    </row>
    <row r="2149" spans="1:6" x14ac:dyDescent="0.3">
      <c r="A2149" s="75" t="s">
        <v>5954</v>
      </c>
      <c r="B2149" s="75" t="s">
        <v>5955</v>
      </c>
      <c r="C2149" s="75" t="s">
        <v>5956</v>
      </c>
      <c r="D2149" s="75">
        <v>2009</v>
      </c>
      <c r="E2149" s="75" t="s">
        <v>70</v>
      </c>
      <c r="F2149" s="75" t="s">
        <v>71</v>
      </c>
    </row>
    <row r="2150" spans="1:6" x14ac:dyDescent="0.3">
      <c r="A2150" s="75" t="s">
        <v>5957</v>
      </c>
      <c r="B2150" s="75" t="s">
        <v>5958</v>
      </c>
      <c r="C2150" s="75" t="s">
        <v>5959</v>
      </c>
      <c r="D2150" s="75" t="s">
        <v>13</v>
      </c>
      <c r="E2150" s="75" t="s">
        <v>96</v>
      </c>
      <c r="F2150" s="75" t="s">
        <v>76</v>
      </c>
    </row>
    <row r="2151" spans="1:6" x14ac:dyDescent="0.3">
      <c r="A2151" s="75" t="s">
        <v>5960</v>
      </c>
      <c r="B2151" s="75" t="s">
        <v>5961</v>
      </c>
      <c r="C2151" s="75" t="s">
        <v>1016</v>
      </c>
      <c r="D2151" s="75">
        <v>2001</v>
      </c>
      <c r="E2151" s="75" t="s">
        <v>31</v>
      </c>
      <c r="F2151" s="75" t="s">
        <v>626</v>
      </c>
    </row>
    <row r="2152" spans="1:6" x14ac:dyDescent="0.3">
      <c r="A2152" s="75" t="s">
        <v>5962</v>
      </c>
      <c r="B2152" s="75" t="s">
        <v>5963</v>
      </c>
      <c r="C2152" s="75" t="s">
        <v>5964</v>
      </c>
      <c r="D2152" s="75" t="s">
        <v>13</v>
      </c>
      <c r="E2152" s="75" t="s">
        <v>31</v>
      </c>
      <c r="F2152" s="75" t="s">
        <v>92</v>
      </c>
    </row>
    <row r="2153" spans="1:6" x14ac:dyDescent="0.3">
      <c r="A2153" s="75" t="s">
        <v>5965</v>
      </c>
      <c r="B2153" s="75" t="s">
        <v>5966</v>
      </c>
      <c r="C2153" s="75" t="s">
        <v>5967</v>
      </c>
      <c r="D2153" s="75" t="s">
        <v>13</v>
      </c>
      <c r="E2153" s="75" t="s">
        <v>31</v>
      </c>
      <c r="F2153" s="75" t="s">
        <v>92</v>
      </c>
    </row>
    <row r="2154" spans="1:6" x14ac:dyDescent="0.3">
      <c r="A2154" s="75" t="s">
        <v>5968</v>
      </c>
      <c r="B2154" s="75" t="s">
        <v>5969</v>
      </c>
      <c r="C2154" s="75" t="s">
        <v>5970</v>
      </c>
      <c r="D2154" s="75">
        <v>2016</v>
      </c>
      <c r="E2154" s="75" t="s">
        <v>70</v>
      </c>
      <c r="F2154" s="75" t="s">
        <v>118</v>
      </c>
    </row>
    <row r="2155" spans="1:6" x14ac:dyDescent="0.3">
      <c r="A2155" s="75" t="s">
        <v>5971</v>
      </c>
      <c r="B2155" s="75" t="s">
        <v>5969</v>
      </c>
      <c r="C2155" s="75" t="s">
        <v>13</v>
      </c>
      <c r="D2155" s="75">
        <v>2016</v>
      </c>
      <c r="E2155" s="75" t="s">
        <v>70</v>
      </c>
      <c r="F2155" s="75" t="s">
        <v>118</v>
      </c>
    </row>
    <row r="2156" spans="1:6" x14ac:dyDescent="0.3">
      <c r="A2156" s="75" t="s">
        <v>5972</v>
      </c>
      <c r="B2156" s="75" t="s">
        <v>5969</v>
      </c>
      <c r="C2156" s="75" t="s">
        <v>13</v>
      </c>
      <c r="D2156" s="75">
        <v>2016</v>
      </c>
      <c r="E2156" s="75" t="s">
        <v>70</v>
      </c>
      <c r="F2156" s="75" t="s">
        <v>118</v>
      </c>
    </row>
    <row r="2157" spans="1:6" x14ac:dyDescent="0.3">
      <c r="A2157" s="75" t="s">
        <v>5973</v>
      </c>
      <c r="B2157" s="75" t="s">
        <v>5974</v>
      </c>
      <c r="C2157" s="75" t="s">
        <v>5975</v>
      </c>
      <c r="D2157" s="75">
        <v>2013</v>
      </c>
      <c r="E2157" s="75" t="s">
        <v>70</v>
      </c>
      <c r="F2157" s="75" t="s">
        <v>71</v>
      </c>
    </row>
    <row r="2158" spans="1:6" x14ac:dyDescent="0.3">
      <c r="A2158" s="75" t="s">
        <v>5976</v>
      </c>
      <c r="B2158" s="75" t="s">
        <v>5977</v>
      </c>
      <c r="C2158" s="75" t="s">
        <v>5978</v>
      </c>
      <c r="D2158" s="75">
        <v>2013</v>
      </c>
      <c r="E2158" s="75" t="s">
        <v>70</v>
      </c>
      <c r="F2158" s="75" t="s">
        <v>71</v>
      </c>
    </row>
    <row r="2159" spans="1:6" x14ac:dyDescent="0.3">
      <c r="A2159" s="75" t="s">
        <v>5979</v>
      </c>
      <c r="B2159" s="75" t="s">
        <v>5977</v>
      </c>
      <c r="C2159" s="75" t="s">
        <v>13</v>
      </c>
      <c r="D2159" s="75" t="s">
        <v>13</v>
      </c>
      <c r="E2159" s="75" t="s">
        <v>70</v>
      </c>
      <c r="F2159" s="75" t="s">
        <v>71</v>
      </c>
    </row>
    <row r="2160" spans="1:6" x14ac:dyDescent="0.3">
      <c r="A2160" s="75" t="s">
        <v>5980</v>
      </c>
      <c r="B2160" s="75" t="s">
        <v>5981</v>
      </c>
      <c r="C2160" s="75" t="s">
        <v>5982</v>
      </c>
      <c r="D2160" s="75" t="s">
        <v>13</v>
      </c>
      <c r="E2160" s="75" t="s">
        <v>70</v>
      </c>
      <c r="F2160" s="75" t="s">
        <v>71</v>
      </c>
    </row>
    <row r="2161" spans="1:6" x14ac:dyDescent="0.3">
      <c r="A2161" s="75" t="s">
        <v>5983</v>
      </c>
      <c r="B2161" s="75" t="s">
        <v>5984</v>
      </c>
      <c r="C2161" s="75" t="s">
        <v>5985</v>
      </c>
      <c r="D2161" s="75" t="s">
        <v>13</v>
      </c>
      <c r="E2161" s="75" t="s">
        <v>44</v>
      </c>
      <c r="F2161" s="75" t="s">
        <v>49</v>
      </c>
    </row>
    <row r="2162" spans="1:6" x14ac:dyDescent="0.3">
      <c r="A2162" s="75" t="s">
        <v>5986</v>
      </c>
      <c r="B2162" s="75" t="s">
        <v>5987</v>
      </c>
      <c r="C2162" s="75" t="s">
        <v>5988</v>
      </c>
      <c r="D2162" s="75">
        <v>2000</v>
      </c>
      <c r="E2162" s="75" t="s">
        <v>96</v>
      </c>
      <c r="F2162" s="75" t="s">
        <v>76</v>
      </c>
    </row>
    <row r="2163" spans="1:6" x14ac:dyDescent="0.3">
      <c r="A2163" s="75" t="s">
        <v>5989</v>
      </c>
      <c r="B2163" s="75" t="s">
        <v>5990</v>
      </c>
      <c r="C2163" s="75" t="s">
        <v>5991</v>
      </c>
      <c r="D2163" s="75">
        <v>1996</v>
      </c>
      <c r="E2163" s="75" t="s">
        <v>31</v>
      </c>
      <c r="F2163" s="75" t="s">
        <v>161</v>
      </c>
    </row>
    <row r="2164" spans="1:6" x14ac:dyDescent="0.3">
      <c r="A2164" s="75" t="s">
        <v>5992</v>
      </c>
      <c r="B2164" s="75" t="s">
        <v>5993</v>
      </c>
      <c r="C2164" s="75" t="s">
        <v>5994</v>
      </c>
      <c r="D2164" s="75" t="s">
        <v>13</v>
      </c>
      <c r="E2164" s="75" t="s">
        <v>70</v>
      </c>
      <c r="F2164" s="75" t="s">
        <v>71</v>
      </c>
    </row>
    <row r="2165" spans="1:6" x14ac:dyDescent="0.3">
      <c r="A2165" s="75" t="s">
        <v>5995</v>
      </c>
      <c r="B2165" s="75" t="s">
        <v>5993</v>
      </c>
      <c r="C2165" s="75" t="s">
        <v>13</v>
      </c>
      <c r="D2165" s="75" t="s">
        <v>13</v>
      </c>
      <c r="E2165" s="75" t="s">
        <v>70</v>
      </c>
      <c r="F2165" s="75" t="s">
        <v>71</v>
      </c>
    </row>
    <row r="2166" spans="1:6" x14ac:dyDescent="0.3">
      <c r="A2166" s="75" t="s">
        <v>5996</v>
      </c>
      <c r="B2166" s="75" t="s">
        <v>5997</v>
      </c>
      <c r="C2166" s="75" t="s">
        <v>5998</v>
      </c>
      <c r="D2166" s="75">
        <v>2015</v>
      </c>
      <c r="E2166" s="75" t="s">
        <v>70</v>
      </c>
      <c r="F2166" s="75" t="s">
        <v>101</v>
      </c>
    </row>
    <row r="2167" spans="1:6" x14ac:dyDescent="0.3">
      <c r="A2167" s="75" t="s">
        <v>5999</v>
      </c>
      <c r="B2167" s="75" t="s">
        <v>5997</v>
      </c>
      <c r="C2167" s="75" t="s">
        <v>13</v>
      </c>
      <c r="D2167" s="75">
        <v>2015</v>
      </c>
      <c r="E2167" s="75" t="s">
        <v>70</v>
      </c>
      <c r="F2167" s="75" t="s">
        <v>101</v>
      </c>
    </row>
    <row r="2168" spans="1:6" x14ac:dyDescent="0.3">
      <c r="A2168" s="75" t="s">
        <v>6000</v>
      </c>
      <c r="B2168" s="75" t="s">
        <v>6001</v>
      </c>
      <c r="C2168" s="75" t="s">
        <v>6002</v>
      </c>
      <c r="D2168" s="75">
        <v>2013</v>
      </c>
      <c r="E2168" s="75" t="s">
        <v>70</v>
      </c>
      <c r="F2168" s="75" t="s">
        <v>71</v>
      </c>
    </row>
    <row r="2169" spans="1:6" x14ac:dyDescent="0.3">
      <c r="A2169" s="75" t="s">
        <v>6003</v>
      </c>
      <c r="B2169" s="75" t="s">
        <v>6004</v>
      </c>
      <c r="C2169" s="75" t="s">
        <v>6005</v>
      </c>
      <c r="D2169" s="75" t="s">
        <v>13</v>
      </c>
      <c r="E2169" s="75" t="s">
        <v>70</v>
      </c>
      <c r="F2169" s="75" t="s">
        <v>71</v>
      </c>
    </row>
    <row r="2170" spans="1:6" x14ac:dyDescent="0.3">
      <c r="A2170" s="75" t="s">
        <v>6006</v>
      </c>
      <c r="B2170" s="75" t="s">
        <v>6007</v>
      </c>
      <c r="C2170" s="75" t="s">
        <v>6008</v>
      </c>
      <c r="D2170" s="75">
        <v>1999</v>
      </c>
      <c r="E2170" s="75" t="s">
        <v>8</v>
      </c>
      <c r="F2170" s="75" t="s">
        <v>1261</v>
      </c>
    </row>
    <row r="2171" spans="1:6" x14ac:dyDescent="0.3">
      <c r="A2171" s="75" t="s">
        <v>6009</v>
      </c>
      <c r="B2171" s="75" t="s">
        <v>6010</v>
      </c>
      <c r="C2171" s="75" t="s">
        <v>6011</v>
      </c>
      <c r="D2171" s="75" t="s">
        <v>13</v>
      </c>
      <c r="E2171" s="75" t="s">
        <v>58</v>
      </c>
      <c r="F2171" s="75" t="s">
        <v>49</v>
      </c>
    </row>
    <row r="2172" spans="1:6" x14ac:dyDescent="0.3">
      <c r="A2172" s="75" t="s">
        <v>6012</v>
      </c>
      <c r="B2172" s="75" t="s">
        <v>6013</v>
      </c>
      <c r="C2172" s="75" t="s">
        <v>6014</v>
      </c>
      <c r="D2172" s="75" t="s">
        <v>13</v>
      </c>
      <c r="E2172" s="75" t="s">
        <v>8</v>
      </c>
      <c r="F2172" s="75" t="s">
        <v>27</v>
      </c>
    </row>
    <row r="2173" spans="1:6" x14ac:dyDescent="0.3">
      <c r="A2173" s="75" t="s">
        <v>6015</v>
      </c>
      <c r="B2173" s="75" t="s">
        <v>6016</v>
      </c>
      <c r="C2173" s="75" t="s">
        <v>6017</v>
      </c>
      <c r="D2173" s="75">
        <v>2014</v>
      </c>
      <c r="E2173" s="75" t="s">
        <v>13</v>
      </c>
      <c r="F2173" s="75" t="s">
        <v>13</v>
      </c>
    </row>
    <row r="2174" spans="1:6" x14ac:dyDescent="0.3">
      <c r="A2174" s="75" t="s">
        <v>6018</v>
      </c>
      <c r="B2174" s="75" t="s">
        <v>6019</v>
      </c>
      <c r="C2174" s="75" t="s">
        <v>6020</v>
      </c>
      <c r="D2174" s="75" t="s">
        <v>13</v>
      </c>
      <c r="E2174" s="75" t="s">
        <v>70</v>
      </c>
      <c r="F2174" s="75" t="s">
        <v>71</v>
      </c>
    </row>
    <row r="2175" spans="1:6" x14ac:dyDescent="0.3">
      <c r="A2175" s="75" t="s">
        <v>6021</v>
      </c>
      <c r="B2175" s="75" t="s">
        <v>6022</v>
      </c>
      <c r="C2175" s="75" t="s">
        <v>5447</v>
      </c>
      <c r="D2175" s="75" t="s">
        <v>13</v>
      </c>
      <c r="E2175" s="75" t="s">
        <v>70</v>
      </c>
      <c r="F2175" s="75" t="s">
        <v>80</v>
      </c>
    </row>
    <row r="2176" spans="1:6" x14ac:dyDescent="0.3">
      <c r="A2176" s="75" t="s">
        <v>6023</v>
      </c>
      <c r="B2176" s="75" t="s">
        <v>6024</v>
      </c>
      <c r="C2176" s="75" t="s">
        <v>6025</v>
      </c>
      <c r="D2176" s="75">
        <v>2006</v>
      </c>
      <c r="E2176" s="75" t="s">
        <v>18</v>
      </c>
      <c r="F2176" s="75" t="s">
        <v>49</v>
      </c>
    </row>
    <row r="2177" spans="1:6" x14ac:dyDescent="0.3">
      <c r="A2177" s="75" t="s">
        <v>6026</v>
      </c>
      <c r="B2177" s="75" t="s">
        <v>6027</v>
      </c>
      <c r="C2177" s="75" t="s">
        <v>1243</v>
      </c>
      <c r="D2177" s="75" t="s">
        <v>13</v>
      </c>
      <c r="E2177" s="75" t="s">
        <v>53</v>
      </c>
      <c r="F2177" s="75" t="s">
        <v>63</v>
      </c>
    </row>
    <row r="2178" spans="1:6" x14ac:dyDescent="0.3">
      <c r="A2178" s="75" t="s">
        <v>6028</v>
      </c>
      <c r="B2178" s="75" t="s">
        <v>6029</v>
      </c>
      <c r="C2178" s="75" t="s">
        <v>6030</v>
      </c>
      <c r="D2178" s="75">
        <v>1993</v>
      </c>
      <c r="E2178" s="75" t="s">
        <v>18</v>
      </c>
      <c r="F2178" s="75" t="s">
        <v>19</v>
      </c>
    </row>
    <row r="2179" spans="1:6" x14ac:dyDescent="0.3">
      <c r="A2179" s="75" t="s">
        <v>6031</v>
      </c>
      <c r="B2179" s="75" t="s">
        <v>6032</v>
      </c>
      <c r="C2179" s="75" t="s">
        <v>6033</v>
      </c>
      <c r="D2179" s="75">
        <v>2007</v>
      </c>
      <c r="E2179" s="75" t="s">
        <v>70</v>
      </c>
      <c r="F2179" s="75" t="s">
        <v>71</v>
      </c>
    </row>
    <row r="2180" spans="1:6" x14ac:dyDescent="0.3">
      <c r="A2180" s="75" t="s">
        <v>6034</v>
      </c>
      <c r="B2180" s="75" t="s">
        <v>6035</v>
      </c>
      <c r="C2180" s="75" t="s">
        <v>6036</v>
      </c>
      <c r="D2180" s="75" t="s">
        <v>13</v>
      </c>
      <c r="E2180" s="75" t="s">
        <v>70</v>
      </c>
      <c r="F2180" s="75" t="s">
        <v>118</v>
      </c>
    </row>
    <row r="2181" spans="1:6" x14ac:dyDescent="0.3">
      <c r="A2181" s="75" t="s">
        <v>6037</v>
      </c>
      <c r="B2181" s="75" t="s">
        <v>6038</v>
      </c>
      <c r="C2181" s="75" t="s">
        <v>6039</v>
      </c>
      <c r="D2181" s="75" t="s">
        <v>13</v>
      </c>
      <c r="E2181" s="75" t="s">
        <v>348</v>
      </c>
      <c r="F2181" s="75" t="s">
        <v>349</v>
      </c>
    </row>
    <row r="2182" spans="1:6" x14ac:dyDescent="0.3">
      <c r="A2182" s="75" t="s">
        <v>6040</v>
      </c>
      <c r="B2182" s="75" t="s">
        <v>6041</v>
      </c>
      <c r="C2182" s="75" t="s">
        <v>6042</v>
      </c>
      <c r="D2182" s="75">
        <v>2015</v>
      </c>
      <c r="E2182" s="75" t="s">
        <v>8</v>
      </c>
      <c r="F2182" s="75" t="s">
        <v>76</v>
      </c>
    </row>
    <row r="2183" spans="1:6" x14ac:dyDescent="0.3">
      <c r="A2183" s="75" t="s">
        <v>6043</v>
      </c>
      <c r="B2183" s="75" t="s">
        <v>6041</v>
      </c>
      <c r="C2183" s="75" t="s">
        <v>13</v>
      </c>
      <c r="D2183" s="75">
        <v>2015</v>
      </c>
      <c r="E2183" s="75" t="s">
        <v>8</v>
      </c>
      <c r="F2183" s="75" t="s">
        <v>76</v>
      </c>
    </row>
    <row r="2184" spans="1:6" x14ac:dyDescent="0.3">
      <c r="A2184" s="75" t="s">
        <v>6044</v>
      </c>
      <c r="B2184" s="75" t="s">
        <v>6041</v>
      </c>
      <c r="C2184" s="75" t="s">
        <v>13</v>
      </c>
      <c r="D2184" s="75">
        <v>2014</v>
      </c>
      <c r="E2184" s="75" t="s">
        <v>8</v>
      </c>
      <c r="F2184" s="75" t="s">
        <v>76</v>
      </c>
    </row>
    <row r="2185" spans="1:6" x14ac:dyDescent="0.3">
      <c r="A2185" s="75" t="s">
        <v>6045</v>
      </c>
      <c r="B2185" s="75" t="s">
        <v>6041</v>
      </c>
      <c r="C2185" s="75" t="s">
        <v>13</v>
      </c>
      <c r="D2185" s="75">
        <v>2015</v>
      </c>
      <c r="E2185" s="75" t="s">
        <v>8</v>
      </c>
      <c r="F2185" s="75" t="s">
        <v>76</v>
      </c>
    </row>
    <row r="2186" spans="1:6" x14ac:dyDescent="0.3">
      <c r="A2186" s="75" t="s">
        <v>6046</v>
      </c>
      <c r="B2186" s="75" t="s">
        <v>6047</v>
      </c>
      <c r="C2186" s="75" t="s">
        <v>6048</v>
      </c>
      <c r="D2186" s="75">
        <v>2015</v>
      </c>
      <c r="E2186" s="75" t="s">
        <v>518</v>
      </c>
      <c r="F2186" s="75" t="s">
        <v>2520</v>
      </c>
    </row>
    <row r="2187" spans="1:6" x14ac:dyDescent="0.3">
      <c r="A2187" s="75" t="s">
        <v>6049</v>
      </c>
      <c r="B2187" s="75" t="s">
        <v>6050</v>
      </c>
      <c r="C2187" s="75" t="s">
        <v>6051</v>
      </c>
      <c r="D2187" s="75" t="s">
        <v>13</v>
      </c>
      <c r="E2187" s="75" t="s">
        <v>8</v>
      </c>
      <c r="F2187" s="75" t="s">
        <v>27</v>
      </c>
    </row>
    <row r="2188" spans="1:6" x14ac:dyDescent="0.3">
      <c r="A2188" s="75" t="s">
        <v>6052</v>
      </c>
      <c r="B2188" s="75" t="s">
        <v>6053</v>
      </c>
      <c r="C2188" s="75" t="s">
        <v>6054</v>
      </c>
      <c r="D2188" s="75" t="s">
        <v>13</v>
      </c>
      <c r="E2188" s="75" t="s">
        <v>8</v>
      </c>
      <c r="F2188" s="75" t="s">
        <v>27</v>
      </c>
    </row>
    <row r="2189" spans="1:6" x14ac:dyDescent="0.3">
      <c r="A2189" s="75" t="s">
        <v>6055</v>
      </c>
      <c r="B2189" s="75" t="s">
        <v>6056</v>
      </c>
      <c r="C2189" s="75" t="s">
        <v>6057</v>
      </c>
      <c r="D2189" s="75">
        <v>1992</v>
      </c>
      <c r="E2189" s="75" t="s">
        <v>70</v>
      </c>
      <c r="F2189" s="75" t="s">
        <v>80</v>
      </c>
    </row>
    <row r="2190" spans="1:6" x14ac:dyDescent="0.3">
      <c r="A2190" s="75" t="s">
        <v>6058</v>
      </c>
      <c r="B2190" s="75" t="s">
        <v>6059</v>
      </c>
      <c r="C2190" s="75" t="s">
        <v>5676</v>
      </c>
      <c r="D2190" s="75">
        <v>1997</v>
      </c>
      <c r="E2190" s="75" t="s">
        <v>31</v>
      </c>
      <c r="F2190" s="75" t="s">
        <v>92</v>
      </c>
    </row>
    <row r="2191" spans="1:6" x14ac:dyDescent="0.3">
      <c r="A2191" s="75" t="s">
        <v>6060</v>
      </c>
      <c r="B2191" s="75" t="s">
        <v>6061</v>
      </c>
      <c r="C2191" s="75" t="s">
        <v>13</v>
      </c>
      <c r="D2191" s="75">
        <v>2017</v>
      </c>
      <c r="E2191" s="75" t="s">
        <v>8</v>
      </c>
      <c r="F2191" s="75" t="s">
        <v>76</v>
      </c>
    </row>
    <row r="2192" spans="1:6" x14ac:dyDescent="0.3">
      <c r="A2192" s="75" t="s">
        <v>6062</v>
      </c>
      <c r="B2192" s="75" t="s">
        <v>6063</v>
      </c>
      <c r="C2192" s="75" t="s">
        <v>6064</v>
      </c>
      <c r="D2192" s="75">
        <v>2010</v>
      </c>
      <c r="E2192" s="75" t="s">
        <v>58</v>
      </c>
      <c r="F2192" s="75" t="s">
        <v>3547</v>
      </c>
    </row>
    <row r="2193" spans="1:6" x14ac:dyDescent="0.3">
      <c r="A2193" s="75" t="s">
        <v>6065</v>
      </c>
      <c r="B2193" s="75" t="s">
        <v>6066</v>
      </c>
      <c r="C2193" s="75" t="s">
        <v>6067</v>
      </c>
      <c r="D2193" s="75" t="s">
        <v>13</v>
      </c>
      <c r="E2193" s="75" t="s">
        <v>44</v>
      </c>
      <c r="F2193" s="75" t="s">
        <v>49</v>
      </c>
    </row>
    <row r="2194" spans="1:6" x14ac:dyDescent="0.3">
      <c r="A2194" s="75" t="s">
        <v>6068</v>
      </c>
      <c r="B2194" s="75" t="s">
        <v>6069</v>
      </c>
      <c r="C2194" s="75" t="s">
        <v>6070</v>
      </c>
      <c r="D2194" s="75">
        <v>2014</v>
      </c>
      <c r="E2194" s="75" t="s">
        <v>70</v>
      </c>
      <c r="F2194" s="75" t="s">
        <v>71</v>
      </c>
    </row>
    <row r="2195" spans="1:6" x14ac:dyDescent="0.3">
      <c r="A2195" s="75" t="s">
        <v>6071</v>
      </c>
      <c r="B2195" s="75" t="s">
        <v>6072</v>
      </c>
      <c r="C2195" s="75" t="s">
        <v>6073</v>
      </c>
      <c r="D2195" s="75" t="s">
        <v>13</v>
      </c>
      <c r="E2195" s="75" t="s">
        <v>8</v>
      </c>
      <c r="F2195" s="75" t="s">
        <v>23</v>
      </c>
    </row>
    <row r="2196" spans="1:6" x14ac:dyDescent="0.3">
      <c r="A2196" s="75" t="s">
        <v>6074</v>
      </c>
      <c r="B2196" s="75" t="s">
        <v>6075</v>
      </c>
      <c r="C2196" s="75" t="s">
        <v>6076</v>
      </c>
      <c r="D2196" s="75" t="s">
        <v>13</v>
      </c>
      <c r="E2196" s="75" t="s">
        <v>44</v>
      </c>
      <c r="F2196" s="75" t="s">
        <v>45</v>
      </c>
    </row>
    <row r="2197" spans="1:6" x14ac:dyDescent="0.3">
      <c r="A2197" s="75" t="s">
        <v>6077</v>
      </c>
      <c r="B2197" s="75" t="s">
        <v>6078</v>
      </c>
      <c r="C2197" s="75" t="s">
        <v>6079</v>
      </c>
      <c r="D2197" s="75" t="s">
        <v>13</v>
      </c>
      <c r="E2197" s="75" t="s">
        <v>70</v>
      </c>
      <c r="F2197" s="75" t="s">
        <v>71</v>
      </c>
    </row>
    <row r="2198" spans="1:6" x14ac:dyDescent="0.3">
      <c r="A2198" s="75" t="s">
        <v>6080</v>
      </c>
      <c r="B2198" s="75" t="s">
        <v>6081</v>
      </c>
      <c r="C2198" s="75" t="s">
        <v>6082</v>
      </c>
      <c r="D2198" s="75">
        <v>2002</v>
      </c>
      <c r="E2198" s="75" t="s">
        <v>18</v>
      </c>
      <c r="F2198" s="75" t="s">
        <v>450</v>
      </c>
    </row>
    <row r="2199" spans="1:6" x14ac:dyDescent="0.3">
      <c r="A2199" s="75" t="s">
        <v>6083</v>
      </c>
      <c r="B2199" s="75" t="s">
        <v>6084</v>
      </c>
      <c r="C2199" s="75" t="s">
        <v>2028</v>
      </c>
      <c r="D2199" s="75">
        <v>2017</v>
      </c>
      <c r="E2199" s="75" t="s">
        <v>70</v>
      </c>
      <c r="F2199" s="75" t="s">
        <v>71</v>
      </c>
    </row>
    <row r="2200" spans="1:6" x14ac:dyDescent="0.3">
      <c r="A2200" s="75" t="s">
        <v>6085</v>
      </c>
      <c r="B2200" s="75" t="s">
        <v>6086</v>
      </c>
      <c r="C2200" s="75" t="s">
        <v>6087</v>
      </c>
      <c r="D2200" s="75">
        <v>2014</v>
      </c>
      <c r="E2200" s="75" t="s">
        <v>8</v>
      </c>
      <c r="F2200" s="75" t="s">
        <v>9</v>
      </c>
    </row>
    <row r="2201" spans="1:6" x14ac:dyDescent="0.3">
      <c r="A2201" s="75" t="s">
        <v>6088</v>
      </c>
      <c r="B2201" s="75" t="s">
        <v>6086</v>
      </c>
      <c r="C2201" s="75" t="s">
        <v>13</v>
      </c>
      <c r="D2201" s="75">
        <v>2014</v>
      </c>
      <c r="E2201" s="75" t="s">
        <v>8</v>
      </c>
      <c r="F2201" s="75" t="s">
        <v>9</v>
      </c>
    </row>
    <row r="2202" spans="1:6" x14ac:dyDescent="0.3">
      <c r="A2202" s="75" t="s">
        <v>6089</v>
      </c>
      <c r="B2202" s="75" t="s">
        <v>6090</v>
      </c>
      <c r="C2202" s="75" t="s">
        <v>6091</v>
      </c>
      <c r="D2202" s="75">
        <v>2013</v>
      </c>
      <c r="E2202" s="75" t="s">
        <v>70</v>
      </c>
      <c r="F2202" s="75" t="s">
        <v>137</v>
      </c>
    </row>
    <row r="2203" spans="1:6" x14ac:dyDescent="0.3">
      <c r="A2203" s="75" t="s">
        <v>6092</v>
      </c>
      <c r="B2203" s="75" t="s">
        <v>6093</v>
      </c>
      <c r="C2203" s="75" t="s">
        <v>6094</v>
      </c>
      <c r="D2203" s="75">
        <v>2011</v>
      </c>
      <c r="E2203" s="75" t="s">
        <v>13</v>
      </c>
      <c r="F2203" s="75" t="s">
        <v>13</v>
      </c>
    </row>
    <row r="2204" spans="1:6" x14ac:dyDescent="0.3">
      <c r="A2204" s="75" t="s">
        <v>6095</v>
      </c>
      <c r="B2204" s="75" t="s">
        <v>6093</v>
      </c>
      <c r="C2204" s="75" t="s">
        <v>13</v>
      </c>
      <c r="D2204" s="75" t="s">
        <v>13</v>
      </c>
      <c r="E2204" s="75" t="s">
        <v>13</v>
      </c>
      <c r="F2204" s="75" t="s">
        <v>13</v>
      </c>
    </row>
    <row r="2205" spans="1:6" x14ac:dyDescent="0.3">
      <c r="A2205" s="75" t="s">
        <v>6096</v>
      </c>
      <c r="B2205" s="75" t="s">
        <v>6093</v>
      </c>
      <c r="C2205" s="75" t="s">
        <v>13</v>
      </c>
      <c r="D2205" s="75" t="s">
        <v>13</v>
      </c>
      <c r="E2205" s="75" t="s">
        <v>13</v>
      </c>
      <c r="F2205" s="75" t="s">
        <v>13</v>
      </c>
    </row>
    <row r="2206" spans="1:6" x14ac:dyDescent="0.3">
      <c r="A2206" s="75" t="s">
        <v>6097</v>
      </c>
      <c r="B2206" s="75" t="s">
        <v>6098</v>
      </c>
      <c r="C2206" s="75" t="s">
        <v>6099</v>
      </c>
      <c r="D2206" s="75" t="s">
        <v>13</v>
      </c>
      <c r="E2206" s="75" t="s">
        <v>31</v>
      </c>
      <c r="F2206" s="75" t="s">
        <v>63</v>
      </c>
    </row>
    <row r="2207" spans="1:6" x14ac:dyDescent="0.3">
      <c r="A2207" s="75" t="s">
        <v>6100</v>
      </c>
      <c r="B2207" s="75" t="s">
        <v>6101</v>
      </c>
      <c r="C2207" s="75" t="s">
        <v>6102</v>
      </c>
      <c r="D2207" s="75">
        <v>1986</v>
      </c>
      <c r="E2207" s="75" t="s">
        <v>283</v>
      </c>
      <c r="F2207" s="75" t="s">
        <v>694</v>
      </c>
    </row>
    <row r="2208" spans="1:6" x14ac:dyDescent="0.3">
      <c r="A2208" s="75" t="s">
        <v>6103</v>
      </c>
      <c r="B2208" s="75" t="s">
        <v>6104</v>
      </c>
      <c r="C2208" s="75" t="s">
        <v>6105</v>
      </c>
      <c r="D2208" s="75" t="s">
        <v>13</v>
      </c>
      <c r="E2208" s="75" t="s">
        <v>53</v>
      </c>
      <c r="F2208" s="75" t="s">
        <v>4704</v>
      </c>
    </row>
    <row r="2209" spans="1:6" x14ac:dyDescent="0.3">
      <c r="A2209" s="75" t="s">
        <v>6106</v>
      </c>
      <c r="B2209" s="75" t="s">
        <v>6107</v>
      </c>
      <c r="C2209" s="75" t="s">
        <v>6108</v>
      </c>
      <c r="D2209" s="75">
        <v>2010</v>
      </c>
      <c r="E2209" s="75" t="s">
        <v>53</v>
      </c>
      <c r="F2209" s="75" t="s">
        <v>111</v>
      </c>
    </row>
    <row r="2210" spans="1:6" x14ac:dyDescent="0.3">
      <c r="A2210" s="75" t="s">
        <v>6109</v>
      </c>
      <c r="B2210" s="75" t="s">
        <v>6110</v>
      </c>
      <c r="C2210" s="75" t="s">
        <v>6111</v>
      </c>
      <c r="D2210" s="75" t="s">
        <v>13</v>
      </c>
      <c r="E2210" s="75" t="s">
        <v>8</v>
      </c>
      <c r="F2210" s="75" t="s">
        <v>27</v>
      </c>
    </row>
    <row r="2211" spans="1:6" x14ac:dyDescent="0.3">
      <c r="A2211" s="75" t="s">
        <v>6112</v>
      </c>
      <c r="B2211" s="75" t="s">
        <v>6113</v>
      </c>
      <c r="C2211" s="75" t="s">
        <v>6114</v>
      </c>
      <c r="D2211" s="75" t="s">
        <v>13</v>
      </c>
      <c r="E2211" s="75" t="s">
        <v>58</v>
      </c>
      <c r="F2211" s="75" t="s">
        <v>59</v>
      </c>
    </row>
    <row r="2212" spans="1:6" x14ac:dyDescent="0.3">
      <c r="A2212" s="75" t="s">
        <v>6115</v>
      </c>
      <c r="B2212" s="75" t="s">
        <v>6116</v>
      </c>
      <c r="C2212" s="75" t="s">
        <v>6117</v>
      </c>
      <c r="D2212" s="75">
        <v>2000</v>
      </c>
      <c r="E2212" s="75" t="s">
        <v>8</v>
      </c>
      <c r="F2212" s="75" t="s">
        <v>27</v>
      </c>
    </row>
    <row r="2213" spans="1:6" x14ac:dyDescent="0.3">
      <c r="A2213" s="75" t="s">
        <v>6118</v>
      </c>
      <c r="B2213" s="75" t="s">
        <v>6119</v>
      </c>
      <c r="C2213" s="75" t="s">
        <v>3393</v>
      </c>
      <c r="D2213" s="75" t="s">
        <v>13</v>
      </c>
      <c r="E2213" s="75" t="s">
        <v>8</v>
      </c>
      <c r="F2213" s="75" t="s">
        <v>27</v>
      </c>
    </row>
    <row r="2214" spans="1:6" x14ac:dyDescent="0.3">
      <c r="A2214" s="75" t="s">
        <v>6120</v>
      </c>
      <c r="B2214" s="75" t="s">
        <v>6121</v>
      </c>
      <c r="C2214" s="75" t="s">
        <v>6122</v>
      </c>
      <c r="D2214" s="75">
        <v>2015</v>
      </c>
      <c r="E2214" s="75" t="s">
        <v>8</v>
      </c>
      <c r="F2214" s="75" t="s">
        <v>76</v>
      </c>
    </row>
    <row r="2215" spans="1:6" x14ac:dyDescent="0.3">
      <c r="A2215" s="75" t="s">
        <v>6123</v>
      </c>
      <c r="B2215" s="75" t="s">
        <v>6121</v>
      </c>
      <c r="C2215" s="75" t="s">
        <v>13</v>
      </c>
      <c r="D2215" s="75">
        <v>2015</v>
      </c>
      <c r="E2215" s="75" t="s">
        <v>8</v>
      </c>
      <c r="F2215" s="75" t="s">
        <v>76</v>
      </c>
    </row>
    <row r="2216" spans="1:6" x14ac:dyDescent="0.3">
      <c r="A2216" s="75" t="s">
        <v>6124</v>
      </c>
      <c r="B2216" s="75" t="s">
        <v>6121</v>
      </c>
      <c r="C2216" s="75" t="s">
        <v>13</v>
      </c>
      <c r="D2216" s="75">
        <v>2015</v>
      </c>
      <c r="E2216" s="75" t="s">
        <v>8</v>
      </c>
      <c r="F2216" s="75" t="s">
        <v>76</v>
      </c>
    </row>
    <row r="2217" spans="1:6" x14ac:dyDescent="0.3">
      <c r="A2217" s="75" t="s">
        <v>6125</v>
      </c>
      <c r="B2217" s="75" t="s">
        <v>6121</v>
      </c>
      <c r="C2217" s="75" t="s">
        <v>13</v>
      </c>
      <c r="D2217" s="75">
        <v>2015</v>
      </c>
      <c r="E2217" s="75" t="s">
        <v>8</v>
      </c>
      <c r="F2217" s="75" t="s">
        <v>76</v>
      </c>
    </row>
    <row r="2218" spans="1:6" x14ac:dyDescent="0.3">
      <c r="A2218" s="75" t="s">
        <v>6126</v>
      </c>
      <c r="B2218" s="75" t="s">
        <v>6127</v>
      </c>
      <c r="C2218" s="75" t="s">
        <v>5676</v>
      </c>
      <c r="D2218" s="75">
        <v>2011</v>
      </c>
      <c r="E2218" s="75" t="s">
        <v>70</v>
      </c>
      <c r="F2218" s="75" t="s">
        <v>71</v>
      </c>
    </row>
    <row r="2219" spans="1:6" x14ac:dyDescent="0.3">
      <c r="A2219" s="75" t="s">
        <v>6128</v>
      </c>
      <c r="B2219" s="75" t="s">
        <v>6129</v>
      </c>
      <c r="C2219" s="75" t="s">
        <v>5008</v>
      </c>
      <c r="D2219" s="75" t="s">
        <v>13</v>
      </c>
      <c r="E2219" s="75" t="s">
        <v>8</v>
      </c>
      <c r="F2219" s="75" t="s">
        <v>27</v>
      </c>
    </row>
    <row r="2220" spans="1:6" x14ac:dyDescent="0.3">
      <c r="A2220" s="75" t="s">
        <v>6130</v>
      </c>
      <c r="B2220" s="75" t="s">
        <v>6131</v>
      </c>
      <c r="C2220" s="75" t="s">
        <v>6132</v>
      </c>
      <c r="D2220" s="75">
        <v>2000</v>
      </c>
      <c r="E2220" s="75" t="s">
        <v>70</v>
      </c>
      <c r="F2220" s="75" t="s">
        <v>71</v>
      </c>
    </row>
    <row r="2221" spans="1:6" x14ac:dyDescent="0.3">
      <c r="A2221" s="75" t="s">
        <v>6133</v>
      </c>
      <c r="B2221" s="75" t="s">
        <v>6134</v>
      </c>
      <c r="C2221" s="75" t="s">
        <v>6135</v>
      </c>
      <c r="D2221" s="75" t="s">
        <v>13</v>
      </c>
      <c r="E2221" s="75" t="s">
        <v>58</v>
      </c>
      <c r="F2221" s="75" t="s">
        <v>1773</v>
      </c>
    </row>
    <row r="2222" spans="1:6" x14ac:dyDescent="0.3">
      <c r="A2222" s="75" t="s">
        <v>6136</v>
      </c>
      <c r="B2222" s="75" t="s">
        <v>6137</v>
      </c>
      <c r="C2222" s="75" t="s">
        <v>6138</v>
      </c>
      <c r="D2222" s="75">
        <v>2013</v>
      </c>
      <c r="E2222" s="75" t="s">
        <v>283</v>
      </c>
      <c r="F2222" s="75" t="s">
        <v>1449</v>
      </c>
    </row>
    <row r="2223" spans="1:6" x14ac:dyDescent="0.3">
      <c r="A2223" s="75" t="s">
        <v>6139</v>
      </c>
      <c r="B2223" s="75" t="s">
        <v>6140</v>
      </c>
      <c r="C2223" s="75" t="s">
        <v>4869</v>
      </c>
      <c r="D2223" s="75">
        <v>1993</v>
      </c>
      <c r="E2223" s="75" t="s">
        <v>18</v>
      </c>
      <c r="F2223" s="75" t="s">
        <v>729</v>
      </c>
    </row>
    <row r="2224" spans="1:6" x14ac:dyDescent="0.3">
      <c r="A2224" s="75" t="s">
        <v>6141</v>
      </c>
      <c r="B2224" s="75" t="s">
        <v>6142</v>
      </c>
      <c r="C2224" s="75" t="s">
        <v>6143</v>
      </c>
      <c r="D2224" s="75">
        <v>2014</v>
      </c>
      <c r="E2224" s="75" t="s">
        <v>18</v>
      </c>
      <c r="F2224" s="75" t="s">
        <v>729</v>
      </c>
    </row>
    <row r="2225" spans="1:6" x14ac:dyDescent="0.3">
      <c r="A2225" s="75" t="s">
        <v>6144</v>
      </c>
      <c r="B2225" s="75" t="s">
        <v>6145</v>
      </c>
      <c r="C2225" s="75" t="s">
        <v>6146</v>
      </c>
      <c r="D2225" s="75">
        <v>2016</v>
      </c>
      <c r="E2225" s="75" t="s">
        <v>8</v>
      </c>
      <c r="F2225" s="75" t="s">
        <v>27</v>
      </c>
    </row>
    <row r="2226" spans="1:6" x14ac:dyDescent="0.3">
      <c r="A2226" s="75" t="s">
        <v>6147</v>
      </c>
      <c r="B2226" s="75" t="s">
        <v>6148</v>
      </c>
      <c r="C2226" s="75" t="s">
        <v>6149</v>
      </c>
      <c r="D2226" s="75" t="s">
        <v>13</v>
      </c>
      <c r="E2226" s="75" t="s">
        <v>70</v>
      </c>
      <c r="F2226" s="75" t="s">
        <v>71</v>
      </c>
    </row>
    <row r="2227" spans="1:6" x14ac:dyDescent="0.3">
      <c r="A2227" s="75" t="s">
        <v>6150</v>
      </c>
      <c r="B2227" s="75" t="s">
        <v>6151</v>
      </c>
      <c r="C2227" s="75" t="s">
        <v>6152</v>
      </c>
      <c r="D2227" s="75">
        <v>1995</v>
      </c>
      <c r="E2227" s="75" t="s">
        <v>70</v>
      </c>
      <c r="F2227" s="75" t="s">
        <v>326</v>
      </c>
    </row>
    <row r="2228" spans="1:6" x14ac:dyDescent="0.3">
      <c r="A2228" s="75" t="s">
        <v>6153</v>
      </c>
      <c r="B2228" s="75" t="s">
        <v>6154</v>
      </c>
      <c r="C2228" s="75" t="s">
        <v>6155</v>
      </c>
      <c r="D2228" s="75" t="s">
        <v>13</v>
      </c>
      <c r="E2228" s="75" t="s">
        <v>31</v>
      </c>
      <c r="F2228" s="75" t="s">
        <v>161</v>
      </c>
    </row>
    <row r="2229" spans="1:6" x14ac:dyDescent="0.3">
      <c r="A2229" s="75" t="s">
        <v>6156</v>
      </c>
      <c r="B2229" s="75" t="s">
        <v>6157</v>
      </c>
      <c r="C2229" s="75" t="s">
        <v>6158</v>
      </c>
      <c r="D2229" s="75">
        <v>2010</v>
      </c>
      <c r="E2229" s="75" t="s">
        <v>8</v>
      </c>
      <c r="F2229" s="75" t="s">
        <v>27</v>
      </c>
    </row>
    <row r="2230" spans="1:6" x14ac:dyDescent="0.3">
      <c r="A2230" s="75" t="s">
        <v>6159</v>
      </c>
      <c r="B2230" s="75" t="s">
        <v>6160</v>
      </c>
      <c r="C2230" s="75" t="s">
        <v>6161</v>
      </c>
      <c r="D2230" s="75" t="s">
        <v>13</v>
      </c>
      <c r="E2230" s="75" t="s">
        <v>8</v>
      </c>
      <c r="F2230" s="75" t="s">
        <v>27</v>
      </c>
    </row>
    <row r="2231" spans="1:6" x14ac:dyDescent="0.3">
      <c r="A2231" s="75" t="s">
        <v>6162</v>
      </c>
      <c r="B2231" s="75" t="s">
        <v>6163</v>
      </c>
      <c r="C2231" s="75" t="s">
        <v>4641</v>
      </c>
      <c r="D2231" s="75">
        <v>1993</v>
      </c>
      <c r="E2231" s="75" t="s">
        <v>31</v>
      </c>
      <c r="F2231" s="75" t="s">
        <v>291</v>
      </c>
    </row>
    <row r="2232" spans="1:6" x14ac:dyDescent="0.3">
      <c r="A2232" s="75" t="s">
        <v>6164</v>
      </c>
      <c r="B2232" s="75" t="s">
        <v>6165</v>
      </c>
      <c r="C2232" s="75" t="s">
        <v>6166</v>
      </c>
      <c r="D2232" s="75" t="s">
        <v>13</v>
      </c>
      <c r="E2232" s="75" t="s">
        <v>53</v>
      </c>
      <c r="F2232" s="75" t="s">
        <v>353</v>
      </c>
    </row>
    <row r="2233" spans="1:6" x14ac:dyDescent="0.3">
      <c r="A2233" s="75" t="s">
        <v>6167</v>
      </c>
      <c r="B2233" s="75" t="s">
        <v>6168</v>
      </c>
      <c r="C2233" s="75" t="s">
        <v>6169</v>
      </c>
      <c r="D2233" s="75" t="s">
        <v>13</v>
      </c>
      <c r="E2233" s="75" t="s">
        <v>44</v>
      </c>
      <c r="F2233" s="75" t="s">
        <v>49</v>
      </c>
    </row>
    <row r="2234" spans="1:6" x14ac:dyDescent="0.3">
      <c r="A2234" s="75" t="s">
        <v>6170</v>
      </c>
      <c r="B2234" s="75" t="s">
        <v>6171</v>
      </c>
      <c r="C2234" s="75" t="s">
        <v>6172</v>
      </c>
      <c r="D2234" s="75" t="s">
        <v>13</v>
      </c>
      <c r="E2234" s="75" t="s">
        <v>8</v>
      </c>
      <c r="F2234" s="75" t="s">
        <v>27</v>
      </c>
    </row>
    <row r="2235" spans="1:6" x14ac:dyDescent="0.3">
      <c r="A2235" s="75" t="s">
        <v>6173</v>
      </c>
      <c r="B2235" s="75" t="s">
        <v>6174</v>
      </c>
      <c r="C2235" s="75" t="s">
        <v>26</v>
      </c>
      <c r="D2235" s="75" t="s">
        <v>13</v>
      </c>
      <c r="E2235" s="75" t="s">
        <v>58</v>
      </c>
      <c r="F2235" s="75" t="s">
        <v>523</v>
      </c>
    </row>
    <row r="2236" spans="1:6" x14ac:dyDescent="0.3">
      <c r="A2236" s="75" t="s">
        <v>6175</v>
      </c>
      <c r="B2236" s="75" t="s">
        <v>6176</v>
      </c>
      <c r="C2236" s="75" t="s">
        <v>6177</v>
      </c>
      <c r="D2236" s="75" t="s">
        <v>13</v>
      </c>
      <c r="E2236" s="75" t="s">
        <v>8</v>
      </c>
      <c r="F2236" s="75" t="s">
        <v>27</v>
      </c>
    </row>
    <row r="2237" spans="1:6" x14ac:dyDescent="0.3">
      <c r="A2237" s="75" t="s">
        <v>6178</v>
      </c>
      <c r="B2237" s="75" t="s">
        <v>6179</v>
      </c>
      <c r="C2237" s="75" t="s">
        <v>6180</v>
      </c>
      <c r="D2237" s="75" t="s">
        <v>13</v>
      </c>
      <c r="E2237" s="75" t="s">
        <v>283</v>
      </c>
      <c r="F2237" s="75" t="s">
        <v>694</v>
      </c>
    </row>
    <row r="2238" spans="1:6" x14ac:dyDescent="0.3">
      <c r="A2238" s="75" t="s">
        <v>6181</v>
      </c>
      <c r="B2238" s="75" t="s">
        <v>6182</v>
      </c>
      <c r="C2238" s="75" t="s">
        <v>6183</v>
      </c>
      <c r="D2238" s="75">
        <v>2013</v>
      </c>
      <c r="E2238" s="75" t="s">
        <v>44</v>
      </c>
      <c r="F2238" s="75" t="s">
        <v>45</v>
      </c>
    </row>
    <row r="2239" spans="1:6" x14ac:dyDescent="0.3">
      <c r="A2239" s="75" t="s">
        <v>6184</v>
      </c>
      <c r="B2239" s="75" t="s">
        <v>6185</v>
      </c>
      <c r="C2239" s="75" t="s">
        <v>4607</v>
      </c>
      <c r="D2239" s="75">
        <v>1992</v>
      </c>
      <c r="E2239" s="75" t="s">
        <v>70</v>
      </c>
      <c r="F2239" s="75" t="s">
        <v>101</v>
      </c>
    </row>
    <row r="2240" spans="1:6" x14ac:dyDescent="0.3">
      <c r="A2240" s="75" t="s">
        <v>6186</v>
      </c>
      <c r="B2240" s="75" t="s">
        <v>6187</v>
      </c>
      <c r="C2240" s="75" t="s">
        <v>6188</v>
      </c>
      <c r="D2240" s="75">
        <v>1993</v>
      </c>
      <c r="E2240" s="75" t="s">
        <v>84</v>
      </c>
      <c r="F2240" s="75" t="s">
        <v>85</v>
      </c>
    </row>
    <row r="2241" spans="1:6" x14ac:dyDescent="0.3">
      <c r="A2241" s="75" t="s">
        <v>6189</v>
      </c>
      <c r="B2241" s="75" t="s">
        <v>6190</v>
      </c>
      <c r="C2241" s="75" t="s">
        <v>6191</v>
      </c>
      <c r="D2241" s="75">
        <v>2016</v>
      </c>
      <c r="E2241" s="75" t="s">
        <v>70</v>
      </c>
      <c r="F2241" s="75" t="s">
        <v>80</v>
      </c>
    </row>
    <row r="2242" spans="1:6" x14ac:dyDescent="0.3">
      <c r="A2242" s="75" t="s">
        <v>6192</v>
      </c>
      <c r="B2242" s="75" t="s">
        <v>6190</v>
      </c>
      <c r="C2242" s="75" t="s">
        <v>13</v>
      </c>
      <c r="D2242" s="75">
        <v>2016</v>
      </c>
      <c r="E2242" s="75" t="s">
        <v>70</v>
      </c>
      <c r="F2242" s="75" t="s">
        <v>80</v>
      </c>
    </row>
    <row r="2243" spans="1:6" x14ac:dyDescent="0.3">
      <c r="A2243" s="75" t="s">
        <v>6193</v>
      </c>
      <c r="B2243" s="75" t="s">
        <v>6194</v>
      </c>
      <c r="C2243" s="75" t="s">
        <v>6195</v>
      </c>
      <c r="D2243" s="75">
        <v>1983</v>
      </c>
      <c r="E2243" s="75" t="s">
        <v>18</v>
      </c>
      <c r="F2243" s="75" t="s">
        <v>40</v>
      </c>
    </row>
    <row r="2244" spans="1:6" x14ac:dyDescent="0.3">
      <c r="A2244" s="75" t="s">
        <v>6196</v>
      </c>
      <c r="B2244" s="75" t="s">
        <v>6197</v>
      </c>
      <c r="C2244" s="75" t="s">
        <v>1920</v>
      </c>
      <c r="D2244" s="75">
        <v>2014</v>
      </c>
      <c r="E2244" s="75" t="s">
        <v>31</v>
      </c>
      <c r="F2244" s="75" t="s">
        <v>36</v>
      </c>
    </row>
    <row r="2245" spans="1:6" x14ac:dyDescent="0.3">
      <c r="A2245" s="75" t="s">
        <v>6198</v>
      </c>
      <c r="B2245" s="75" t="s">
        <v>6199</v>
      </c>
      <c r="C2245" s="75" t="s">
        <v>5892</v>
      </c>
      <c r="D2245" s="75" t="s">
        <v>13</v>
      </c>
      <c r="E2245" s="75" t="s">
        <v>8</v>
      </c>
      <c r="F2245" s="75" t="s">
        <v>1093</v>
      </c>
    </row>
    <row r="2246" spans="1:6" x14ac:dyDescent="0.3">
      <c r="A2246" s="75" t="s">
        <v>6200</v>
      </c>
      <c r="B2246" s="75" t="s">
        <v>6201</v>
      </c>
      <c r="C2246" s="75" t="s">
        <v>6202</v>
      </c>
      <c r="D2246" s="75" t="s">
        <v>13</v>
      </c>
      <c r="E2246" s="75" t="s">
        <v>96</v>
      </c>
      <c r="F2246" s="75" t="s">
        <v>76</v>
      </c>
    </row>
    <row r="2247" spans="1:6" x14ac:dyDescent="0.3">
      <c r="A2247" s="75" t="s">
        <v>6203</v>
      </c>
      <c r="B2247" s="75" t="s">
        <v>6204</v>
      </c>
      <c r="C2247" s="75" t="s">
        <v>6205</v>
      </c>
      <c r="D2247" s="75" t="s">
        <v>13</v>
      </c>
      <c r="E2247" s="75" t="s">
        <v>8</v>
      </c>
      <c r="F2247" s="75" t="s">
        <v>23</v>
      </c>
    </row>
    <row r="2248" spans="1:6" x14ac:dyDescent="0.3">
      <c r="A2248" s="75" t="s">
        <v>6206</v>
      </c>
      <c r="B2248" s="75" t="s">
        <v>6207</v>
      </c>
      <c r="C2248" s="75" t="s">
        <v>6208</v>
      </c>
      <c r="D2248" s="75" t="s">
        <v>13</v>
      </c>
      <c r="E2248" s="75" t="s">
        <v>18</v>
      </c>
      <c r="F2248" s="75" t="s">
        <v>450</v>
      </c>
    </row>
    <row r="2249" spans="1:6" x14ac:dyDescent="0.3">
      <c r="A2249" s="75" t="s">
        <v>6209</v>
      </c>
      <c r="B2249" s="75" t="s">
        <v>6210</v>
      </c>
      <c r="C2249" s="75" t="s">
        <v>6211</v>
      </c>
      <c r="D2249" s="75" t="s">
        <v>13</v>
      </c>
      <c r="E2249" s="75" t="s">
        <v>18</v>
      </c>
      <c r="F2249" s="75" t="s">
        <v>450</v>
      </c>
    </row>
    <row r="2250" spans="1:6" x14ac:dyDescent="0.3">
      <c r="A2250" s="75" t="s">
        <v>6212</v>
      </c>
      <c r="B2250" s="75" t="s">
        <v>6213</v>
      </c>
      <c r="C2250" s="75" t="s">
        <v>6214</v>
      </c>
      <c r="D2250" s="75">
        <v>2017</v>
      </c>
      <c r="E2250" s="75" t="s">
        <v>8</v>
      </c>
      <c r="F2250" s="75" t="s">
        <v>579</v>
      </c>
    </row>
    <row r="2251" spans="1:6" x14ac:dyDescent="0.3">
      <c r="A2251" s="75" t="s">
        <v>6215</v>
      </c>
      <c r="B2251" s="75" t="s">
        <v>6216</v>
      </c>
      <c r="C2251" s="75" t="s">
        <v>6217</v>
      </c>
      <c r="D2251" s="75">
        <v>1999</v>
      </c>
      <c r="E2251" s="75" t="s">
        <v>31</v>
      </c>
      <c r="F2251" s="75" t="s">
        <v>291</v>
      </c>
    </row>
    <row r="2252" spans="1:6" x14ac:dyDescent="0.3">
      <c r="A2252" s="75" t="s">
        <v>6218</v>
      </c>
      <c r="B2252" s="75" t="s">
        <v>6219</v>
      </c>
      <c r="C2252" s="75" t="s">
        <v>6220</v>
      </c>
      <c r="D2252" s="75" t="s">
        <v>13</v>
      </c>
      <c r="E2252" s="75" t="s">
        <v>84</v>
      </c>
      <c r="F2252" s="75" t="s">
        <v>85</v>
      </c>
    </row>
    <row r="2253" spans="1:6" x14ac:dyDescent="0.3">
      <c r="A2253" s="75" t="s">
        <v>6221</v>
      </c>
      <c r="B2253" s="75" t="s">
        <v>6222</v>
      </c>
      <c r="C2253" s="75" t="s">
        <v>6223</v>
      </c>
      <c r="D2253" s="75">
        <v>2001</v>
      </c>
      <c r="E2253" s="75" t="s">
        <v>31</v>
      </c>
      <c r="F2253" s="75" t="s">
        <v>161</v>
      </c>
    </row>
    <row r="2254" spans="1:6" x14ac:dyDescent="0.3">
      <c r="A2254" s="75" t="s">
        <v>6224</v>
      </c>
      <c r="B2254" s="75" t="s">
        <v>6225</v>
      </c>
      <c r="C2254" s="75" t="s">
        <v>6226</v>
      </c>
      <c r="D2254" s="75">
        <v>1992</v>
      </c>
      <c r="E2254" s="75" t="s">
        <v>70</v>
      </c>
      <c r="F2254" s="75" t="s">
        <v>118</v>
      </c>
    </row>
    <row r="2255" spans="1:6" x14ac:dyDescent="0.3">
      <c r="A2255" s="75" t="s">
        <v>6227</v>
      </c>
      <c r="B2255" s="75" t="s">
        <v>6228</v>
      </c>
      <c r="C2255" s="75" t="s">
        <v>6229</v>
      </c>
      <c r="D2255" s="75">
        <v>2015</v>
      </c>
      <c r="E2255" s="75" t="s">
        <v>44</v>
      </c>
      <c r="F2255" s="75" t="s">
        <v>49</v>
      </c>
    </row>
    <row r="2256" spans="1:6" x14ac:dyDescent="0.3">
      <c r="A2256" s="75" t="s">
        <v>6230</v>
      </c>
      <c r="B2256" s="75" t="s">
        <v>6231</v>
      </c>
      <c r="C2256" s="75" t="s">
        <v>6122</v>
      </c>
      <c r="D2256" s="75">
        <v>2014</v>
      </c>
      <c r="E2256" s="75" t="s">
        <v>18</v>
      </c>
      <c r="F2256" s="75" t="s">
        <v>1361</v>
      </c>
    </row>
    <row r="2257" spans="1:6" x14ac:dyDescent="0.3">
      <c r="A2257" s="75" t="s">
        <v>6232</v>
      </c>
      <c r="B2257" s="75" t="s">
        <v>6233</v>
      </c>
      <c r="C2257" s="75" t="s">
        <v>6234</v>
      </c>
      <c r="D2257" s="75" t="s">
        <v>13</v>
      </c>
      <c r="E2257" s="75" t="s">
        <v>8</v>
      </c>
      <c r="F2257" s="75" t="s">
        <v>998</v>
      </c>
    </row>
    <row r="2258" spans="1:6" x14ac:dyDescent="0.3">
      <c r="A2258" s="75" t="s">
        <v>6235</v>
      </c>
      <c r="B2258" s="75" t="s">
        <v>6236</v>
      </c>
      <c r="C2258" s="75" t="s">
        <v>6152</v>
      </c>
      <c r="D2258" s="75">
        <v>1996</v>
      </c>
      <c r="E2258" s="75" t="s">
        <v>31</v>
      </c>
      <c r="F2258" s="75" t="s">
        <v>161</v>
      </c>
    </row>
    <row r="2259" spans="1:6" x14ac:dyDescent="0.3">
      <c r="A2259" s="75" t="s">
        <v>6237</v>
      </c>
      <c r="B2259" s="75" t="s">
        <v>6238</v>
      </c>
      <c r="C2259" s="75" t="s">
        <v>6239</v>
      </c>
      <c r="D2259" s="75" t="s">
        <v>13</v>
      </c>
      <c r="E2259" s="75" t="s">
        <v>96</v>
      </c>
      <c r="F2259" s="75" t="s">
        <v>97</v>
      </c>
    </row>
    <row r="2260" spans="1:6" x14ac:dyDescent="0.3">
      <c r="A2260" s="75" t="s">
        <v>6240</v>
      </c>
      <c r="B2260" s="75" t="s">
        <v>6241</v>
      </c>
      <c r="C2260" s="75" t="s">
        <v>4894</v>
      </c>
      <c r="D2260" s="75">
        <v>1994</v>
      </c>
      <c r="E2260" s="75" t="s">
        <v>18</v>
      </c>
      <c r="F2260" s="75" t="s">
        <v>1361</v>
      </c>
    </row>
    <row r="2261" spans="1:6" x14ac:dyDescent="0.3">
      <c r="A2261" s="75" t="s">
        <v>6242</v>
      </c>
      <c r="B2261" s="75" t="s">
        <v>6243</v>
      </c>
      <c r="C2261" s="75" t="s">
        <v>6244</v>
      </c>
      <c r="D2261" s="75" t="s">
        <v>13</v>
      </c>
      <c r="E2261" s="75" t="s">
        <v>84</v>
      </c>
      <c r="F2261" s="75" t="s">
        <v>85</v>
      </c>
    </row>
    <row r="2262" spans="1:6" x14ac:dyDescent="0.3">
      <c r="A2262" s="75" t="s">
        <v>6245</v>
      </c>
      <c r="B2262" s="75" t="s">
        <v>6246</v>
      </c>
      <c r="C2262" s="75" t="s">
        <v>6247</v>
      </c>
      <c r="D2262" s="75" t="s">
        <v>13</v>
      </c>
      <c r="E2262" s="75" t="s">
        <v>13</v>
      </c>
      <c r="F2262" s="75" t="s">
        <v>13</v>
      </c>
    </row>
    <row r="2263" spans="1:6" x14ac:dyDescent="0.3">
      <c r="A2263" s="75" t="s">
        <v>6248</v>
      </c>
      <c r="B2263" s="75" t="s">
        <v>6249</v>
      </c>
      <c r="C2263" s="75" t="s">
        <v>6250</v>
      </c>
      <c r="D2263" s="75">
        <v>2007</v>
      </c>
      <c r="E2263" s="75" t="s">
        <v>13</v>
      </c>
      <c r="F2263" s="75" t="s">
        <v>13</v>
      </c>
    </row>
    <row r="2264" spans="1:6" x14ac:dyDescent="0.3">
      <c r="A2264" s="75" t="s">
        <v>6251</v>
      </c>
      <c r="B2264" s="75" t="s">
        <v>6252</v>
      </c>
      <c r="C2264" s="75" t="s">
        <v>6253</v>
      </c>
      <c r="D2264" s="75" t="s">
        <v>13</v>
      </c>
      <c r="E2264" s="75" t="s">
        <v>8</v>
      </c>
      <c r="F2264" s="75" t="s">
        <v>27</v>
      </c>
    </row>
    <row r="2265" spans="1:6" x14ac:dyDescent="0.3">
      <c r="A2265" s="75" t="s">
        <v>6254</v>
      </c>
      <c r="B2265" s="75" t="s">
        <v>6255</v>
      </c>
      <c r="C2265" s="75" t="s">
        <v>13</v>
      </c>
      <c r="D2265" s="75">
        <v>2017</v>
      </c>
      <c r="E2265" s="75" t="s">
        <v>13</v>
      </c>
      <c r="F2265" s="75" t="s">
        <v>13</v>
      </c>
    </row>
    <row r="2266" spans="1:6" x14ac:dyDescent="0.3">
      <c r="A2266" s="75" t="s">
        <v>6256</v>
      </c>
      <c r="B2266" s="75" t="s">
        <v>6255</v>
      </c>
      <c r="C2266" s="75" t="s">
        <v>13</v>
      </c>
      <c r="D2266" s="75">
        <v>2017</v>
      </c>
      <c r="E2266" s="75" t="s">
        <v>13</v>
      </c>
      <c r="F2266" s="75" t="s">
        <v>13</v>
      </c>
    </row>
    <row r="2267" spans="1:6" x14ac:dyDescent="0.3">
      <c r="A2267" s="75" t="s">
        <v>6257</v>
      </c>
      <c r="B2267" s="75" t="s">
        <v>6255</v>
      </c>
      <c r="C2267" s="75" t="s">
        <v>13</v>
      </c>
      <c r="D2267" s="75">
        <v>2017</v>
      </c>
      <c r="E2267" s="75" t="s">
        <v>8</v>
      </c>
      <c r="F2267" s="75" t="s">
        <v>76</v>
      </c>
    </row>
    <row r="2268" spans="1:6" x14ac:dyDescent="0.3">
      <c r="A2268" s="75" t="s">
        <v>6258</v>
      </c>
      <c r="B2268" s="75" t="s">
        <v>6255</v>
      </c>
      <c r="C2268" s="75" t="s">
        <v>13</v>
      </c>
      <c r="D2268" s="75">
        <v>2017</v>
      </c>
      <c r="E2268" s="75" t="s">
        <v>13</v>
      </c>
      <c r="F2268" s="75" t="s">
        <v>13</v>
      </c>
    </row>
    <row r="2269" spans="1:6" x14ac:dyDescent="0.3">
      <c r="A2269" s="75" t="s">
        <v>6259</v>
      </c>
      <c r="B2269" s="75" t="s">
        <v>6260</v>
      </c>
      <c r="C2269" s="75" t="s">
        <v>6261</v>
      </c>
      <c r="D2269" s="75" t="s">
        <v>13</v>
      </c>
      <c r="E2269" s="75" t="s">
        <v>8</v>
      </c>
      <c r="F2269" s="75" t="s">
        <v>27</v>
      </c>
    </row>
    <row r="2270" spans="1:6" x14ac:dyDescent="0.3">
      <c r="A2270" s="75" t="s">
        <v>6262</v>
      </c>
      <c r="B2270" s="75" t="s">
        <v>6263</v>
      </c>
      <c r="C2270" s="75" t="s">
        <v>6264</v>
      </c>
      <c r="D2270" s="75" t="s">
        <v>13</v>
      </c>
      <c r="E2270" s="75" t="s">
        <v>8</v>
      </c>
      <c r="F2270" s="75" t="s">
        <v>27</v>
      </c>
    </row>
    <row r="2271" spans="1:6" x14ac:dyDescent="0.3">
      <c r="A2271" s="75" t="s">
        <v>6265</v>
      </c>
      <c r="B2271" s="75" t="s">
        <v>6266</v>
      </c>
      <c r="C2271" s="75" t="s">
        <v>6177</v>
      </c>
      <c r="D2271" s="75" t="s">
        <v>13</v>
      </c>
      <c r="E2271" s="75" t="s">
        <v>8</v>
      </c>
      <c r="F2271" s="75" t="s">
        <v>27</v>
      </c>
    </row>
    <row r="2272" spans="1:6" x14ac:dyDescent="0.3">
      <c r="A2272" s="75" t="s">
        <v>6267</v>
      </c>
      <c r="B2272" s="75" t="s">
        <v>6268</v>
      </c>
      <c r="C2272" s="75" t="s">
        <v>6269</v>
      </c>
      <c r="D2272" s="75" t="s">
        <v>13</v>
      </c>
      <c r="E2272" s="75" t="s">
        <v>8</v>
      </c>
      <c r="F2272" s="75" t="s">
        <v>27</v>
      </c>
    </row>
    <row r="2273" spans="1:6" x14ac:dyDescent="0.3">
      <c r="A2273" s="75" t="s">
        <v>6270</v>
      </c>
      <c r="B2273" s="75" t="s">
        <v>6271</v>
      </c>
      <c r="C2273" s="75" t="s">
        <v>5045</v>
      </c>
      <c r="D2273" s="75" t="s">
        <v>13</v>
      </c>
      <c r="E2273" s="75" t="s">
        <v>8</v>
      </c>
      <c r="F2273" s="75" t="s">
        <v>23</v>
      </c>
    </row>
    <row r="2274" spans="1:6" x14ac:dyDescent="0.3">
      <c r="A2274" s="75" t="s">
        <v>6272</v>
      </c>
      <c r="B2274" s="75" t="s">
        <v>6271</v>
      </c>
      <c r="C2274" s="75" t="s">
        <v>13</v>
      </c>
      <c r="D2274" s="75" t="s">
        <v>13</v>
      </c>
      <c r="E2274" s="75" t="s">
        <v>8</v>
      </c>
      <c r="F2274" s="75" t="s">
        <v>23</v>
      </c>
    </row>
    <row r="2275" spans="1:6" x14ac:dyDescent="0.3">
      <c r="A2275" s="75" t="s">
        <v>6273</v>
      </c>
      <c r="B2275" s="75" t="s">
        <v>6274</v>
      </c>
      <c r="C2275" s="75" t="s">
        <v>6275</v>
      </c>
      <c r="D2275" s="75">
        <v>2015</v>
      </c>
      <c r="E2275" s="75" t="s">
        <v>8</v>
      </c>
      <c r="F2275" s="75" t="s">
        <v>27</v>
      </c>
    </row>
    <row r="2276" spans="1:6" x14ac:dyDescent="0.3">
      <c r="A2276" s="75" t="s">
        <v>6276</v>
      </c>
      <c r="B2276" s="75" t="s">
        <v>6277</v>
      </c>
      <c r="C2276" s="75" t="s">
        <v>6278</v>
      </c>
      <c r="D2276" s="75">
        <v>1992</v>
      </c>
      <c r="E2276" s="75" t="s">
        <v>53</v>
      </c>
      <c r="F2276" s="75" t="s">
        <v>1427</v>
      </c>
    </row>
    <row r="2277" spans="1:6" x14ac:dyDescent="0.3">
      <c r="A2277" s="75" t="s">
        <v>6279</v>
      </c>
      <c r="B2277" s="75" t="s">
        <v>6280</v>
      </c>
      <c r="C2277" s="75" t="s">
        <v>6281</v>
      </c>
      <c r="D2277" s="75" t="s">
        <v>13</v>
      </c>
      <c r="E2277" s="75" t="s">
        <v>70</v>
      </c>
      <c r="F2277" s="75" t="s">
        <v>71</v>
      </c>
    </row>
    <row r="2278" spans="1:6" x14ac:dyDescent="0.3">
      <c r="A2278" s="75" t="s">
        <v>6282</v>
      </c>
      <c r="B2278" s="75" t="s">
        <v>6280</v>
      </c>
      <c r="C2278" s="75" t="s">
        <v>6283</v>
      </c>
      <c r="D2278" s="75" t="s">
        <v>13</v>
      </c>
      <c r="E2278" s="75" t="s">
        <v>70</v>
      </c>
      <c r="F2278" s="75" t="s">
        <v>71</v>
      </c>
    </row>
    <row r="2279" spans="1:6" x14ac:dyDescent="0.3">
      <c r="A2279" s="75" t="s">
        <v>6284</v>
      </c>
      <c r="B2279" s="75" t="s">
        <v>6285</v>
      </c>
      <c r="C2279" s="75" t="s">
        <v>6286</v>
      </c>
      <c r="D2279" s="75">
        <v>1999</v>
      </c>
      <c r="E2279" s="75" t="s">
        <v>31</v>
      </c>
      <c r="F2279" s="75" t="s">
        <v>161</v>
      </c>
    </row>
    <row r="2280" spans="1:6" x14ac:dyDescent="0.3">
      <c r="A2280" s="75" t="s">
        <v>6287</v>
      </c>
      <c r="B2280" s="75" t="s">
        <v>6288</v>
      </c>
      <c r="C2280" s="75" t="s">
        <v>6289</v>
      </c>
      <c r="D2280" s="75">
        <v>2012</v>
      </c>
      <c r="E2280" s="75" t="s">
        <v>18</v>
      </c>
      <c r="F2280" s="75" t="s">
        <v>434</v>
      </c>
    </row>
    <row r="2281" spans="1:6" x14ac:dyDescent="0.3">
      <c r="A2281" s="75" t="s">
        <v>6290</v>
      </c>
      <c r="B2281" s="75" t="s">
        <v>6291</v>
      </c>
      <c r="C2281" s="75" t="s">
        <v>6292</v>
      </c>
      <c r="D2281" s="75" t="s">
        <v>13</v>
      </c>
      <c r="E2281" s="75" t="s">
        <v>18</v>
      </c>
      <c r="F2281" s="75" t="s">
        <v>19</v>
      </c>
    </row>
    <row r="2282" spans="1:6" x14ac:dyDescent="0.3">
      <c r="A2282" s="75" t="s">
        <v>6293</v>
      </c>
      <c r="B2282" s="75" t="s">
        <v>6294</v>
      </c>
      <c r="C2282" s="75" t="s">
        <v>6295</v>
      </c>
      <c r="D2282" s="75" t="s">
        <v>13</v>
      </c>
      <c r="E2282" s="75" t="s">
        <v>31</v>
      </c>
      <c r="F2282" s="75" t="s">
        <v>161</v>
      </c>
    </row>
    <row r="2283" spans="1:6" x14ac:dyDescent="0.3">
      <c r="A2283" s="75" t="s">
        <v>6296</v>
      </c>
      <c r="B2283" s="75" t="s">
        <v>6297</v>
      </c>
      <c r="C2283" s="75" t="s">
        <v>6298</v>
      </c>
      <c r="D2283" s="75" t="s">
        <v>13</v>
      </c>
      <c r="E2283" s="75" t="s">
        <v>58</v>
      </c>
      <c r="F2283" s="75" t="s">
        <v>1520</v>
      </c>
    </row>
    <row r="2284" spans="1:6" x14ac:dyDescent="0.3">
      <c r="A2284" s="75" t="s">
        <v>6299</v>
      </c>
      <c r="B2284" s="75" t="s">
        <v>6300</v>
      </c>
      <c r="C2284" s="75" t="s">
        <v>6301</v>
      </c>
      <c r="D2284" s="75" t="s">
        <v>13</v>
      </c>
      <c r="E2284" s="75" t="s">
        <v>53</v>
      </c>
      <c r="F2284" s="75" t="s">
        <v>1569</v>
      </c>
    </row>
    <row r="2285" spans="1:6" x14ac:dyDescent="0.3">
      <c r="A2285" s="75" t="s">
        <v>6302</v>
      </c>
      <c r="B2285" s="75" t="s">
        <v>6303</v>
      </c>
      <c r="C2285" s="75" t="s">
        <v>6304</v>
      </c>
      <c r="D2285" s="75" t="s">
        <v>13</v>
      </c>
      <c r="E2285" s="75" t="s">
        <v>70</v>
      </c>
      <c r="F2285" s="75" t="s">
        <v>71</v>
      </c>
    </row>
    <row r="2286" spans="1:6" x14ac:dyDescent="0.3">
      <c r="A2286" s="75" t="s">
        <v>6305</v>
      </c>
      <c r="B2286" s="75" t="s">
        <v>6306</v>
      </c>
      <c r="C2286" s="75" t="s">
        <v>6307</v>
      </c>
      <c r="D2286" s="75">
        <v>1993</v>
      </c>
      <c r="E2286" s="75" t="s">
        <v>348</v>
      </c>
      <c r="F2286" s="75" t="s">
        <v>1059</v>
      </c>
    </row>
    <row r="2287" spans="1:6" x14ac:dyDescent="0.3">
      <c r="A2287" s="75" t="s">
        <v>6308</v>
      </c>
      <c r="B2287" s="75" t="s">
        <v>6309</v>
      </c>
      <c r="C2287" s="75" t="s">
        <v>6310</v>
      </c>
      <c r="D2287" s="75" t="s">
        <v>13</v>
      </c>
      <c r="E2287" s="75" t="s">
        <v>58</v>
      </c>
      <c r="F2287" s="75" t="s">
        <v>1773</v>
      </c>
    </row>
    <row r="2288" spans="1:6" x14ac:dyDescent="0.3">
      <c r="A2288" s="75" t="s">
        <v>6311</v>
      </c>
      <c r="B2288" s="75" t="s">
        <v>6312</v>
      </c>
      <c r="C2288" s="75" t="s">
        <v>6313</v>
      </c>
      <c r="D2288" s="75">
        <v>2017</v>
      </c>
      <c r="E2288" s="75" t="s">
        <v>70</v>
      </c>
      <c r="F2288" s="75" t="s">
        <v>131</v>
      </c>
    </row>
    <row r="2289" spans="1:6" x14ac:dyDescent="0.3">
      <c r="A2289" s="75" t="s">
        <v>6314</v>
      </c>
      <c r="B2289" s="75" t="s">
        <v>6315</v>
      </c>
      <c r="C2289" s="75" t="s">
        <v>6316</v>
      </c>
      <c r="D2289" s="75" t="s">
        <v>13</v>
      </c>
      <c r="E2289" s="75" t="s">
        <v>70</v>
      </c>
      <c r="F2289" s="75" t="s">
        <v>176</v>
      </c>
    </row>
    <row r="2290" spans="1:6" x14ac:dyDescent="0.3">
      <c r="A2290" s="75" t="s">
        <v>6317</v>
      </c>
      <c r="B2290" s="75" t="s">
        <v>6318</v>
      </c>
      <c r="C2290" s="75" t="s">
        <v>6319</v>
      </c>
      <c r="D2290" s="75">
        <v>1999</v>
      </c>
      <c r="E2290" s="75" t="s">
        <v>96</v>
      </c>
      <c r="F2290" s="75" t="s">
        <v>76</v>
      </c>
    </row>
    <row r="2291" spans="1:6" x14ac:dyDescent="0.3">
      <c r="A2291" s="75" t="s">
        <v>6320</v>
      </c>
      <c r="B2291" s="75" t="s">
        <v>6321</v>
      </c>
      <c r="C2291" s="75" t="s">
        <v>6322</v>
      </c>
      <c r="D2291" s="75">
        <v>2006</v>
      </c>
      <c r="E2291" s="75" t="s">
        <v>53</v>
      </c>
      <c r="F2291" s="75" t="s">
        <v>2520</v>
      </c>
    </row>
    <row r="2292" spans="1:6" x14ac:dyDescent="0.3">
      <c r="A2292" s="75" t="s">
        <v>6323</v>
      </c>
      <c r="B2292" s="75" t="s">
        <v>6324</v>
      </c>
      <c r="C2292" s="75" t="s">
        <v>6325</v>
      </c>
      <c r="D2292" s="75">
        <v>2016</v>
      </c>
      <c r="E2292" s="75" t="s">
        <v>70</v>
      </c>
      <c r="F2292" s="75" t="s">
        <v>71</v>
      </c>
    </row>
    <row r="2293" spans="1:6" x14ac:dyDescent="0.3">
      <c r="A2293" s="75" t="s">
        <v>6326</v>
      </c>
      <c r="B2293" s="75" t="s">
        <v>6327</v>
      </c>
      <c r="C2293" s="75" t="s">
        <v>6328</v>
      </c>
      <c r="D2293" s="75" t="s">
        <v>13</v>
      </c>
      <c r="E2293" s="75" t="s">
        <v>283</v>
      </c>
      <c r="F2293" s="75" t="s">
        <v>845</v>
      </c>
    </row>
    <row r="2294" spans="1:6" x14ac:dyDescent="0.3">
      <c r="A2294" s="75" t="s">
        <v>6329</v>
      </c>
      <c r="B2294" s="75" t="s">
        <v>6327</v>
      </c>
      <c r="C2294" s="75" t="s">
        <v>6330</v>
      </c>
      <c r="D2294" s="75" t="s">
        <v>13</v>
      </c>
      <c r="E2294" s="75" t="s">
        <v>283</v>
      </c>
      <c r="F2294" s="75" t="s">
        <v>845</v>
      </c>
    </row>
    <row r="2295" spans="1:6" x14ac:dyDescent="0.3">
      <c r="A2295" s="75" t="s">
        <v>6331</v>
      </c>
      <c r="B2295" s="75" t="s">
        <v>6332</v>
      </c>
      <c r="C2295" s="75" t="s">
        <v>522</v>
      </c>
      <c r="D2295" s="75">
        <v>2014</v>
      </c>
      <c r="E2295" s="75" t="s">
        <v>70</v>
      </c>
      <c r="F2295" s="75" t="s">
        <v>71</v>
      </c>
    </row>
    <row r="2296" spans="1:6" x14ac:dyDescent="0.3">
      <c r="A2296" s="75" t="s">
        <v>6333</v>
      </c>
      <c r="B2296" s="75" t="s">
        <v>6334</v>
      </c>
      <c r="C2296" s="75" t="s">
        <v>6335</v>
      </c>
      <c r="D2296" s="75">
        <v>1987</v>
      </c>
      <c r="E2296" s="75" t="s">
        <v>31</v>
      </c>
      <c r="F2296" s="75" t="s">
        <v>92</v>
      </c>
    </row>
    <row r="2297" spans="1:6" x14ac:dyDescent="0.3">
      <c r="A2297" s="75" t="s">
        <v>6336</v>
      </c>
      <c r="B2297" s="75" t="s">
        <v>6337</v>
      </c>
      <c r="C2297" s="75" t="s">
        <v>6338</v>
      </c>
      <c r="D2297" s="75" t="s">
        <v>13</v>
      </c>
      <c r="E2297" s="75" t="s">
        <v>8</v>
      </c>
      <c r="F2297" s="75" t="s">
        <v>1261</v>
      </c>
    </row>
    <row r="2298" spans="1:6" x14ac:dyDescent="0.3">
      <c r="A2298" s="75" t="s">
        <v>6339</v>
      </c>
      <c r="B2298" s="75" t="s">
        <v>6340</v>
      </c>
      <c r="C2298" s="75" t="s">
        <v>6341</v>
      </c>
      <c r="D2298" s="75" t="s">
        <v>13</v>
      </c>
      <c r="E2298" s="75" t="s">
        <v>70</v>
      </c>
      <c r="F2298" s="75" t="s">
        <v>326</v>
      </c>
    </row>
    <row r="2299" spans="1:6" x14ac:dyDescent="0.3">
      <c r="A2299" s="75" t="s">
        <v>6342</v>
      </c>
      <c r="B2299" s="75" t="s">
        <v>6343</v>
      </c>
      <c r="C2299" s="75" t="s">
        <v>6344</v>
      </c>
      <c r="D2299" s="75" t="s">
        <v>13</v>
      </c>
      <c r="E2299" s="75" t="s">
        <v>348</v>
      </c>
      <c r="F2299" s="75" t="s">
        <v>6345</v>
      </c>
    </row>
    <row r="2300" spans="1:6" x14ac:dyDescent="0.3">
      <c r="A2300" s="75" t="s">
        <v>6346</v>
      </c>
      <c r="B2300" s="75" t="s">
        <v>6347</v>
      </c>
      <c r="C2300" s="75" t="s">
        <v>6348</v>
      </c>
      <c r="D2300" s="75" t="s">
        <v>13</v>
      </c>
      <c r="E2300" s="75" t="s">
        <v>13</v>
      </c>
      <c r="F2300" s="75" t="s">
        <v>13</v>
      </c>
    </row>
    <row r="2301" spans="1:6" x14ac:dyDescent="0.3">
      <c r="A2301" s="75" t="s">
        <v>6349</v>
      </c>
      <c r="B2301" s="75" t="s">
        <v>6350</v>
      </c>
      <c r="C2301" s="75" t="s">
        <v>2645</v>
      </c>
      <c r="D2301" s="75" t="s">
        <v>13</v>
      </c>
      <c r="E2301" s="75" t="s">
        <v>18</v>
      </c>
      <c r="F2301" s="75" t="s">
        <v>1361</v>
      </c>
    </row>
    <row r="2302" spans="1:6" x14ac:dyDescent="0.3">
      <c r="A2302" s="75" t="s">
        <v>6351</v>
      </c>
      <c r="B2302" s="75" t="s">
        <v>6352</v>
      </c>
      <c r="C2302" s="75" t="s">
        <v>6353</v>
      </c>
      <c r="D2302" s="75" t="s">
        <v>13</v>
      </c>
      <c r="E2302" s="75" t="s">
        <v>8</v>
      </c>
      <c r="F2302" s="75" t="s">
        <v>27</v>
      </c>
    </row>
    <row r="2303" spans="1:6" x14ac:dyDescent="0.3">
      <c r="A2303" s="75" t="s">
        <v>6354</v>
      </c>
      <c r="B2303" s="75" t="s">
        <v>6355</v>
      </c>
      <c r="C2303" s="75" t="s">
        <v>6356</v>
      </c>
      <c r="D2303" s="75" t="s">
        <v>13</v>
      </c>
      <c r="E2303" s="75" t="s">
        <v>518</v>
      </c>
      <c r="F2303" s="75" t="s">
        <v>229</v>
      </c>
    </row>
    <row r="2304" spans="1:6" x14ac:dyDescent="0.3">
      <c r="A2304" s="75" t="s">
        <v>6357</v>
      </c>
      <c r="B2304" s="75" t="s">
        <v>6358</v>
      </c>
      <c r="C2304" s="75" t="s">
        <v>6359</v>
      </c>
      <c r="D2304" s="75">
        <v>2000</v>
      </c>
      <c r="E2304" s="75" t="s">
        <v>31</v>
      </c>
      <c r="F2304" s="75" t="s">
        <v>92</v>
      </c>
    </row>
    <row r="2305" spans="1:6" x14ac:dyDescent="0.3">
      <c r="A2305" s="75" t="s">
        <v>6360</v>
      </c>
      <c r="B2305" s="75" t="s">
        <v>6361</v>
      </c>
      <c r="C2305" s="75" t="s">
        <v>6362</v>
      </c>
      <c r="D2305" s="75" t="s">
        <v>13</v>
      </c>
      <c r="E2305" s="75" t="s">
        <v>96</v>
      </c>
      <c r="F2305" s="75" t="s">
        <v>76</v>
      </c>
    </row>
    <row r="2306" spans="1:6" x14ac:dyDescent="0.3">
      <c r="A2306" s="75" t="s">
        <v>6363</v>
      </c>
      <c r="B2306" s="75" t="s">
        <v>6364</v>
      </c>
      <c r="C2306" s="75" t="s">
        <v>620</v>
      </c>
      <c r="D2306" s="75" t="s">
        <v>13</v>
      </c>
      <c r="E2306" s="75" t="s">
        <v>18</v>
      </c>
      <c r="F2306" s="75" t="s">
        <v>1361</v>
      </c>
    </row>
    <row r="2307" spans="1:6" x14ac:dyDescent="0.3">
      <c r="A2307" s="75" t="s">
        <v>6365</v>
      </c>
      <c r="B2307" s="75" t="s">
        <v>6366</v>
      </c>
      <c r="C2307" s="75" t="s">
        <v>1019</v>
      </c>
      <c r="D2307" s="75" t="s">
        <v>13</v>
      </c>
      <c r="E2307" s="75" t="s">
        <v>31</v>
      </c>
      <c r="F2307" s="75" t="s">
        <v>229</v>
      </c>
    </row>
    <row r="2308" spans="1:6" x14ac:dyDescent="0.3">
      <c r="A2308" s="75" t="s">
        <v>6367</v>
      </c>
      <c r="B2308" s="75" t="s">
        <v>6368</v>
      </c>
      <c r="C2308" s="75" t="s">
        <v>6369</v>
      </c>
      <c r="D2308" s="75">
        <v>1999</v>
      </c>
      <c r="E2308" s="75" t="s">
        <v>84</v>
      </c>
      <c r="F2308" s="75" t="s">
        <v>63</v>
      </c>
    </row>
    <row r="2309" spans="1:6" x14ac:dyDescent="0.3">
      <c r="A2309" s="75" t="s">
        <v>6370</v>
      </c>
      <c r="B2309" s="75" t="s">
        <v>6371</v>
      </c>
      <c r="C2309" s="75" t="s">
        <v>6372</v>
      </c>
      <c r="D2309" s="75" t="s">
        <v>13</v>
      </c>
      <c r="E2309" s="75" t="s">
        <v>8</v>
      </c>
      <c r="F2309" s="75" t="s">
        <v>787</v>
      </c>
    </row>
    <row r="2310" spans="1:6" x14ac:dyDescent="0.3">
      <c r="A2310" s="75" t="s">
        <v>6373</v>
      </c>
      <c r="B2310" s="75" t="s">
        <v>6374</v>
      </c>
      <c r="C2310" s="75" t="s">
        <v>6375</v>
      </c>
      <c r="D2310" s="75" t="s">
        <v>13</v>
      </c>
      <c r="E2310" s="75" t="s">
        <v>70</v>
      </c>
      <c r="F2310" s="75" t="s">
        <v>118</v>
      </c>
    </row>
    <row r="2311" spans="1:6" x14ac:dyDescent="0.3">
      <c r="A2311" s="75" t="s">
        <v>6376</v>
      </c>
      <c r="B2311" s="75" t="s">
        <v>6377</v>
      </c>
      <c r="C2311" s="75" t="s">
        <v>6378</v>
      </c>
      <c r="D2311" s="75">
        <v>2014</v>
      </c>
      <c r="E2311" s="75" t="s">
        <v>70</v>
      </c>
      <c r="F2311" s="75" t="s">
        <v>71</v>
      </c>
    </row>
    <row r="2312" spans="1:6" x14ac:dyDescent="0.3">
      <c r="A2312" s="75" t="s">
        <v>6379</v>
      </c>
      <c r="B2312" s="75" t="s">
        <v>6380</v>
      </c>
      <c r="C2312" s="75" t="s">
        <v>6381</v>
      </c>
      <c r="D2312" s="75">
        <v>2011</v>
      </c>
      <c r="E2312" s="75" t="s">
        <v>8</v>
      </c>
      <c r="F2312" s="75" t="s">
        <v>23</v>
      </c>
    </row>
    <row r="2313" spans="1:6" x14ac:dyDescent="0.3">
      <c r="A2313" s="75" t="s">
        <v>6382</v>
      </c>
      <c r="B2313" s="75" t="s">
        <v>6383</v>
      </c>
      <c r="C2313" s="75" t="s">
        <v>6384</v>
      </c>
      <c r="D2313" s="75" t="s">
        <v>13</v>
      </c>
      <c r="E2313" s="75" t="s">
        <v>31</v>
      </c>
      <c r="F2313" s="75" t="s">
        <v>291</v>
      </c>
    </row>
    <row r="2314" spans="1:6" x14ac:dyDescent="0.3">
      <c r="A2314" s="75" t="s">
        <v>6385</v>
      </c>
      <c r="B2314" s="75" t="s">
        <v>6386</v>
      </c>
      <c r="C2314" s="75" t="s">
        <v>6387</v>
      </c>
      <c r="D2314" s="75" t="s">
        <v>13</v>
      </c>
      <c r="E2314" s="75" t="s">
        <v>96</v>
      </c>
      <c r="F2314" s="75" t="s">
        <v>76</v>
      </c>
    </row>
    <row r="2315" spans="1:6" x14ac:dyDescent="0.3">
      <c r="A2315" s="75" t="s">
        <v>6388</v>
      </c>
      <c r="B2315" s="75" t="s">
        <v>6389</v>
      </c>
      <c r="C2315" s="75" t="s">
        <v>6390</v>
      </c>
      <c r="D2315" s="75">
        <v>2016</v>
      </c>
      <c r="E2315" s="75" t="s">
        <v>96</v>
      </c>
      <c r="F2315" s="75" t="s">
        <v>63</v>
      </c>
    </row>
    <row r="2316" spans="1:6" x14ac:dyDescent="0.3">
      <c r="A2316" s="75" t="s">
        <v>6391</v>
      </c>
      <c r="B2316" s="75" t="s">
        <v>6392</v>
      </c>
      <c r="C2316" s="75" t="s">
        <v>6393</v>
      </c>
      <c r="D2316" s="75" t="s">
        <v>13</v>
      </c>
      <c r="E2316" s="75" t="s">
        <v>31</v>
      </c>
      <c r="F2316" s="75" t="s">
        <v>36</v>
      </c>
    </row>
    <row r="2317" spans="1:6" x14ac:dyDescent="0.3">
      <c r="A2317" s="75" t="s">
        <v>6394</v>
      </c>
      <c r="B2317" s="75" t="s">
        <v>6395</v>
      </c>
      <c r="C2317" s="75" t="s">
        <v>6396</v>
      </c>
      <c r="D2317" s="75">
        <v>1995</v>
      </c>
      <c r="E2317" s="75" t="s">
        <v>518</v>
      </c>
      <c r="F2317" s="75" t="s">
        <v>353</v>
      </c>
    </row>
    <row r="2318" spans="1:6" x14ac:dyDescent="0.3">
      <c r="A2318" s="75" t="s">
        <v>6397</v>
      </c>
      <c r="B2318" s="75" t="s">
        <v>6398</v>
      </c>
      <c r="C2318" s="75" t="s">
        <v>6399</v>
      </c>
      <c r="D2318" s="75" t="s">
        <v>13</v>
      </c>
      <c r="E2318" s="75" t="s">
        <v>348</v>
      </c>
      <c r="F2318" s="75" t="s">
        <v>1520</v>
      </c>
    </row>
    <row r="2319" spans="1:6" x14ac:dyDescent="0.3">
      <c r="A2319" s="75" t="s">
        <v>6400</v>
      </c>
      <c r="B2319" s="75" t="s">
        <v>6401</v>
      </c>
      <c r="C2319" s="75" t="s">
        <v>6402</v>
      </c>
      <c r="D2319" s="75" t="s">
        <v>13</v>
      </c>
      <c r="E2319" s="75" t="s">
        <v>8</v>
      </c>
      <c r="F2319" s="75" t="s">
        <v>27</v>
      </c>
    </row>
    <row r="2320" spans="1:6" x14ac:dyDescent="0.3">
      <c r="A2320" s="75" t="s">
        <v>6403</v>
      </c>
      <c r="B2320" s="75" t="s">
        <v>6401</v>
      </c>
      <c r="C2320" s="75" t="s">
        <v>13</v>
      </c>
      <c r="D2320" s="75" t="s">
        <v>13</v>
      </c>
      <c r="E2320" s="75" t="s">
        <v>8</v>
      </c>
      <c r="F2320" s="75" t="s">
        <v>27</v>
      </c>
    </row>
    <row r="2321" spans="1:6" x14ac:dyDescent="0.3">
      <c r="A2321" s="75" t="s">
        <v>6404</v>
      </c>
      <c r="B2321" s="75" t="s">
        <v>6401</v>
      </c>
      <c r="C2321" s="75" t="s">
        <v>6405</v>
      </c>
      <c r="D2321" s="75" t="s">
        <v>13</v>
      </c>
      <c r="E2321" s="75" t="s">
        <v>8</v>
      </c>
      <c r="F2321" s="75" t="s">
        <v>27</v>
      </c>
    </row>
    <row r="2322" spans="1:6" x14ac:dyDescent="0.3">
      <c r="A2322" s="75" t="s">
        <v>6406</v>
      </c>
      <c r="B2322" s="75" t="s">
        <v>6407</v>
      </c>
      <c r="C2322" s="75" t="s">
        <v>6408</v>
      </c>
      <c r="D2322" s="75">
        <v>2006</v>
      </c>
      <c r="E2322" s="75" t="s">
        <v>8</v>
      </c>
      <c r="F2322" s="75" t="s">
        <v>27</v>
      </c>
    </row>
    <row r="2323" spans="1:6" x14ac:dyDescent="0.3">
      <c r="A2323" s="75" t="s">
        <v>6409</v>
      </c>
      <c r="B2323" s="75" t="s">
        <v>6410</v>
      </c>
      <c r="C2323" s="75" t="s">
        <v>6411</v>
      </c>
      <c r="D2323" s="75">
        <v>2013</v>
      </c>
      <c r="E2323" s="75" t="s">
        <v>70</v>
      </c>
      <c r="F2323" s="75" t="s">
        <v>71</v>
      </c>
    </row>
    <row r="2324" spans="1:6" x14ac:dyDescent="0.3">
      <c r="A2324" s="75" t="s">
        <v>6412</v>
      </c>
      <c r="B2324" s="75" t="s">
        <v>6413</v>
      </c>
      <c r="C2324" s="75" t="s">
        <v>6414</v>
      </c>
      <c r="D2324" s="75">
        <v>2013</v>
      </c>
      <c r="E2324" s="75" t="s">
        <v>18</v>
      </c>
      <c r="F2324" s="75" t="s">
        <v>729</v>
      </c>
    </row>
    <row r="2325" spans="1:6" x14ac:dyDescent="0.3">
      <c r="A2325" s="75" t="s">
        <v>6415</v>
      </c>
      <c r="B2325" s="75" t="s">
        <v>6416</v>
      </c>
      <c r="C2325" s="75" t="s">
        <v>6417</v>
      </c>
      <c r="D2325" s="75" t="s">
        <v>13</v>
      </c>
      <c r="E2325" s="75" t="s">
        <v>18</v>
      </c>
      <c r="F2325" s="75" t="s">
        <v>266</v>
      </c>
    </row>
    <row r="2326" spans="1:6" x14ac:dyDescent="0.3">
      <c r="A2326" s="75" t="s">
        <v>6418</v>
      </c>
      <c r="B2326" s="75" t="s">
        <v>6419</v>
      </c>
      <c r="C2326" s="75" t="s">
        <v>6420</v>
      </c>
      <c r="D2326" s="75" t="s">
        <v>13</v>
      </c>
      <c r="E2326" s="75" t="s">
        <v>518</v>
      </c>
      <c r="F2326" s="75" t="s">
        <v>229</v>
      </c>
    </row>
    <row r="2327" spans="1:6" x14ac:dyDescent="0.3">
      <c r="A2327" s="75" t="s">
        <v>6421</v>
      </c>
      <c r="B2327" s="75" t="s">
        <v>6422</v>
      </c>
      <c r="C2327" s="75" t="s">
        <v>6183</v>
      </c>
      <c r="D2327" s="75">
        <v>1997</v>
      </c>
      <c r="E2327" s="75" t="s">
        <v>31</v>
      </c>
      <c r="F2327" s="75" t="s">
        <v>92</v>
      </c>
    </row>
    <row r="2328" spans="1:6" x14ac:dyDescent="0.3">
      <c r="A2328" s="75" t="s">
        <v>6423</v>
      </c>
      <c r="B2328" s="75" t="s">
        <v>6424</v>
      </c>
      <c r="C2328" s="75" t="s">
        <v>6425</v>
      </c>
      <c r="D2328" s="75" t="s">
        <v>13</v>
      </c>
      <c r="E2328" s="75" t="s">
        <v>13</v>
      </c>
      <c r="F2328" s="75" t="s">
        <v>13</v>
      </c>
    </row>
    <row r="2329" spans="1:6" x14ac:dyDescent="0.3">
      <c r="A2329" s="75" t="s">
        <v>6426</v>
      </c>
      <c r="B2329" s="75" t="s">
        <v>6427</v>
      </c>
      <c r="C2329" s="75" t="s">
        <v>944</v>
      </c>
      <c r="D2329" s="75" t="s">
        <v>13</v>
      </c>
      <c r="E2329" s="75" t="s">
        <v>13</v>
      </c>
      <c r="F2329" s="75" t="s">
        <v>13</v>
      </c>
    </row>
    <row r="2330" spans="1:6" x14ac:dyDescent="0.3">
      <c r="A2330" s="75" t="s">
        <v>6428</v>
      </c>
      <c r="B2330" s="75" t="s">
        <v>6429</v>
      </c>
      <c r="C2330" s="75" t="s">
        <v>6430</v>
      </c>
      <c r="D2330" s="75" t="s">
        <v>13</v>
      </c>
      <c r="E2330" s="75" t="s">
        <v>13</v>
      </c>
      <c r="F2330" s="75" t="s">
        <v>13</v>
      </c>
    </row>
    <row r="2331" spans="1:6" x14ac:dyDescent="0.3">
      <c r="A2331" s="75" t="s">
        <v>6431</v>
      </c>
      <c r="B2331" s="75" t="s">
        <v>6432</v>
      </c>
      <c r="C2331" s="75" t="s">
        <v>6433</v>
      </c>
      <c r="D2331" s="75" t="s">
        <v>13</v>
      </c>
      <c r="E2331" s="75" t="s">
        <v>13</v>
      </c>
      <c r="F2331" s="75" t="s">
        <v>13</v>
      </c>
    </row>
    <row r="2332" spans="1:6" x14ac:dyDescent="0.3">
      <c r="A2332" s="75" t="s">
        <v>6434</v>
      </c>
      <c r="B2332" s="75" t="s">
        <v>6435</v>
      </c>
      <c r="C2332" s="75" t="s">
        <v>6436</v>
      </c>
      <c r="D2332" s="75" t="s">
        <v>13</v>
      </c>
      <c r="E2332" s="75" t="s">
        <v>13</v>
      </c>
      <c r="F2332" s="75" t="s">
        <v>13</v>
      </c>
    </row>
    <row r="2333" spans="1:6" x14ac:dyDescent="0.3">
      <c r="A2333" s="75" t="s">
        <v>6437</v>
      </c>
      <c r="B2333" s="75" t="s">
        <v>6438</v>
      </c>
      <c r="C2333" s="75" t="s">
        <v>6439</v>
      </c>
      <c r="D2333" s="75" t="s">
        <v>13</v>
      </c>
      <c r="E2333" s="75" t="s">
        <v>13</v>
      </c>
      <c r="F2333" s="75" t="s">
        <v>13</v>
      </c>
    </row>
    <row r="2334" spans="1:6" x14ac:dyDescent="0.3">
      <c r="A2334" s="75" t="s">
        <v>6440</v>
      </c>
      <c r="B2334" s="75" t="s">
        <v>6441</v>
      </c>
      <c r="C2334" s="75" t="s">
        <v>6442</v>
      </c>
      <c r="D2334" s="75" t="s">
        <v>13</v>
      </c>
      <c r="E2334" s="75" t="s">
        <v>13</v>
      </c>
      <c r="F2334" s="75" t="s">
        <v>13</v>
      </c>
    </row>
    <row r="2335" spans="1:6" x14ac:dyDescent="0.3">
      <c r="A2335" s="75" t="s">
        <v>6443</v>
      </c>
      <c r="B2335" s="75" t="s">
        <v>6444</v>
      </c>
      <c r="C2335" s="75" t="s">
        <v>6445</v>
      </c>
      <c r="D2335" s="75" t="s">
        <v>13</v>
      </c>
      <c r="E2335" s="75" t="s">
        <v>13</v>
      </c>
      <c r="F2335" s="75" t="s">
        <v>13</v>
      </c>
    </row>
    <row r="2336" spans="1:6" x14ac:dyDescent="0.3">
      <c r="A2336" s="75" t="s">
        <v>6446</v>
      </c>
      <c r="B2336" s="75" t="s">
        <v>6447</v>
      </c>
      <c r="C2336" s="75" t="s">
        <v>6448</v>
      </c>
      <c r="D2336" s="75" t="s">
        <v>13</v>
      </c>
      <c r="E2336" s="75" t="s">
        <v>13</v>
      </c>
      <c r="F2336" s="75" t="s">
        <v>13</v>
      </c>
    </row>
    <row r="2337" spans="1:6" x14ac:dyDescent="0.3">
      <c r="A2337" s="75" t="s">
        <v>6449</v>
      </c>
      <c r="B2337" s="75" t="s">
        <v>6450</v>
      </c>
      <c r="C2337" s="75" t="s">
        <v>6451</v>
      </c>
      <c r="D2337" s="75" t="s">
        <v>13</v>
      </c>
      <c r="E2337" s="75" t="s">
        <v>13</v>
      </c>
      <c r="F2337" s="75" t="s">
        <v>13</v>
      </c>
    </row>
    <row r="2338" spans="1:6" x14ac:dyDescent="0.3">
      <c r="A2338" s="75" t="s">
        <v>6452</v>
      </c>
      <c r="B2338" s="75" t="s">
        <v>6453</v>
      </c>
      <c r="C2338" s="75" t="s">
        <v>6454</v>
      </c>
      <c r="D2338" s="75" t="s">
        <v>13</v>
      </c>
      <c r="E2338" s="75" t="s">
        <v>13</v>
      </c>
      <c r="F2338" s="75" t="s">
        <v>13</v>
      </c>
    </row>
    <row r="2339" spans="1:6" x14ac:dyDescent="0.3">
      <c r="A2339" s="75" t="s">
        <v>6455</v>
      </c>
      <c r="B2339" s="75" t="s">
        <v>6456</v>
      </c>
      <c r="C2339" s="75" t="s">
        <v>6457</v>
      </c>
      <c r="D2339" s="75" t="s">
        <v>13</v>
      </c>
      <c r="E2339" s="75" t="s">
        <v>13</v>
      </c>
      <c r="F2339" s="75" t="s">
        <v>13</v>
      </c>
    </row>
    <row r="2340" spans="1:6" x14ac:dyDescent="0.3">
      <c r="A2340" s="75" t="s">
        <v>6458</v>
      </c>
      <c r="B2340" s="75" t="s">
        <v>6459</v>
      </c>
      <c r="C2340" s="75" t="s">
        <v>6460</v>
      </c>
      <c r="D2340" s="75" t="s">
        <v>13</v>
      </c>
      <c r="E2340" s="75" t="s">
        <v>13</v>
      </c>
      <c r="F2340" s="75" t="s">
        <v>13</v>
      </c>
    </row>
    <row r="2341" spans="1:6" x14ac:dyDescent="0.3">
      <c r="A2341" s="75" t="s">
        <v>6461</v>
      </c>
      <c r="B2341" s="75" t="s">
        <v>6462</v>
      </c>
      <c r="C2341" s="75" t="s">
        <v>6463</v>
      </c>
      <c r="D2341" s="75" t="s">
        <v>13</v>
      </c>
      <c r="E2341" s="75" t="s">
        <v>13</v>
      </c>
      <c r="F2341" s="75" t="s">
        <v>13</v>
      </c>
    </row>
    <row r="2342" spans="1:6" x14ac:dyDescent="0.3">
      <c r="A2342" s="75" t="s">
        <v>6464</v>
      </c>
      <c r="B2342" s="75" t="s">
        <v>6465</v>
      </c>
      <c r="C2342" s="75" t="s">
        <v>6466</v>
      </c>
      <c r="D2342" s="75" t="s">
        <v>13</v>
      </c>
      <c r="E2342" s="75" t="s">
        <v>13</v>
      </c>
      <c r="F2342" s="75" t="s">
        <v>13</v>
      </c>
    </row>
    <row r="2343" spans="1:6" x14ac:dyDescent="0.3">
      <c r="A2343" s="75" t="s">
        <v>6467</v>
      </c>
      <c r="B2343" s="75" t="s">
        <v>6468</v>
      </c>
      <c r="C2343" s="75" t="s">
        <v>6469</v>
      </c>
      <c r="D2343" s="75" t="s">
        <v>13</v>
      </c>
      <c r="E2343" s="75" t="s">
        <v>13</v>
      </c>
      <c r="F2343" s="75" t="s">
        <v>13</v>
      </c>
    </row>
    <row r="2344" spans="1:6" x14ac:dyDescent="0.3">
      <c r="A2344" s="75" t="s">
        <v>6470</v>
      </c>
      <c r="B2344" s="75" t="s">
        <v>6471</v>
      </c>
      <c r="C2344" s="75" t="s">
        <v>6472</v>
      </c>
      <c r="D2344" s="75" t="s">
        <v>13</v>
      </c>
      <c r="E2344" s="75" t="s">
        <v>13</v>
      </c>
      <c r="F2344" s="75" t="s">
        <v>13</v>
      </c>
    </row>
    <row r="2345" spans="1:6" x14ac:dyDescent="0.3">
      <c r="A2345" s="75" t="s">
        <v>6473</v>
      </c>
      <c r="B2345" s="75" t="s">
        <v>6474</v>
      </c>
      <c r="C2345" s="75" t="s">
        <v>6475</v>
      </c>
      <c r="D2345" s="75" t="s">
        <v>13</v>
      </c>
      <c r="E2345" s="75" t="s">
        <v>13</v>
      </c>
      <c r="F2345" s="75" t="s">
        <v>13</v>
      </c>
    </row>
    <row r="2346" spans="1:6" x14ac:dyDescent="0.3">
      <c r="A2346" s="75" t="s">
        <v>6476</v>
      </c>
      <c r="B2346" s="75" t="s">
        <v>6477</v>
      </c>
      <c r="C2346" s="75" t="s">
        <v>6478</v>
      </c>
      <c r="D2346" s="75" t="s">
        <v>13</v>
      </c>
      <c r="E2346" s="75" t="s">
        <v>13</v>
      </c>
      <c r="F2346" s="75" t="s">
        <v>13</v>
      </c>
    </row>
    <row r="2347" spans="1:6" x14ac:dyDescent="0.3">
      <c r="A2347" s="75" t="s">
        <v>6479</v>
      </c>
      <c r="B2347" s="75" t="s">
        <v>6480</v>
      </c>
      <c r="C2347" s="75" t="s">
        <v>6481</v>
      </c>
      <c r="D2347" s="75" t="s">
        <v>13</v>
      </c>
      <c r="E2347" s="75" t="s">
        <v>13</v>
      </c>
      <c r="F2347" s="75" t="s">
        <v>13</v>
      </c>
    </row>
    <row r="2348" spans="1:6" x14ac:dyDescent="0.3">
      <c r="A2348" s="75" t="s">
        <v>6482</v>
      </c>
      <c r="B2348" s="75" t="s">
        <v>6483</v>
      </c>
      <c r="C2348" s="75" t="s">
        <v>6484</v>
      </c>
      <c r="D2348" s="75" t="s">
        <v>13</v>
      </c>
      <c r="E2348" s="75" t="s">
        <v>13</v>
      </c>
      <c r="F2348" s="75" t="s">
        <v>13</v>
      </c>
    </row>
    <row r="2349" spans="1:6" x14ac:dyDescent="0.3">
      <c r="A2349" s="75" t="s">
        <v>6485</v>
      </c>
      <c r="B2349" s="75" t="s">
        <v>6486</v>
      </c>
      <c r="C2349" s="75" t="s">
        <v>6076</v>
      </c>
      <c r="D2349" s="75" t="s">
        <v>13</v>
      </c>
      <c r="E2349" s="75" t="s">
        <v>13</v>
      </c>
      <c r="F2349" s="75" t="s">
        <v>13</v>
      </c>
    </row>
    <row r="2350" spans="1:6" x14ac:dyDescent="0.3">
      <c r="A2350" s="75" t="s">
        <v>6487</v>
      </c>
      <c r="B2350" s="75" t="s">
        <v>6488</v>
      </c>
      <c r="C2350" s="75" t="s">
        <v>6489</v>
      </c>
      <c r="D2350" s="75" t="s">
        <v>13</v>
      </c>
      <c r="E2350" s="75" t="s">
        <v>13</v>
      </c>
      <c r="F2350" s="75" t="s">
        <v>13</v>
      </c>
    </row>
    <row r="2351" spans="1:6" x14ac:dyDescent="0.3">
      <c r="A2351" s="75" t="s">
        <v>6490</v>
      </c>
      <c r="B2351" s="75" t="s">
        <v>6491</v>
      </c>
      <c r="C2351" s="75" t="s">
        <v>6492</v>
      </c>
      <c r="D2351" s="75" t="s">
        <v>13</v>
      </c>
      <c r="E2351" s="75" t="s">
        <v>13</v>
      </c>
      <c r="F2351" s="75" t="s">
        <v>13</v>
      </c>
    </row>
    <row r="2352" spans="1:6" x14ac:dyDescent="0.3">
      <c r="A2352" s="75" t="s">
        <v>6493</v>
      </c>
      <c r="B2352" s="75" t="s">
        <v>6494</v>
      </c>
      <c r="C2352" s="75" t="s">
        <v>6495</v>
      </c>
      <c r="D2352" s="75" t="s">
        <v>13</v>
      </c>
      <c r="E2352" s="75" t="s">
        <v>13</v>
      </c>
      <c r="F2352" s="75" t="s">
        <v>13</v>
      </c>
    </row>
    <row r="2353" spans="1:6" x14ac:dyDescent="0.3">
      <c r="A2353" s="75" t="s">
        <v>6496</v>
      </c>
      <c r="B2353" s="75" t="s">
        <v>6497</v>
      </c>
      <c r="C2353" s="75" t="s">
        <v>6498</v>
      </c>
      <c r="D2353" s="75" t="s">
        <v>13</v>
      </c>
      <c r="E2353" s="75" t="s">
        <v>13</v>
      </c>
      <c r="F2353" s="75" t="s">
        <v>13</v>
      </c>
    </row>
    <row r="2354" spans="1:6" x14ac:dyDescent="0.3">
      <c r="A2354" s="75" t="s">
        <v>6499</v>
      </c>
      <c r="B2354" s="75" t="s">
        <v>6500</v>
      </c>
      <c r="C2354" s="75" t="s">
        <v>6501</v>
      </c>
      <c r="D2354" s="75" t="s">
        <v>13</v>
      </c>
      <c r="E2354" s="75" t="s">
        <v>13</v>
      </c>
      <c r="F2354" s="75" t="s">
        <v>13</v>
      </c>
    </row>
    <row r="2355" spans="1:6" x14ac:dyDescent="0.3">
      <c r="A2355" s="75" t="s">
        <v>6502</v>
      </c>
      <c r="B2355" s="75" t="s">
        <v>6503</v>
      </c>
      <c r="C2355" s="75" t="s">
        <v>6504</v>
      </c>
      <c r="D2355" s="75" t="s">
        <v>13</v>
      </c>
      <c r="E2355" s="75" t="s">
        <v>13</v>
      </c>
      <c r="F2355" s="75" t="s">
        <v>13</v>
      </c>
    </row>
    <row r="2356" spans="1:6" x14ac:dyDescent="0.3">
      <c r="A2356" s="75" t="s">
        <v>6505</v>
      </c>
      <c r="B2356" s="75" t="s">
        <v>6506</v>
      </c>
      <c r="C2356" s="75" t="s">
        <v>6507</v>
      </c>
      <c r="D2356" s="75" t="s">
        <v>13</v>
      </c>
      <c r="E2356" s="75" t="s">
        <v>13</v>
      </c>
      <c r="F2356" s="75" t="s">
        <v>13</v>
      </c>
    </row>
    <row r="2357" spans="1:6" x14ac:dyDescent="0.3">
      <c r="A2357" s="75" t="s">
        <v>6508</v>
      </c>
      <c r="B2357" s="75" t="s">
        <v>6509</v>
      </c>
      <c r="C2357" s="75" t="s">
        <v>500</v>
      </c>
      <c r="D2357" s="75" t="s">
        <v>13</v>
      </c>
      <c r="E2357" s="75" t="s">
        <v>13</v>
      </c>
      <c r="F2357" s="75" t="s">
        <v>13</v>
      </c>
    </row>
    <row r="2358" spans="1:6" x14ac:dyDescent="0.3">
      <c r="A2358" s="75" t="s">
        <v>6510</v>
      </c>
      <c r="B2358" s="75" t="s">
        <v>6511</v>
      </c>
      <c r="C2358" s="75" t="s">
        <v>6512</v>
      </c>
      <c r="D2358" s="75" t="s">
        <v>13</v>
      </c>
      <c r="E2358" s="75" t="s">
        <v>13</v>
      </c>
      <c r="F2358" s="75" t="s">
        <v>13</v>
      </c>
    </row>
    <row r="2359" spans="1:6" x14ac:dyDescent="0.3">
      <c r="A2359" s="75" t="s">
        <v>6513</v>
      </c>
      <c r="B2359" s="75" t="s">
        <v>6514</v>
      </c>
      <c r="C2359" s="75" t="s">
        <v>6515</v>
      </c>
      <c r="D2359" s="75" t="s">
        <v>13</v>
      </c>
      <c r="E2359" s="75" t="s">
        <v>13</v>
      </c>
      <c r="F2359" s="75" t="s">
        <v>13</v>
      </c>
    </row>
    <row r="2360" spans="1:6" x14ac:dyDescent="0.3">
      <c r="A2360" s="75" t="s">
        <v>6516</v>
      </c>
      <c r="B2360" s="75" t="s">
        <v>6517</v>
      </c>
      <c r="C2360" s="75" t="s">
        <v>6518</v>
      </c>
      <c r="D2360" s="75" t="s">
        <v>13</v>
      </c>
      <c r="E2360" s="75" t="s">
        <v>13</v>
      </c>
      <c r="F2360" s="75" t="s">
        <v>13</v>
      </c>
    </row>
    <row r="2361" spans="1:6" x14ac:dyDescent="0.3">
      <c r="A2361" s="75" t="s">
        <v>6519</v>
      </c>
      <c r="B2361" s="75" t="s">
        <v>6520</v>
      </c>
      <c r="C2361" s="75" t="s">
        <v>6521</v>
      </c>
      <c r="D2361" s="75" t="s">
        <v>13</v>
      </c>
      <c r="E2361" s="75" t="s">
        <v>13</v>
      </c>
      <c r="F2361" s="75" t="s">
        <v>13</v>
      </c>
    </row>
    <row r="2362" spans="1:6" x14ac:dyDescent="0.3">
      <c r="A2362" s="75" t="s">
        <v>6522</v>
      </c>
      <c r="B2362" s="75" t="s">
        <v>6523</v>
      </c>
      <c r="C2362" s="75" t="s">
        <v>6524</v>
      </c>
      <c r="D2362" s="75" t="s">
        <v>13</v>
      </c>
      <c r="E2362" s="75" t="s">
        <v>13</v>
      </c>
      <c r="F2362" s="75" t="s">
        <v>13</v>
      </c>
    </row>
    <row r="2363" spans="1:6" x14ac:dyDescent="0.3">
      <c r="A2363" s="75" t="s">
        <v>6525</v>
      </c>
      <c r="B2363" s="75" t="s">
        <v>6526</v>
      </c>
      <c r="C2363" s="75" t="s">
        <v>6527</v>
      </c>
      <c r="D2363" s="75" t="s">
        <v>13</v>
      </c>
      <c r="E2363" s="75" t="s">
        <v>13</v>
      </c>
      <c r="F2363" s="75" t="s">
        <v>13</v>
      </c>
    </row>
    <row r="2364" spans="1:6" x14ac:dyDescent="0.3">
      <c r="A2364" s="75" t="s">
        <v>6528</v>
      </c>
      <c r="B2364" s="75" t="s">
        <v>6529</v>
      </c>
      <c r="C2364" s="75" t="s">
        <v>6530</v>
      </c>
      <c r="D2364" s="75" t="s">
        <v>13</v>
      </c>
      <c r="E2364" s="75" t="s">
        <v>13</v>
      </c>
      <c r="F2364" s="75" t="s">
        <v>13</v>
      </c>
    </row>
    <row r="2365" spans="1:6" x14ac:dyDescent="0.3">
      <c r="A2365" s="75" t="s">
        <v>6531</v>
      </c>
      <c r="B2365" s="75" t="s">
        <v>6532</v>
      </c>
      <c r="C2365" s="75" t="s">
        <v>6533</v>
      </c>
      <c r="D2365" s="75" t="s">
        <v>13</v>
      </c>
      <c r="E2365" s="75" t="s">
        <v>13</v>
      </c>
      <c r="F2365" s="75" t="s">
        <v>13</v>
      </c>
    </row>
    <row r="2366" spans="1:6" x14ac:dyDescent="0.3">
      <c r="A2366" s="75" t="s">
        <v>6534</v>
      </c>
      <c r="B2366" s="75" t="s">
        <v>6535</v>
      </c>
      <c r="C2366" s="75" t="s">
        <v>6536</v>
      </c>
      <c r="D2366" s="75" t="s">
        <v>13</v>
      </c>
      <c r="E2366" s="75" t="s">
        <v>13</v>
      </c>
      <c r="F2366" s="75" t="s">
        <v>13</v>
      </c>
    </row>
    <row r="2367" spans="1:6" x14ac:dyDescent="0.3">
      <c r="A2367" s="75" t="s">
        <v>6537</v>
      </c>
      <c r="B2367" s="75" t="s">
        <v>6538</v>
      </c>
      <c r="C2367" s="75" t="s">
        <v>6539</v>
      </c>
      <c r="D2367" s="75" t="s">
        <v>13</v>
      </c>
      <c r="E2367" s="75" t="s">
        <v>13</v>
      </c>
      <c r="F2367" s="75" t="s">
        <v>13</v>
      </c>
    </row>
    <row r="2368" spans="1:6" x14ac:dyDescent="0.3">
      <c r="A2368" s="75" t="s">
        <v>6540</v>
      </c>
      <c r="B2368" s="75" t="s">
        <v>6541</v>
      </c>
      <c r="C2368" s="75" t="s">
        <v>6542</v>
      </c>
      <c r="D2368" s="75" t="s">
        <v>13</v>
      </c>
      <c r="E2368" s="75" t="s">
        <v>13</v>
      </c>
      <c r="F2368" s="75" t="s">
        <v>13</v>
      </c>
    </row>
    <row r="2369" spans="1:6" x14ac:dyDescent="0.3">
      <c r="A2369" s="75" t="s">
        <v>6543</v>
      </c>
      <c r="B2369" s="75" t="s">
        <v>6544</v>
      </c>
      <c r="C2369" s="75" t="s">
        <v>6545</v>
      </c>
      <c r="D2369" s="75" t="s">
        <v>13</v>
      </c>
      <c r="E2369" s="75" t="s">
        <v>13</v>
      </c>
      <c r="F2369" s="75" t="s">
        <v>13</v>
      </c>
    </row>
    <row r="2370" spans="1:6" x14ac:dyDescent="0.3">
      <c r="A2370" s="75" t="s">
        <v>6546</v>
      </c>
      <c r="B2370" s="75" t="s">
        <v>6547</v>
      </c>
      <c r="C2370" s="75" t="s">
        <v>6548</v>
      </c>
      <c r="D2370" s="75" t="s">
        <v>13</v>
      </c>
      <c r="E2370" s="75" t="s">
        <v>13</v>
      </c>
      <c r="F2370" s="75" t="s">
        <v>13</v>
      </c>
    </row>
    <row r="2371" spans="1:6" x14ac:dyDescent="0.3">
      <c r="A2371" s="75" t="s">
        <v>6549</v>
      </c>
      <c r="B2371" s="75" t="s">
        <v>6550</v>
      </c>
      <c r="C2371" s="75" t="s">
        <v>6551</v>
      </c>
      <c r="D2371" s="75" t="s">
        <v>13</v>
      </c>
      <c r="E2371" s="75" t="s">
        <v>13</v>
      </c>
      <c r="F2371" s="75" t="s">
        <v>13</v>
      </c>
    </row>
    <row r="2372" spans="1:6" x14ac:dyDescent="0.3">
      <c r="A2372" s="75" t="s">
        <v>6552</v>
      </c>
      <c r="B2372" s="75" t="s">
        <v>6553</v>
      </c>
      <c r="C2372" s="75" t="s">
        <v>6554</v>
      </c>
      <c r="D2372" s="75" t="s">
        <v>13</v>
      </c>
      <c r="E2372" s="75" t="s">
        <v>13</v>
      </c>
      <c r="F2372" s="75" t="s">
        <v>13</v>
      </c>
    </row>
    <row r="2373" spans="1:6" x14ac:dyDescent="0.3">
      <c r="A2373" s="75" t="s">
        <v>6555</v>
      </c>
      <c r="B2373" s="75" t="s">
        <v>6556</v>
      </c>
      <c r="C2373" s="75" t="s">
        <v>6557</v>
      </c>
      <c r="D2373" s="75" t="s">
        <v>13</v>
      </c>
      <c r="E2373" s="75" t="s">
        <v>13</v>
      </c>
      <c r="F2373" s="75" t="s">
        <v>13</v>
      </c>
    </row>
    <row r="2374" spans="1:6" x14ac:dyDescent="0.3">
      <c r="A2374" s="75" t="s">
        <v>6558</v>
      </c>
      <c r="B2374" s="75" t="s">
        <v>6559</v>
      </c>
      <c r="C2374" s="75" t="s">
        <v>6560</v>
      </c>
      <c r="D2374" s="75" t="s">
        <v>13</v>
      </c>
      <c r="E2374" s="75" t="s">
        <v>13</v>
      </c>
      <c r="F2374" s="75" t="s">
        <v>13</v>
      </c>
    </row>
    <row r="2375" spans="1:6" x14ac:dyDescent="0.3">
      <c r="A2375" s="75" t="s">
        <v>6561</v>
      </c>
      <c r="B2375" s="75" t="s">
        <v>6562</v>
      </c>
      <c r="C2375" s="75" t="s">
        <v>6563</v>
      </c>
      <c r="D2375" s="75" t="s">
        <v>13</v>
      </c>
      <c r="E2375" s="75" t="s">
        <v>13</v>
      </c>
      <c r="F2375" s="75" t="s">
        <v>13</v>
      </c>
    </row>
    <row r="2376" spans="1:6" x14ac:dyDescent="0.3">
      <c r="A2376" s="75" t="s">
        <v>6564</v>
      </c>
      <c r="B2376" s="75" t="s">
        <v>6565</v>
      </c>
      <c r="C2376" s="75" t="s">
        <v>4978</v>
      </c>
      <c r="D2376" s="75" t="s">
        <v>13</v>
      </c>
      <c r="E2376" s="75" t="s">
        <v>13</v>
      </c>
      <c r="F2376" s="75" t="s">
        <v>13</v>
      </c>
    </row>
    <row r="2377" spans="1:6" x14ac:dyDescent="0.3">
      <c r="A2377" s="75" t="s">
        <v>6566</v>
      </c>
      <c r="B2377" s="75" t="s">
        <v>6567</v>
      </c>
      <c r="C2377" s="75" t="s">
        <v>6568</v>
      </c>
      <c r="D2377" s="75" t="s">
        <v>13</v>
      </c>
      <c r="E2377" s="75" t="s">
        <v>13</v>
      </c>
      <c r="F2377" s="75" t="s">
        <v>13</v>
      </c>
    </row>
    <row r="2378" spans="1:6" x14ac:dyDescent="0.3">
      <c r="A2378" s="75" t="s">
        <v>6569</v>
      </c>
      <c r="B2378" s="75" t="s">
        <v>6570</v>
      </c>
      <c r="C2378" s="75" t="s">
        <v>6571</v>
      </c>
      <c r="D2378" s="75" t="s">
        <v>13</v>
      </c>
      <c r="E2378" s="75" t="s">
        <v>13</v>
      </c>
      <c r="F2378" s="75" t="s">
        <v>13</v>
      </c>
    </row>
    <row r="2379" spans="1:6" x14ac:dyDescent="0.3">
      <c r="A2379" s="75" t="s">
        <v>6572</v>
      </c>
      <c r="B2379" s="75" t="s">
        <v>6573</v>
      </c>
      <c r="C2379" s="75" t="s">
        <v>4894</v>
      </c>
      <c r="D2379" s="75">
        <v>2002</v>
      </c>
      <c r="E2379" s="75" t="s">
        <v>8</v>
      </c>
      <c r="F2379" s="75" t="s">
        <v>478</v>
      </c>
    </row>
    <row r="2380" spans="1:6" x14ac:dyDescent="0.3">
      <c r="A2380" s="75" t="s">
        <v>6574</v>
      </c>
      <c r="B2380" s="75" t="s">
        <v>6575</v>
      </c>
      <c r="C2380" s="75" t="s">
        <v>6576</v>
      </c>
      <c r="D2380" s="75">
        <v>2014</v>
      </c>
      <c r="E2380" s="75" t="s">
        <v>70</v>
      </c>
      <c r="F2380" s="75" t="s">
        <v>326</v>
      </c>
    </row>
    <row r="2381" spans="1:6" x14ac:dyDescent="0.3">
      <c r="A2381" s="75" t="s">
        <v>6577</v>
      </c>
      <c r="B2381" s="75" t="s">
        <v>6578</v>
      </c>
      <c r="C2381" s="75" t="s">
        <v>6579</v>
      </c>
      <c r="D2381" s="75" t="s">
        <v>13</v>
      </c>
      <c r="E2381" s="75" t="s">
        <v>70</v>
      </c>
      <c r="F2381" s="75" t="s">
        <v>71</v>
      </c>
    </row>
    <row r="2382" spans="1:6" x14ac:dyDescent="0.3">
      <c r="A2382" s="75" t="s">
        <v>6580</v>
      </c>
      <c r="B2382" s="75" t="s">
        <v>6581</v>
      </c>
      <c r="C2382" s="75" t="s">
        <v>6582</v>
      </c>
      <c r="D2382" s="75" t="s">
        <v>13</v>
      </c>
      <c r="E2382" s="75" t="s">
        <v>53</v>
      </c>
      <c r="F2382" s="75" t="s">
        <v>111</v>
      </c>
    </row>
    <row r="2383" spans="1:6" x14ac:dyDescent="0.3">
      <c r="A2383" s="75" t="s">
        <v>6583</v>
      </c>
      <c r="B2383" s="75" t="s">
        <v>6584</v>
      </c>
      <c r="C2383" s="75" t="s">
        <v>6585</v>
      </c>
      <c r="D2383" s="75" t="s">
        <v>13</v>
      </c>
      <c r="E2383" s="75" t="s">
        <v>13</v>
      </c>
      <c r="F2383" s="75" t="s">
        <v>13</v>
      </c>
    </row>
    <row r="2384" spans="1:6" x14ac:dyDescent="0.3">
      <c r="A2384" s="75" t="s">
        <v>6586</v>
      </c>
      <c r="B2384" s="75" t="s">
        <v>6587</v>
      </c>
      <c r="C2384" s="75" t="s">
        <v>6588</v>
      </c>
      <c r="D2384" s="75" t="s">
        <v>13</v>
      </c>
      <c r="E2384" s="75" t="s">
        <v>58</v>
      </c>
      <c r="F2384" s="75" t="s">
        <v>222</v>
      </c>
    </row>
    <row r="2385" spans="1:6" x14ac:dyDescent="0.3">
      <c r="A2385" s="75" t="s">
        <v>6589</v>
      </c>
      <c r="B2385" s="75" t="s">
        <v>6590</v>
      </c>
      <c r="C2385" s="75" t="s">
        <v>6591</v>
      </c>
      <c r="D2385" s="75">
        <v>1996</v>
      </c>
      <c r="E2385" s="75" t="s">
        <v>8</v>
      </c>
      <c r="F2385" s="75" t="s">
        <v>27</v>
      </c>
    </row>
    <row r="2386" spans="1:6" x14ac:dyDescent="0.3">
      <c r="A2386" s="75" t="s">
        <v>6592</v>
      </c>
      <c r="B2386" s="75" t="s">
        <v>6593</v>
      </c>
      <c r="C2386" s="75" t="s">
        <v>717</v>
      </c>
      <c r="D2386" s="75">
        <v>2013</v>
      </c>
      <c r="E2386" s="75" t="s">
        <v>18</v>
      </c>
      <c r="F2386" s="75" t="s">
        <v>434</v>
      </c>
    </row>
    <row r="2387" spans="1:6" x14ac:dyDescent="0.3">
      <c r="A2387" s="75" t="s">
        <v>6594</v>
      </c>
      <c r="B2387" s="75" t="s">
        <v>6595</v>
      </c>
      <c r="C2387" s="75" t="s">
        <v>6596</v>
      </c>
      <c r="D2387" s="75">
        <v>2015</v>
      </c>
      <c r="E2387" s="75" t="s">
        <v>70</v>
      </c>
      <c r="F2387" s="75" t="s">
        <v>80</v>
      </c>
    </row>
    <row r="2388" spans="1:6" x14ac:dyDescent="0.3">
      <c r="A2388" s="75" t="s">
        <v>6597</v>
      </c>
      <c r="B2388" s="75" t="s">
        <v>6598</v>
      </c>
      <c r="C2388" s="75" t="s">
        <v>5447</v>
      </c>
      <c r="D2388" s="75">
        <v>2017</v>
      </c>
      <c r="E2388" s="75" t="s">
        <v>31</v>
      </c>
      <c r="F2388" s="75" t="s">
        <v>2709</v>
      </c>
    </row>
    <row r="2389" spans="1:6" x14ac:dyDescent="0.3">
      <c r="A2389" s="75" t="s">
        <v>6599</v>
      </c>
      <c r="B2389" s="75" t="s">
        <v>6600</v>
      </c>
      <c r="C2389" s="75" t="s">
        <v>6601</v>
      </c>
      <c r="D2389" s="75">
        <v>1996</v>
      </c>
      <c r="E2389" s="75" t="s">
        <v>18</v>
      </c>
      <c r="F2389" s="75" t="s">
        <v>40</v>
      </c>
    </row>
    <row r="2390" spans="1:6" x14ac:dyDescent="0.3">
      <c r="A2390" s="75" t="s">
        <v>6602</v>
      </c>
      <c r="B2390" s="75" t="s">
        <v>6603</v>
      </c>
      <c r="C2390" s="75" t="s">
        <v>1738</v>
      </c>
      <c r="D2390" s="75" t="s">
        <v>13</v>
      </c>
      <c r="E2390" s="75" t="s">
        <v>18</v>
      </c>
      <c r="F2390" s="75" t="s">
        <v>2123</v>
      </c>
    </row>
    <row r="2391" spans="1:6" x14ac:dyDescent="0.3">
      <c r="A2391" s="75" t="s">
        <v>6604</v>
      </c>
      <c r="B2391" s="75" t="s">
        <v>6605</v>
      </c>
      <c r="C2391" s="75" t="s">
        <v>6606</v>
      </c>
      <c r="D2391" s="75" t="s">
        <v>13</v>
      </c>
      <c r="E2391" s="75" t="s">
        <v>70</v>
      </c>
      <c r="F2391" s="75" t="s">
        <v>71</v>
      </c>
    </row>
    <row r="2392" spans="1:6" x14ac:dyDescent="0.3">
      <c r="A2392" s="75" t="s">
        <v>6607</v>
      </c>
      <c r="B2392" s="75" t="s">
        <v>6608</v>
      </c>
      <c r="C2392" s="75" t="s">
        <v>6609</v>
      </c>
      <c r="D2392" s="75" t="s">
        <v>13</v>
      </c>
      <c r="E2392" s="75" t="s">
        <v>84</v>
      </c>
      <c r="F2392" s="75" t="s">
        <v>85</v>
      </c>
    </row>
    <row r="2393" spans="1:6" x14ac:dyDescent="0.3">
      <c r="A2393" s="75" t="s">
        <v>6610</v>
      </c>
      <c r="B2393" s="75" t="s">
        <v>6611</v>
      </c>
      <c r="C2393" s="75" t="s">
        <v>6612</v>
      </c>
      <c r="D2393" s="75">
        <v>2010</v>
      </c>
      <c r="E2393" s="75" t="s">
        <v>348</v>
      </c>
      <c r="F2393" s="75" t="s">
        <v>1936</v>
      </c>
    </row>
    <row r="2394" spans="1:6" x14ac:dyDescent="0.3">
      <c r="A2394" s="75" t="s">
        <v>6613</v>
      </c>
      <c r="B2394" s="75" t="s">
        <v>6614</v>
      </c>
      <c r="C2394" s="75" t="s">
        <v>944</v>
      </c>
      <c r="D2394" s="75" t="s">
        <v>13</v>
      </c>
      <c r="E2394" s="75" t="s">
        <v>58</v>
      </c>
      <c r="F2394" s="75" t="s">
        <v>222</v>
      </c>
    </row>
    <row r="2395" spans="1:6" x14ac:dyDescent="0.3">
      <c r="A2395" s="75" t="s">
        <v>6615</v>
      </c>
      <c r="B2395" s="75" t="s">
        <v>6616</v>
      </c>
      <c r="C2395" s="75" t="s">
        <v>6617</v>
      </c>
      <c r="D2395" s="75" t="s">
        <v>13</v>
      </c>
      <c r="E2395" s="75" t="s">
        <v>13</v>
      </c>
      <c r="F2395" s="75" t="s">
        <v>13</v>
      </c>
    </row>
    <row r="2396" spans="1:6" x14ac:dyDescent="0.3">
      <c r="A2396" s="75" t="s">
        <v>6618</v>
      </c>
      <c r="B2396" s="75" t="s">
        <v>6619</v>
      </c>
      <c r="C2396" s="75" t="s">
        <v>6620</v>
      </c>
      <c r="D2396" s="75" t="s">
        <v>13</v>
      </c>
      <c r="E2396" s="75" t="s">
        <v>13</v>
      </c>
      <c r="F2396" s="75" t="s">
        <v>13</v>
      </c>
    </row>
    <row r="2397" spans="1:6" x14ac:dyDescent="0.3">
      <c r="A2397" s="75" t="s">
        <v>6621</v>
      </c>
      <c r="B2397" s="75" t="s">
        <v>6622</v>
      </c>
      <c r="C2397" s="75" t="s">
        <v>5482</v>
      </c>
      <c r="D2397" s="75" t="s">
        <v>13</v>
      </c>
      <c r="E2397" s="75" t="s">
        <v>13</v>
      </c>
      <c r="F2397" s="75" t="s">
        <v>13</v>
      </c>
    </row>
    <row r="2398" spans="1:6" x14ac:dyDescent="0.3">
      <c r="A2398" s="75" t="s">
        <v>6623</v>
      </c>
      <c r="B2398" s="75" t="s">
        <v>6624</v>
      </c>
      <c r="C2398" s="75" t="s">
        <v>6625</v>
      </c>
      <c r="D2398" s="75" t="s">
        <v>13</v>
      </c>
      <c r="E2398" s="75" t="s">
        <v>13</v>
      </c>
      <c r="F2398" s="75" t="s">
        <v>13</v>
      </c>
    </row>
    <row r="2399" spans="1:6" x14ac:dyDescent="0.3">
      <c r="A2399" s="75" t="s">
        <v>6626</v>
      </c>
      <c r="B2399" s="75" t="s">
        <v>6627</v>
      </c>
      <c r="C2399" s="75" t="s">
        <v>6628</v>
      </c>
      <c r="D2399" s="75" t="s">
        <v>13</v>
      </c>
      <c r="E2399" s="75" t="s">
        <v>13</v>
      </c>
      <c r="F2399" s="75" t="s">
        <v>13</v>
      </c>
    </row>
    <row r="2400" spans="1:6" x14ac:dyDescent="0.3">
      <c r="A2400" s="75" t="s">
        <v>6629</v>
      </c>
      <c r="B2400" s="75" t="s">
        <v>6630</v>
      </c>
      <c r="C2400" s="75" t="s">
        <v>6631</v>
      </c>
      <c r="D2400" s="75" t="s">
        <v>13</v>
      </c>
      <c r="E2400" s="75" t="s">
        <v>70</v>
      </c>
      <c r="F2400" s="75" t="s">
        <v>80</v>
      </c>
    </row>
    <row r="2401" spans="1:6" x14ac:dyDescent="0.3">
      <c r="A2401" s="75" t="s">
        <v>6632</v>
      </c>
      <c r="B2401" s="75" t="s">
        <v>6633</v>
      </c>
      <c r="C2401" s="75" t="s">
        <v>6634</v>
      </c>
      <c r="D2401" s="75">
        <v>2013</v>
      </c>
      <c r="E2401" s="75" t="s">
        <v>31</v>
      </c>
      <c r="F2401" s="75" t="s">
        <v>32</v>
      </c>
    </row>
    <row r="2402" spans="1:6" x14ac:dyDescent="0.3">
      <c r="A2402" s="75" t="s">
        <v>6635</v>
      </c>
      <c r="B2402" s="75" t="s">
        <v>6636</v>
      </c>
      <c r="C2402" s="75" t="s">
        <v>6637</v>
      </c>
      <c r="D2402" s="75" t="s">
        <v>13</v>
      </c>
      <c r="E2402" s="75" t="s">
        <v>84</v>
      </c>
      <c r="F2402" s="75" t="s">
        <v>519</v>
      </c>
    </row>
    <row r="2403" spans="1:6" x14ac:dyDescent="0.3">
      <c r="A2403" s="75" t="s">
        <v>6638</v>
      </c>
      <c r="B2403" s="75" t="s">
        <v>6639</v>
      </c>
      <c r="C2403" s="75" t="s">
        <v>6640</v>
      </c>
      <c r="D2403" s="75">
        <v>1997</v>
      </c>
      <c r="E2403" s="75" t="s">
        <v>70</v>
      </c>
      <c r="F2403" s="75" t="s">
        <v>71</v>
      </c>
    </row>
    <row r="2404" spans="1:6" x14ac:dyDescent="0.3">
      <c r="A2404" s="75" t="s">
        <v>6641</v>
      </c>
      <c r="B2404" s="75" t="s">
        <v>6642</v>
      </c>
      <c r="C2404" s="75" t="s">
        <v>1615</v>
      </c>
      <c r="D2404" s="75">
        <v>1991</v>
      </c>
      <c r="E2404" s="75" t="s">
        <v>31</v>
      </c>
      <c r="F2404" s="75" t="s">
        <v>36</v>
      </c>
    </row>
    <row r="2405" spans="1:6" x14ac:dyDescent="0.3">
      <c r="A2405" s="75" t="s">
        <v>6643</v>
      </c>
      <c r="B2405" s="75" t="s">
        <v>6644</v>
      </c>
      <c r="C2405" s="75" t="s">
        <v>6645</v>
      </c>
      <c r="D2405" s="75">
        <v>2012</v>
      </c>
      <c r="E2405" s="75" t="s">
        <v>31</v>
      </c>
      <c r="F2405" s="75" t="s">
        <v>161</v>
      </c>
    </row>
    <row r="2406" spans="1:6" x14ac:dyDescent="0.3">
      <c r="A2406" s="75" t="s">
        <v>6646</v>
      </c>
      <c r="B2406" s="75" t="s">
        <v>6647</v>
      </c>
      <c r="C2406" s="75" t="s">
        <v>6648</v>
      </c>
      <c r="D2406" s="75" t="s">
        <v>13</v>
      </c>
      <c r="E2406" s="75" t="s">
        <v>70</v>
      </c>
      <c r="F2406" s="75" t="s">
        <v>71</v>
      </c>
    </row>
    <row r="2407" spans="1:6" x14ac:dyDescent="0.3">
      <c r="A2407" s="75" t="s">
        <v>6649</v>
      </c>
      <c r="B2407" s="75" t="s">
        <v>6650</v>
      </c>
      <c r="C2407" s="75" t="s">
        <v>6651</v>
      </c>
      <c r="D2407" s="75">
        <v>2014</v>
      </c>
      <c r="E2407" s="75" t="s">
        <v>70</v>
      </c>
      <c r="F2407" s="75" t="s">
        <v>71</v>
      </c>
    </row>
    <row r="2408" spans="1:6" x14ac:dyDescent="0.3">
      <c r="A2408" s="75" t="s">
        <v>6652</v>
      </c>
      <c r="B2408" s="75" t="s">
        <v>6653</v>
      </c>
      <c r="C2408" s="75" t="s">
        <v>6654</v>
      </c>
      <c r="D2408" s="75" t="s">
        <v>13</v>
      </c>
      <c r="E2408" s="75" t="s">
        <v>13</v>
      </c>
      <c r="F2408" s="75" t="s">
        <v>13</v>
      </c>
    </row>
    <row r="2409" spans="1:6" x14ac:dyDescent="0.3">
      <c r="A2409" s="75" t="s">
        <v>6655</v>
      </c>
      <c r="B2409" s="75" t="s">
        <v>6656</v>
      </c>
      <c r="C2409" s="75" t="s">
        <v>6657</v>
      </c>
      <c r="D2409" s="75" t="s">
        <v>13</v>
      </c>
      <c r="E2409" s="75" t="s">
        <v>13</v>
      </c>
      <c r="F2409" s="75" t="s">
        <v>13</v>
      </c>
    </row>
    <row r="2410" spans="1:6" x14ac:dyDescent="0.3">
      <c r="A2410" s="75" t="s">
        <v>6658</v>
      </c>
      <c r="B2410" s="75" t="s">
        <v>6659</v>
      </c>
      <c r="C2410" s="75" t="s">
        <v>6660</v>
      </c>
      <c r="D2410" s="75" t="s">
        <v>13</v>
      </c>
      <c r="E2410" s="75" t="s">
        <v>13</v>
      </c>
      <c r="F2410" s="75" t="s">
        <v>13</v>
      </c>
    </row>
    <row r="2411" spans="1:6" x14ac:dyDescent="0.3">
      <c r="A2411" s="75" t="s">
        <v>6661</v>
      </c>
      <c r="B2411" s="75" t="s">
        <v>6662</v>
      </c>
      <c r="C2411" s="75" t="s">
        <v>1016</v>
      </c>
      <c r="D2411" s="75" t="s">
        <v>13</v>
      </c>
      <c r="E2411" s="75" t="s">
        <v>13</v>
      </c>
      <c r="F2411" s="75" t="s">
        <v>13</v>
      </c>
    </row>
    <row r="2412" spans="1:6" x14ac:dyDescent="0.3">
      <c r="A2412" s="75" t="s">
        <v>6663</v>
      </c>
      <c r="B2412" s="75" t="s">
        <v>6664</v>
      </c>
      <c r="C2412" s="75" t="s">
        <v>6665</v>
      </c>
      <c r="D2412" s="75" t="s">
        <v>13</v>
      </c>
      <c r="E2412" s="75" t="s">
        <v>13</v>
      </c>
      <c r="F2412" s="75" t="s">
        <v>13</v>
      </c>
    </row>
    <row r="2413" spans="1:6" x14ac:dyDescent="0.3">
      <c r="A2413" s="75" t="s">
        <v>6666</v>
      </c>
      <c r="B2413" s="75" t="s">
        <v>6667</v>
      </c>
      <c r="C2413" s="75" t="s">
        <v>6668</v>
      </c>
      <c r="D2413" s="75" t="s">
        <v>13</v>
      </c>
      <c r="E2413" s="75" t="s">
        <v>13</v>
      </c>
      <c r="F2413" s="75" t="s">
        <v>13</v>
      </c>
    </row>
    <row r="2414" spans="1:6" x14ac:dyDescent="0.3">
      <c r="A2414" s="75" t="s">
        <v>6669</v>
      </c>
      <c r="B2414" s="75" t="s">
        <v>6670</v>
      </c>
      <c r="C2414" s="75" t="s">
        <v>6671</v>
      </c>
      <c r="D2414" s="75" t="s">
        <v>13</v>
      </c>
      <c r="E2414" s="75" t="s">
        <v>13</v>
      </c>
      <c r="F2414" s="75" t="s">
        <v>13</v>
      </c>
    </row>
    <row r="2415" spans="1:6" x14ac:dyDescent="0.3">
      <c r="A2415" s="75" t="s">
        <v>6672</v>
      </c>
      <c r="B2415" s="75" t="s">
        <v>6673</v>
      </c>
      <c r="C2415" s="75" t="s">
        <v>5733</v>
      </c>
      <c r="D2415" s="75">
        <v>2004</v>
      </c>
      <c r="E2415" s="75" t="s">
        <v>13</v>
      </c>
      <c r="F2415" s="75" t="s">
        <v>13</v>
      </c>
    </row>
    <row r="2416" spans="1:6" x14ac:dyDescent="0.3">
      <c r="A2416" s="75" t="s">
        <v>6674</v>
      </c>
      <c r="B2416" s="75" t="s">
        <v>6675</v>
      </c>
      <c r="C2416" s="75" t="s">
        <v>6676</v>
      </c>
      <c r="D2416" s="75">
        <v>2016</v>
      </c>
      <c r="E2416" s="75" t="s">
        <v>70</v>
      </c>
      <c r="F2416" s="75" t="s">
        <v>71</v>
      </c>
    </row>
    <row r="2417" spans="1:6" x14ac:dyDescent="0.3">
      <c r="A2417" s="75" t="s">
        <v>6677</v>
      </c>
      <c r="B2417" s="75" t="s">
        <v>6678</v>
      </c>
      <c r="C2417" s="75" t="s">
        <v>6679</v>
      </c>
      <c r="D2417" s="75">
        <v>2014</v>
      </c>
      <c r="E2417" s="75" t="s">
        <v>70</v>
      </c>
      <c r="F2417" s="75" t="s">
        <v>118</v>
      </c>
    </row>
    <row r="2418" spans="1:6" x14ac:dyDescent="0.3">
      <c r="A2418" s="75" t="s">
        <v>6680</v>
      </c>
      <c r="B2418" s="75" t="s">
        <v>6681</v>
      </c>
      <c r="C2418" s="75" t="s">
        <v>4066</v>
      </c>
      <c r="D2418" s="75">
        <v>2016</v>
      </c>
      <c r="E2418" s="75" t="s">
        <v>70</v>
      </c>
      <c r="F2418" s="75" t="s">
        <v>71</v>
      </c>
    </row>
    <row r="2419" spans="1:6" x14ac:dyDescent="0.3">
      <c r="A2419" s="75" t="s">
        <v>6682</v>
      </c>
      <c r="B2419" s="75" t="s">
        <v>6683</v>
      </c>
      <c r="C2419" s="75" t="s">
        <v>398</v>
      </c>
      <c r="D2419" s="75" t="s">
        <v>13</v>
      </c>
      <c r="E2419" s="75" t="s">
        <v>70</v>
      </c>
      <c r="F2419" s="75" t="s">
        <v>71</v>
      </c>
    </row>
    <row r="2420" spans="1:6" x14ac:dyDescent="0.3">
      <c r="A2420" s="75" t="s">
        <v>6684</v>
      </c>
      <c r="B2420" s="75" t="s">
        <v>6685</v>
      </c>
      <c r="C2420" s="75" t="s">
        <v>6686</v>
      </c>
      <c r="D2420" s="75">
        <v>2015</v>
      </c>
      <c r="E2420" s="75" t="s">
        <v>8</v>
      </c>
      <c r="F2420" s="75" t="s">
        <v>23</v>
      </c>
    </row>
    <row r="2421" spans="1:6" x14ac:dyDescent="0.3">
      <c r="A2421" s="75" t="s">
        <v>6687</v>
      </c>
      <c r="B2421" s="75" t="s">
        <v>6688</v>
      </c>
      <c r="C2421" s="75" t="s">
        <v>6689</v>
      </c>
      <c r="D2421" s="75" t="s">
        <v>13</v>
      </c>
      <c r="E2421" s="75" t="s">
        <v>8</v>
      </c>
      <c r="F2421" s="75" t="s">
        <v>23</v>
      </c>
    </row>
    <row r="2422" spans="1:6" x14ac:dyDescent="0.3">
      <c r="A2422" s="75" t="s">
        <v>6690</v>
      </c>
      <c r="B2422" s="75" t="s">
        <v>6691</v>
      </c>
      <c r="C2422" s="75" t="s">
        <v>6692</v>
      </c>
      <c r="D2422" s="75" t="s">
        <v>13</v>
      </c>
      <c r="E2422" s="75" t="s">
        <v>8</v>
      </c>
      <c r="F2422" s="75" t="s">
        <v>579</v>
      </c>
    </row>
    <row r="2423" spans="1:6" x14ac:dyDescent="0.3">
      <c r="A2423" s="75" t="s">
        <v>6693</v>
      </c>
      <c r="B2423" s="75" t="s">
        <v>6694</v>
      </c>
      <c r="C2423" s="75" t="s">
        <v>6695</v>
      </c>
      <c r="D2423" s="75" t="s">
        <v>13</v>
      </c>
      <c r="E2423" s="75" t="s">
        <v>53</v>
      </c>
      <c r="F2423" s="75" t="s">
        <v>111</v>
      </c>
    </row>
    <row r="2424" spans="1:6" x14ac:dyDescent="0.3">
      <c r="A2424" s="75" t="s">
        <v>6696</v>
      </c>
      <c r="B2424" s="75" t="s">
        <v>6697</v>
      </c>
      <c r="C2424" s="75" t="s">
        <v>6698</v>
      </c>
      <c r="D2424" s="75" t="s">
        <v>13</v>
      </c>
      <c r="E2424" s="75" t="s">
        <v>70</v>
      </c>
      <c r="F2424" s="75" t="s">
        <v>101</v>
      </c>
    </row>
    <row r="2425" spans="1:6" x14ac:dyDescent="0.3">
      <c r="A2425" s="75" t="s">
        <v>6699</v>
      </c>
      <c r="B2425" s="75" t="s">
        <v>6700</v>
      </c>
      <c r="C2425" s="75" t="s">
        <v>6701</v>
      </c>
      <c r="D2425" s="75" t="s">
        <v>13</v>
      </c>
      <c r="E2425" s="75" t="s">
        <v>31</v>
      </c>
      <c r="F2425" s="75" t="s">
        <v>36</v>
      </c>
    </row>
    <row r="2426" spans="1:6" x14ac:dyDescent="0.3">
      <c r="A2426" s="75" t="s">
        <v>6702</v>
      </c>
      <c r="B2426" s="75" t="s">
        <v>6703</v>
      </c>
      <c r="C2426" s="75" t="s">
        <v>6704</v>
      </c>
      <c r="D2426" s="75">
        <v>2013</v>
      </c>
      <c r="E2426" s="75" t="s">
        <v>70</v>
      </c>
      <c r="F2426" s="75" t="s">
        <v>71</v>
      </c>
    </row>
    <row r="2427" spans="1:6" x14ac:dyDescent="0.3">
      <c r="A2427" s="75" t="s">
        <v>6705</v>
      </c>
      <c r="B2427" s="75" t="s">
        <v>6706</v>
      </c>
      <c r="C2427" s="75" t="s">
        <v>2715</v>
      </c>
      <c r="D2427" s="75">
        <v>2014</v>
      </c>
      <c r="E2427" s="75" t="s">
        <v>70</v>
      </c>
      <c r="F2427" s="75" t="s">
        <v>71</v>
      </c>
    </row>
    <row r="2428" spans="1:6" x14ac:dyDescent="0.3">
      <c r="A2428" s="75" t="s">
        <v>6707</v>
      </c>
      <c r="B2428" s="75" t="s">
        <v>6708</v>
      </c>
      <c r="C2428" s="75" t="s">
        <v>6709</v>
      </c>
      <c r="D2428" s="75">
        <v>2016</v>
      </c>
      <c r="E2428" s="75" t="s">
        <v>70</v>
      </c>
      <c r="F2428" s="75" t="s">
        <v>80</v>
      </c>
    </row>
    <row r="2429" spans="1:6" x14ac:dyDescent="0.3">
      <c r="A2429" s="75" t="s">
        <v>6710</v>
      </c>
      <c r="B2429" s="75" t="s">
        <v>6711</v>
      </c>
      <c r="C2429" s="75" t="s">
        <v>6712</v>
      </c>
      <c r="D2429" s="75" t="s">
        <v>13</v>
      </c>
      <c r="E2429" s="75" t="s">
        <v>70</v>
      </c>
      <c r="F2429" s="75" t="s">
        <v>71</v>
      </c>
    </row>
    <row r="2430" spans="1:6" x14ac:dyDescent="0.3">
      <c r="A2430" s="75" t="s">
        <v>6713</v>
      </c>
      <c r="B2430" s="75" t="s">
        <v>6714</v>
      </c>
      <c r="C2430" s="75" t="s">
        <v>6715</v>
      </c>
      <c r="D2430" s="75" t="s">
        <v>13</v>
      </c>
      <c r="E2430" s="75" t="s">
        <v>44</v>
      </c>
      <c r="F2430" s="75" t="s">
        <v>222</v>
      </c>
    </row>
    <row r="2431" spans="1:6" x14ac:dyDescent="0.3">
      <c r="A2431" s="75" t="s">
        <v>6716</v>
      </c>
      <c r="B2431" s="75" t="s">
        <v>6717</v>
      </c>
      <c r="C2431" s="75" t="s">
        <v>13</v>
      </c>
      <c r="D2431" s="75" t="s">
        <v>13</v>
      </c>
      <c r="E2431" s="75" t="s">
        <v>13</v>
      </c>
      <c r="F2431" s="75" t="s">
        <v>13</v>
      </c>
    </row>
    <row r="2432" spans="1:6" x14ac:dyDescent="0.3">
      <c r="A2432" s="75" t="s">
        <v>6718</v>
      </c>
      <c r="B2432" s="75" t="s">
        <v>6719</v>
      </c>
      <c r="C2432" s="75" t="s">
        <v>6720</v>
      </c>
      <c r="D2432" s="75" t="s">
        <v>13</v>
      </c>
      <c r="E2432" s="75" t="s">
        <v>283</v>
      </c>
      <c r="F2432" s="75" t="s">
        <v>1449</v>
      </c>
    </row>
    <row r="2433" spans="1:6" x14ac:dyDescent="0.3">
      <c r="A2433" s="75" t="s">
        <v>6721</v>
      </c>
      <c r="B2433" s="75" t="s">
        <v>6722</v>
      </c>
      <c r="C2433" s="75" t="s">
        <v>6723</v>
      </c>
      <c r="D2433" s="75" t="s">
        <v>13</v>
      </c>
      <c r="E2433" s="75" t="s">
        <v>31</v>
      </c>
      <c r="F2433" s="75" t="s">
        <v>36</v>
      </c>
    </row>
    <row r="2434" spans="1:6" x14ac:dyDescent="0.3">
      <c r="A2434" s="75" t="s">
        <v>6724</v>
      </c>
      <c r="B2434" s="75" t="s">
        <v>6722</v>
      </c>
      <c r="C2434" s="75" t="s">
        <v>6725</v>
      </c>
      <c r="D2434" s="75" t="s">
        <v>13</v>
      </c>
      <c r="E2434" s="75" t="s">
        <v>31</v>
      </c>
      <c r="F2434" s="75" t="s">
        <v>36</v>
      </c>
    </row>
    <row r="2435" spans="1:6" x14ac:dyDescent="0.3">
      <c r="A2435" s="75" t="s">
        <v>6726</v>
      </c>
      <c r="B2435" s="75" t="s">
        <v>6727</v>
      </c>
      <c r="C2435" s="75" t="s">
        <v>6728</v>
      </c>
      <c r="D2435" s="75" t="s">
        <v>13</v>
      </c>
      <c r="E2435" s="75" t="s">
        <v>8</v>
      </c>
      <c r="F2435" s="75" t="s">
        <v>27</v>
      </c>
    </row>
    <row r="2436" spans="1:6" x14ac:dyDescent="0.3">
      <c r="A2436" s="75" t="s">
        <v>6729</v>
      </c>
      <c r="B2436" s="75" t="s">
        <v>6730</v>
      </c>
      <c r="C2436" s="75" t="s">
        <v>6731</v>
      </c>
      <c r="D2436" s="75" t="s">
        <v>13</v>
      </c>
      <c r="E2436" s="75" t="s">
        <v>70</v>
      </c>
      <c r="F2436" s="75" t="s">
        <v>118</v>
      </c>
    </row>
    <row r="2437" spans="1:6" x14ac:dyDescent="0.3">
      <c r="A2437" s="75" t="s">
        <v>6732</v>
      </c>
      <c r="B2437" s="75" t="s">
        <v>6733</v>
      </c>
      <c r="C2437" s="75" t="s">
        <v>6734</v>
      </c>
      <c r="D2437" s="75">
        <v>2013</v>
      </c>
      <c r="E2437" s="75" t="s">
        <v>96</v>
      </c>
      <c r="F2437" s="75" t="s">
        <v>76</v>
      </c>
    </row>
    <row r="2438" spans="1:6" x14ac:dyDescent="0.3">
      <c r="A2438" s="75" t="s">
        <v>6735</v>
      </c>
      <c r="B2438" s="75" t="s">
        <v>6736</v>
      </c>
      <c r="C2438" s="75" t="s">
        <v>6737</v>
      </c>
      <c r="D2438" s="75" t="s">
        <v>13</v>
      </c>
      <c r="E2438" s="75" t="s">
        <v>31</v>
      </c>
      <c r="F2438" s="75" t="s">
        <v>92</v>
      </c>
    </row>
    <row r="2439" spans="1:6" x14ac:dyDescent="0.3">
      <c r="A2439" s="75" t="s">
        <v>6738</v>
      </c>
      <c r="B2439" s="75" t="s">
        <v>6739</v>
      </c>
      <c r="C2439" s="75" t="s">
        <v>6740</v>
      </c>
      <c r="D2439" s="75">
        <v>1991</v>
      </c>
      <c r="E2439" s="75" t="s">
        <v>31</v>
      </c>
      <c r="F2439" s="75" t="s">
        <v>291</v>
      </c>
    </row>
    <row r="2440" spans="1:6" x14ac:dyDescent="0.3">
      <c r="A2440" s="75" t="s">
        <v>6741</v>
      </c>
      <c r="B2440" s="75" t="s">
        <v>6742</v>
      </c>
      <c r="C2440" s="75" t="s">
        <v>1430</v>
      </c>
      <c r="D2440" s="75">
        <v>1982</v>
      </c>
      <c r="E2440" s="75" t="s">
        <v>31</v>
      </c>
      <c r="F2440" s="75" t="s">
        <v>161</v>
      </c>
    </row>
    <row r="2441" spans="1:6" x14ac:dyDescent="0.3">
      <c r="A2441" s="75" t="s">
        <v>6743</v>
      </c>
      <c r="B2441" s="75" t="s">
        <v>6744</v>
      </c>
      <c r="C2441" s="75" t="s">
        <v>6745</v>
      </c>
      <c r="D2441" s="75">
        <v>2000</v>
      </c>
      <c r="E2441" s="75" t="s">
        <v>31</v>
      </c>
      <c r="F2441" s="75" t="s">
        <v>1427</v>
      </c>
    </row>
    <row r="2442" spans="1:6" x14ac:dyDescent="0.3">
      <c r="A2442" s="75" t="s">
        <v>6746</v>
      </c>
      <c r="B2442" s="75" t="s">
        <v>6747</v>
      </c>
      <c r="C2442" s="75" t="s">
        <v>1316</v>
      </c>
      <c r="D2442" s="75">
        <v>2012</v>
      </c>
      <c r="E2442" s="75" t="s">
        <v>31</v>
      </c>
      <c r="F2442" s="75" t="s">
        <v>36</v>
      </c>
    </row>
    <row r="2443" spans="1:6" x14ac:dyDescent="0.3">
      <c r="A2443" s="75" t="s">
        <v>6748</v>
      </c>
      <c r="B2443" s="75" t="s">
        <v>6749</v>
      </c>
      <c r="C2443" s="75" t="s">
        <v>6750</v>
      </c>
      <c r="D2443" s="75">
        <v>2016</v>
      </c>
      <c r="E2443" s="75" t="s">
        <v>31</v>
      </c>
      <c r="F2443" s="75" t="s">
        <v>92</v>
      </c>
    </row>
    <row r="2444" spans="1:6" x14ac:dyDescent="0.3">
      <c r="A2444" s="75" t="s">
        <v>6751</v>
      </c>
      <c r="B2444" s="75" t="s">
        <v>6752</v>
      </c>
      <c r="C2444" s="75" t="s">
        <v>6753</v>
      </c>
      <c r="D2444" s="75" t="s">
        <v>13</v>
      </c>
      <c r="E2444" s="75" t="s">
        <v>96</v>
      </c>
      <c r="F2444" s="75" t="s">
        <v>97</v>
      </c>
    </row>
    <row r="2445" spans="1:6" x14ac:dyDescent="0.3">
      <c r="A2445" s="75" t="s">
        <v>6754</v>
      </c>
      <c r="B2445" s="75" t="s">
        <v>6755</v>
      </c>
      <c r="C2445" s="75" t="s">
        <v>5970</v>
      </c>
      <c r="D2445" s="75" t="s">
        <v>13</v>
      </c>
      <c r="E2445" s="75" t="s">
        <v>31</v>
      </c>
      <c r="F2445" s="75" t="s">
        <v>40</v>
      </c>
    </row>
    <row r="2446" spans="1:6" x14ac:dyDescent="0.3">
      <c r="A2446" s="75" t="s">
        <v>6756</v>
      </c>
      <c r="B2446" s="75" t="s">
        <v>6757</v>
      </c>
      <c r="C2446" s="75" t="s">
        <v>6758</v>
      </c>
      <c r="D2446" s="75">
        <v>1999</v>
      </c>
      <c r="E2446" s="75" t="s">
        <v>31</v>
      </c>
      <c r="F2446" s="75" t="s">
        <v>92</v>
      </c>
    </row>
    <row r="2447" spans="1:6" x14ac:dyDescent="0.3">
      <c r="A2447" s="75" t="s">
        <v>6759</v>
      </c>
      <c r="B2447" s="75" t="s">
        <v>6760</v>
      </c>
      <c r="C2447" s="75" t="s">
        <v>196</v>
      </c>
      <c r="D2447" s="75" t="s">
        <v>13</v>
      </c>
      <c r="E2447" s="75" t="s">
        <v>70</v>
      </c>
      <c r="F2447" s="75" t="s">
        <v>137</v>
      </c>
    </row>
    <row r="2448" spans="1:6" x14ac:dyDescent="0.3">
      <c r="A2448" s="75" t="s">
        <v>6761</v>
      </c>
      <c r="B2448" s="75" t="s">
        <v>6762</v>
      </c>
      <c r="C2448" s="75" t="s">
        <v>6763</v>
      </c>
      <c r="D2448" s="75">
        <v>2010</v>
      </c>
      <c r="E2448" s="75" t="s">
        <v>96</v>
      </c>
      <c r="F2448" s="75" t="s">
        <v>76</v>
      </c>
    </row>
    <row r="2449" spans="1:6" x14ac:dyDescent="0.3">
      <c r="A2449" s="75" t="s">
        <v>6764</v>
      </c>
      <c r="B2449" s="75" t="s">
        <v>6765</v>
      </c>
      <c r="C2449" s="75" t="s">
        <v>6766</v>
      </c>
      <c r="D2449" s="75" t="s">
        <v>13</v>
      </c>
      <c r="E2449" s="75" t="s">
        <v>31</v>
      </c>
      <c r="F2449" s="75" t="s">
        <v>36</v>
      </c>
    </row>
    <row r="2450" spans="1:6" x14ac:dyDescent="0.3">
      <c r="A2450" s="75" t="s">
        <v>6767</v>
      </c>
      <c r="B2450" s="75" t="s">
        <v>6768</v>
      </c>
      <c r="C2450" s="75" t="s">
        <v>6769</v>
      </c>
      <c r="D2450" s="75">
        <v>2014</v>
      </c>
      <c r="E2450" s="75" t="s">
        <v>70</v>
      </c>
      <c r="F2450" s="75" t="s">
        <v>137</v>
      </c>
    </row>
    <row r="2451" spans="1:6" x14ac:dyDescent="0.3">
      <c r="A2451" s="75" t="s">
        <v>6770</v>
      </c>
      <c r="B2451" s="75" t="s">
        <v>6771</v>
      </c>
      <c r="C2451" s="75" t="s">
        <v>6772</v>
      </c>
      <c r="D2451" s="75" t="s">
        <v>13</v>
      </c>
      <c r="E2451" s="75" t="s">
        <v>96</v>
      </c>
      <c r="F2451" s="75" t="s">
        <v>1420</v>
      </c>
    </row>
    <row r="2452" spans="1:6" x14ac:dyDescent="0.3">
      <c r="A2452" s="75" t="s">
        <v>6773</v>
      </c>
      <c r="B2452" s="75" t="s">
        <v>6774</v>
      </c>
      <c r="C2452" s="75" t="s">
        <v>6775</v>
      </c>
      <c r="D2452" s="75" t="s">
        <v>13</v>
      </c>
      <c r="E2452" s="75" t="s">
        <v>18</v>
      </c>
      <c r="F2452" s="75" t="s">
        <v>434</v>
      </c>
    </row>
    <row r="2453" spans="1:6" x14ac:dyDescent="0.3">
      <c r="A2453" s="75" t="s">
        <v>6776</v>
      </c>
      <c r="B2453" s="75" t="s">
        <v>6777</v>
      </c>
      <c r="C2453" s="75" t="s">
        <v>6778</v>
      </c>
      <c r="D2453" s="75">
        <v>2016</v>
      </c>
      <c r="E2453" s="75" t="s">
        <v>70</v>
      </c>
      <c r="F2453" s="75" t="s">
        <v>71</v>
      </c>
    </row>
    <row r="2454" spans="1:6" x14ac:dyDescent="0.3">
      <c r="A2454" s="75" t="s">
        <v>6779</v>
      </c>
      <c r="B2454" s="75" t="s">
        <v>6780</v>
      </c>
      <c r="C2454" s="75" t="s">
        <v>6781</v>
      </c>
      <c r="D2454" s="75" t="s">
        <v>13</v>
      </c>
      <c r="E2454" s="75" t="s">
        <v>348</v>
      </c>
      <c r="F2454" s="75" t="s">
        <v>1427</v>
      </c>
    </row>
    <row r="2455" spans="1:6" x14ac:dyDescent="0.3">
      <c r="A2455" s="75" t="s">
        <v>6782</v>
      </c>
      <c r="B2455" s="75" t="s">
        <v>6783</v>
      </c>
      <c r="C2455" s="75" t="s">
        <v>6784</v>
      </c>
      <c r="D2455" s="75">
        <v>1997</v>
      </c>
      <c r="E2455" s="75" t="s">
        <v>31</v>
      </c>
      <c r="F2455" s="75" t="s">
        <v>798</v>
      </c>
    </row>
    <row r="2456" spans="1:6" x14ac:dyDescent="0.3">
      <c r="A2456" s="75" t="s">
        <v>6785</v>
      </c>
      <c r="B2456" s="75" t="s">
        <v>6786</v>
      </c>
      <c r="C2456" s="75" t="s">
        <v>6787</v>
      </c>
      <c r="D2456" s="75">
        <v>1995</v>
      </c>
      <c r="E2456" s="75" t="s">
        <v>31</v>
      </c>
      <c r="F2456" s="75" t="s">
        <v>798</v>
      </c>
    </row>
    <row r="2457" spans="1:6" x14ac:dyDescent="0.3">
      <c r="A2457" s="75" t="s">
        <v>6788</v>
      </c>
      <c r="B2457" s="75" t="s">
        <v>6789</v>
      </c>
      <c r="C2457" s="75" t="s">
        <v>2963</v>
      </c>
      <c r="D2457" s="75">
        <v>2014</v>
      </c>
      <c r="E2457" s="75" t="s">
        <v>70</v>
      </c>
      <c r="F2457" s="75" t="s">
        <v>71</v>
      </c>
    </row>
    <row r="2458" spans="1:6" x14ac:dyDescent="0.3">
      <c r="A2458" s="75" t="s">
        <v>6790</v>
      </c>
      <c r="B2458" s="75" t="s">
        <v>6791</v>
      </c>
      <c r="C2458" s="75" t="s">
        <v>6792</v>
      </c>
      <c r="D2458" s="75" t="s">
        <v>13</v>
      </c>
      <c r="E2458" s="75" t="s">
        <v>70</v>
      </c>
      <c r="F2458" s="75" t="s">
        <v>101</v>
      </c>
    </row>
    <row r="2459" spans="1:6" x14ac:dyDescent="0.3">
      <c r="A2459" s="75" t="s">
        <v>6793</v>
      </c>
      <c r="B2459" s="75" t="s">
        <v>6794</v>
      </c>
      <c r="C2459" s="75" t="s">
        <v>6795</v>
      </c>
      <c r="D2459" s="75">
        <v>1999</v>
      </c>
      <c r="E2459" s="75" t="s">
        <v>96</v>
      </c>
      <c r="F2459" s="75" t="s">
        <v>76</v>
      </c>
    </row>
    <row r="2460" spans="1:6" x14ac:dyDescent="0.3">
      <c r="A2460" s="75" t="s">
        <v>6796</v>
      </c>
      <c r="B2460" s="75" t="s">
        <v>6797</v>
      </c>
      <c r="C2460" s="75" t="s">
        <v>6798</v>
      </c>
      <c r="D2460" s="75">
        <v>2017</v>
      </c>
      <c r="E2460" s="75" t="s">
        <v>84</v>
      </c>
      <c r="F2460" s="75" t="s">
        <v>375</v>
      </c>
    </row>
    <row r="2461" spans="1:6" x14ac:dyDescent="0.3">
      <c r="A2461" s="75" t="s">
        <v>6799</v>
      </c>
      <c r="B2461" s="75" t="s">
        <v>6800</v>
      </c>
      <c r="C2461" s="75" t="s">
        <v>287</v>
      </c>
      <c r="D2461" s="75">
        <v>1997</v>
      </c>
      <c r="E2461" s="75" t="s">
        <v>31</v>
      </c>
      <c r="F2461" s="75" t="s">
        <v>92</v>
      </c>
    </row>
    <row r="2462" spans="1:6" x14ac:dyDescent="0.3">
      <c r="A2462" s="75" t="s">
        <v>6801</v>
      </c>
      <c r="B2462" s="75" t="s">
        <v>6802</v>
      </c>
      <c r="C2462" s="75" t="s">
        <v>6803</v>
      </c>
      <c r="D2462" s="75" t="s">
        <v>13</v>
      </c>
      <c r="E2462" s="75" t="s">
        <v>13</v>
      </c>
      <c r="F2462" s="75" t="s">
        <v>13</v>
      </c>
    </row>
    <row r="2463" spans="1:6" x14ac:dyDescent="0.3">
      <c r="A2463" s="75" t="s">
        <v>6804</v>
      </c>
      <c r="B2463" s="75" t="s">
        <v>6805</v>
      </c>
      <c r="C2463" s="75" t="s">
        <v>6806</v>
      </c>
      <c r="D2463" s="75" t="s">
        <v>13</v>
      </c>
      <c r="E2463" s="75" t="s">
        <v>18</v>
      </c>
      <c r="F2463" s="75" t="s">
        <v>1449</v>
      </c>
    </row>
    <row r="2464" spans="1:6" x14ac:dyDescent="0.3">
      <c r="A2464" s="75" t="s">
        <v>6807</v>
      </c>
      <c r="B2464" s="75" t="s">
        <v>6808</v>
      </c>
      <c r="C2464" s="75" t="s">
        <v>6809</v>
      </c>
      <c r="D2464" s="75" t="s">
        <v>13</v>
      </c>
      <c r="E2464" s="75" t="s">
        <v>58</v>
      </c>
      <c r="F2464" s="75" t="s">
        <v>1773</v>
      </c>
    </row>
    <row r="2465" spans="1:6" x14ac:dyDescent="0.3">
      <c r="A2465" s="75" t="s">
        <v>6810</v>
      </c>
      <c r="B2465" s="75" t="s">
        <v>6811</v>
      </c>
      <c r="C2465" s="75" t="s">
        <v>6812</v>
      </c>
      <c r="D2465" s="75">
        <v>2016</v>
      </c>
      <c r="E2465" s="75" t="s">
        <v>8</v>
      </c>
      <c r="F2465" s="75" t="s">
        <v>27</v>
      </c>
    </row>
    <row r="2466" spans="1:6" x14ac:dyDescent="0.3">
      <c r="A2466" s="75" t="s">
        <v>6813</v>
      </c>
      <c r="B2466" s="75" t="s">
        <v>6814</v>
      </c>
      <c r="C2466" s="75" t="s">
        <v>6815</v>
      </c>
      <c r="D2466" s="75">
        <v>2015</v>
      </c>
      <c r="E2466" s="75" t="s">
        <v>31</v>
      </c>
      <c r="F2466" s="75" t="s">
        <v>36</v>
      </c>
    </row>
    <row r="2467" spans="1:6" x14ac:dyDescent="0.3">
      <c r="A2467" s="75" t="s">
        <v>6816</v>
      </c>
      <c r="B2467" s="75" t="s">
        <v>6817</v>
      </c>
      <c r="C2467" s="75" t="s">
        <v>6818</v>
      </c>
      <c r="D2467" s="75" t="s">
        <v>13</v>
      </c>
      <c r="E2467" s="75" t="s">
        <v>348</v>
      </c>
      <c r="F2467" s="75" t="s">
        <v>1936</v>
      </c>
    </row>
    <row r="2468" spans="1:6" x14ac:dyDescent="0.3">
      <c r="A2468" s="75" t="s">
        <v>6819</v>
      </c>
      <c r="B2468" s="75" t="s">
        <v>6820</v>
      </c>
      <c r="C2468" s="75" t="s">
        <v>5447</v>
      </c>
      <c r="D2468" s="75" t="s">
        <v>13</v>
      </c>
      <c r="E2468" s="75" t="s">
        <v>53</v>
      </c>
      <c r="F2468" s="75" t="s">
        <v>1762</v>
      </c>
    </row>
    <row r="2469" spans="1:6" x14ac:dyDescent="0.3">
      <c r="A2469" s="75" t="s">
        <v>6821</v>
      </c>
      <c r="B2469" s="75" t="s">
        <v>6822</v>
      </c>
      <c r="C2469" s="75" t="s">
        <v>6823</v>
      </c>
      <c r="D2469" s="75">
        <v>2017</v>
      </c>
      <c r="E2469" s="75" t="s">
        <v>8</v>
      </c>
      <c r="F2469" s="75" t="s">
        <v>27</v>
      </c>
    </row>
    <row r="2470" spans="1:6" x14ac:dyDescent="0.3">
      <c r="A2470" s="75" t="s">
        <v>6824</v>
      </c>
      <c r="B2470" s="75" t="s">
        <v>6825</v>
      </c>
      <c r="C2470" s="75" t="s">
        <v>6826</v>
      </c>
      <c r="D2470" s="75">
        <v>2005</v>
      </c>
      <c r="E2470" s="75" t="s">
        <v>53</v>
      </c>
      <c r="F2470" s="75" t="s">
        <v>519</v>
      </c>
    </row>
    <row r="2471" spans="1:6" x14ac:dyDescent="0.3">
      <c r="A2471" s="75" t="s">
        <v>6827</v>
      </c>
      <c r="B2471" s="75" t="s">
        <v>6828</v>
      </c>
      <c r="C2471" s="75" t="s">
        <v>6829</v>
      </c>
      <c r="D2471" s="75">
        <v>1995</v>
      </c>
      <c r="E2471" s="75" t="s">
        <v>18</v>
      </c>
      <c r="F2471" s="75" t="s">
        <v>729</v>
      </c>
    </row>
    <row r="2472" spans="1:6" x14ac:dyDescent="0.3">
      <c r="A2472" s="75" t="s">
        <v>6830</v>
      </c>
      <c r="B2472" s="75" t="s">
        <v>6831</v>
      </c>
      <c r="C2472" s="75" t="s">
        <v>6832</v>
      </c>
      <c r="D2472" s="75" t="s">
        <v>13</v>
      </c>
      <c r="E2472" s="75" t="s">
        <v>31</v>
      </c>
      <c r="F2472" s="75" t="s">
        <v>1032</v>
      </c>
    </row>
    <row r="2473" spans="1:6" x14ac:dyDescent="0.3">
      <c r="A2473" s="75" t="s">
        <v>6833</v>
      </c>
      <c r="B2473" s="75" t="s">
        <v>6834</v>
      </c>
      <c r="C2473" s="75" t="s">
        <v>6835</v>
      </c>
      <c r="D2473" s="75" t="s">
        <v>13</v>
      </c>
      <c r="E2473" s="75" t="s">
        <v>18</v>
      </c>
      <c r="F2473" s="75" t="s">
        <v>3471</v>
      </c>
    </row>
    <row r="2474" spans="1:6" x14ac:dyDescent="0.3">
      <c r="A2474" s="75" t="s">
        <v>6836</v>
      </c>
      <c r="B2474" s="75" t="s">
        <v>6834</v>
      </c>
      <c r="C2474" s="75" t="s">
        <v>6837</v>
      </c>
      <c r="D2474" s="75" t="s">
        <v>13</v>
      </c>
      <c r="E2474" s="75" t="s">
        <v>18</v>
      </c>
      <c r="F2474" s="75" t="s">
        <v>3471</v>
      </c>
    </row>
    <row r="2475" spans="1:6" x14ac:dyDescent="0.3">
      <c r="A2475" s="75" t="s">
        <v>6838</v>
      </c>
      <c r="B2475" s="75" t="s">
        <v>6839</v>
      </c>
      <c r="C2475" s="75" t="s">
        <v>6840</v>
      </c>
      <c r="D2475" s="75" t="s">
        <v>13</v>
      </c>
      <c r="E2475" s="75" t="s">
        <v>58</v>
      </c>
      <c r="F2475" s="75" t="s">
        <v>1728</v>
      </c>
    </row>
    <row r="2476" spans="1:6" x14ac:dyDescent="0.3">
      <c r="A2476" s="75" t="s">
        <v>6841</v>
      </c>
      <c r="B2476" s="75" t="s">
        <v>6842</v>
      </c>
      <c r="C2476" s="75" t="s">
        <v>6843</v>
      </c>
      <c r="D2476" s="75" t="s">
        <v>13</v>
      </c>
      <c r="E2476" s="75" t="s">
        <v>348</v>
      </c>
      <c r="F2476" s="75" t="s">
        <v>49</v>
      </c>
    </row>
    <row r="2477" spans="1:6" x14ac:dyDescent="0.3">
      <c r="A2477" s="75" t="s">
        <v>6844</v>
      </c>
      <c r="B2477" s="75" t="s">
        <v>6845</v>
      </c>
      <c r="C2477" s="75" t="s">
        <v>6846</v>
      </c>
      <c r="D2477" s="75">
        <v>1997</v>
      </c>
      <c r="E2477" s="75" t="s">
        <v>31</v>
      </c>
      <c r="F2477" s="75" t="s">
        <v>161</v>
      </c>
    </row>
    <row r="2478" spans="1:6" x14ac:dyDescent="0.3">
      <c r="A2478" s="75" t="s">
        <v>6847</v>
      </c>
      <c r="B2478" s="75" t="s">
        <v>6848</v>
      </c>
      <c r="C2478" s="75" t="s">
        <v>6849</v>
      </c>
      <c r="D2478" s="75">
        <v>2010</v>
      </c>
      <c r="E2478" s="75" t="s">
        <v>31</v>
      </c>
      <c r="F2478" s="75" t="s">
        <v>36</v>
      </c>
    </row>
    <row r="2479" spans="1:6" x14ac:dyDescent="0.3">
      <c r="A2479" s="75" t="s">
        <v>6850</v>
      </c>
      <c r="B2479" s="75" t="s">
        <v>6851</v>
      </c>
      <c r="C2479" s="75" t="s">
        <v>13</v>
      </c>
      <c r="D2479" s="75">
        <v>2016</v>
      </c>
      <c r="E2479" s="75" t="s">
        <v>70</v>
      </c>
      <c r="F2479" s="75" t="s">
        <v>71</v>
      </c>
    </row>
    <row r="2480" spans="1:6" x14ac:dyDescent="0.3">
      <c r="A2480" s="75" t="s">
        <v>6852</v>
      </c>
      <c r="B2480" s="75" t="s">
        <v>6853</v>
      </c>
      <c r="C2480" s="75" t="s">
        <v>6854</v>
      </c>
      <c r="D2480" s="75">
        <v>2009</v>
      </c>
      <c r="E2480" s="75" t="s">
        <v>84</v>
      </c>
      <c r="F2480" s="75" t="s">
        <v>2197</v>
      </c>
    </row>
    <row r="2481" spans="1:6" x14ac:dyDescent="0.3">
      <c r="A2481" s="75" t="s">
        <v>6855</v>
      </c>
      <c r="B2481" s="75" t="s">
        <v>6856</v>
      </c>
      <c r="C2481" s="75" t="s">
        <v>6857</v>
      </c>
      <c r="D2481" s="75">
        <v>2014</v>
      </c>
      <c r="E2481" s="75" t="s">
        <v>70</v>
      </c>
      <c r="F2481" s="75" t="s">
        <v>71</v>
      </c>
    </row>
    <row r="2482" spans="1:6" x14ac:dyDescent="0.3">
      <c r="A2482" s="75" t="s">
        <v>6858</v>
      </c>
      <c r="B2482" s="75" t="s">
        <v>6859</v>
      </c>
      <c r="C2482" s="75" t="s">
        <v>6860</v>
      </c>
      <c r="D2482" s="75">
        <v>2002</v>
      </c>
      <c r="E2482" s="75" t="s">
        <v>18</v>
      </c>
      <c r="F2482" s="75" t="s">
        <v>729</v>
      </c>
    </row>
    <row r="2483" spans="1:6" x14ac:dyDescent="0.3">
      <c r="A2483" s="75" t="s">
        <v>6861</v>
      </c>
      <c r="B2483" s="75" t="s">
        <v>6862</v>
      </c>
      <c r="C2483" s="75" t="s">
        <v>4914</v>
      </c>
      <c r="D2483" s="75">
        <v>2016</v>
      </c>
      <c r="E2483" s="75" t="s">
        <v>18</v>
      </c>
      <c r="F2483" s="75" t="s">
        <v>1361</v>
      </c>
    </row>
    <row r="2484" spans="1:6" x14ac:dyDescent="0.3">
      <c r="A2484" s="75" t="s">
        <v>6863</v>
      </c>
      <c r="B2484" s="75" t="s">
        <v>6864</v>
      </c>
      <c r="C2484" s="75" t="s">
        <v>5591</v>
      </c>
      <c r="D2484" s="75">
        <v>2017</v>
      </c>
      <c r="E2484" s="75" t="s">
        <v>8</v>
      </c>
      <c r="F2484" s="75" t="s">
        <v>1261</v>
      </c>
    </row>
    <row r="2485" spans="1:6" x14ac:dyDescent="0.3">
      <c r="A2485" s="75" t="s">
        <v>6865</v>
      </c>
      <c r="B2485" s="75" t="s">
        <v>6866</v>
      </c>
      <c r="C2485" s="75" t="s">
        <v>6867</v>
      </c>
      <c r="D2485" s="75" t="s">
        <v>13</v>
      </c>
      <c r="E2485" s="75" t="s">
        <v>70</v>
      </c>
      <c r="F2485" s="75" t="s">
        <v>71</v>
      </c>
    </row>
    <row r="2486" spans="1:6" x14ac:dyDescent="0.3">
      <c r="A2486" s="75" t="s">
        <v>6868</v>
      </c>
      <c r="B2486" s="75" t="s">
        <v>6869</v>
      </c>
      <c r="C2486" s="75" t="s">
        <v>6870</v>
      </c>
      <c r="D2486" s="75">
        <v>1991</v>
      </c>
      <c r="E2486" s="75" t="s">
        <v>70</v>
      </c>
      <c r="F2486" s="75" t="s">
        <v>71</v>
      </c>
    </row>
    <row r="2487" spans="1:6" x14ac:dyDescent="0.3">
      <c r="A2487" s="75" t="s">
        <v>6871</v>
      </c>
      <c r="B2487" s="75" t="s">
        <v>6872</v>
      </c>
      <c r="C2487" s="75" t="s">
        <v>6873</v>
      </c>
      <c r="D2487" s="75">
        <v>2015</v>
      </c>
      <c r="E2487" s="75" t="s">
        <v>70</v>
      </c>
      <c r="F2487" s="75" t="s">
        <v>118</v>
      </c>
    </row>
    <row r="2488" spans="1:6" x14ac:dyDescent="0.3">
      <c r="A2488" s="75" t="s">
        <v>6874</v>
      </c>
      <c r="B2488" s="75" t="s">
        <v>6875</v>
      </c>
      <c r="C2488" s="75" t="s">
        <v>6876</v>
      </c>
      <c r="D2488" s="75">
        <v>2012</v>
      </c>
      <c r="E2488" s="75" t="s">
        <v>70</v>
      </c>
      <c r="F2488" s="75" t="s">
        <v>71</v>
      </c>
    </row>
    <row r="2489" spans="1:6" x14ac:dyDescent="0.3">
      <c r="A2489" s="75" t="s">
        <v>6877</v>
      </c>
      <c r="B2489" s="75" t="s">
        <v>6878</v>
      </c>
      <c r="C2489" s="75" t="s">
        <v>6879</v>
      </c>
      <c r="D2489" s="75" t="s">
        <v>13</v>
      </c>
      <c r="E2489" s="75" t="s">
        <v>96</v>
      </c>
      <c r="F2489" s="75" t="s">
        <v>76</v>
      </c>
    </row>
    <row r="2490" spans="1:6" x14ac:dyDescent="0.3">
      <c r="A2490" s="75" t="s">
        <v>6880</v>
      </c>
      <c r="B2490" s="75" t="s">
        <v>6881</v>
      </c>
      <c r="C2490" s="75" t="s">
        <v>6882</v>
      </c>
      <c r="D2490" s="75" t="s">
        <v>13</v>
      </c>
      <c r="E2490" s="75" t="s">
        <v>70</v>
      </c>
      <c r="F2490" s="75" t="s">
        <v>71</v>
      </c>
    </row>
    <row r="2491" spans="1:6" x14ac:dyDescent="0.3">
      <c r="A2491" s="75" t="s">
        <v>6883</v>
      </c>
      <c r="B2491" s="75" t="s">
        <v>6884</v>
      </c>
      <c r="C2491" s="75" t="s">
        <v>6885</v>
      </c>
      <c r="D2491" s="75" t="s">
        <v>13</v>
      </c>
      <c r="E2491" s="75" t="s">
        <v>18</v>
      </c>
      <c r="F2491" s="75" t="s">
        <v>49</v>
      </c>
    </row>
    <row r="2492" spans="1:6" x14ac:dyDescent="0.3">
      <c r="A2492" s="75" t="s">
        <v>6886</v>
      </c>
      <c r="B2492" s="75" t="s">
        <v>6887</v>
      </c>
      <c r="C2492" s="75" t="s">
        <v>3399</v>
      </c>
      <c r="D2492" s="75" t="s">
        <v>13</v>
      </c>
      <c r="E2492" s="75" t="s">
        <v>8</v>
      </c>
      <c r="F2492" s="75" t="s">
        <v>27</v>
      </c>
    </row>
    <row r="2493" spans="1:6" x14ac:dyDescent="0.3">
      <c r="A2493" s="75" t="s">
        <v>6888</v>
      </c>
      <c r="B2493" s="75" t="s">
        <v>6889</v>
      </c>
      <c r="C2493" s="75" t="s">
        <v>6890</v>
      </c>
      <c r="D2493" s="75">
        <v>2012</v>
      </c>
      <c r="E2493" s="75" t="s">
        <v>58</v>
      </c>
      <c r="F2493" s="75" t="s">
        <v>59</v>
      </c>
    </row>
    <row r="2494" spans="1:6" x14ac:dyDescent="0.3">
      <c r="A2494" s="75" t="s">
        <v>6891</v>
      </c>
      <c r="B2494" s="75" t="s">
        <v>6892</v>
      </c>
      <c r="C2494" s="75" t="s">
        <v>6893</v>
      </c>
      <c r="D2494" s="75" t="s">
        <v>13</v>
      </c>
      <c r="E2494" s="75" t="s">
        <v>70</v>
      </c>
      <c r="F2494" s="75" t="s">
        <v>5644</v>
      </c>
    </row>
    <row r="2495" spans="1:6" x14ac:dyDescent="0.3">
      <c r="A2495" s="75" t="s">
        <v>6894</v>
      </c>
      <c r="B2495" s="75" t="s">
        <v>6892</v>
      </c>
      <c r="C2495" s="75" t="s">
        <v>13</v>
      </c>
      <c r="D2495" s="75" t="s">
        <v>13</v>
      </c>
      <c r="E2495" s="75" t="s">
        <v>70</v>
      </c>
      <c r="F2495" s="75" t="s">
        <v>5644</v>
      </c>
    </row>
    <row r="2496" spans="1:6" x14ac:dyDescent="0.3">
      <c r="A2496" s="75" t="s">
        <v>6895</v>
      </c>
      <c r="B2496" s="75" t="s">
        <v>6896</v>
      </c>
      <c r="C2496" s="75" t="s">
        <v>6897</v>
      </c>
      <c r="D2496" s="75">
        <v>1995</v>
      </c>
      <c r="E2496" s="75" t="s">
        <v>31</v>
      </c>
      <c r="F2496" s="75" t="s">
        <v>40</v>
      </c>
    </row>
    <row r="2497" spans="1:6" x14ac:dyDescent="0.3">
      <c r="A2497" s="75" t="s">
        <v>6898</v>
      </c>
      <c r="B2497" s="75" t="s">
        <v>6899</v>
      </c>
      <c r="C2497" s="75" t="s">
        <v>6900</v>
      </c>
      <c r="D2497" s="75">
        <v>1991</v>
      </c>
      <c r="E2497" s="75" t="s">
        <v>58</v>
      </c>
      <c r="F2497" s="75" t="s">
        <v>690</v>
      </c>
    </row>
    <row r="2498" spans="1:6" x14ac:dyDescent="0.3">
      <c r="A2498" s="75" t="s">
        <v>6901</v>
      </c>
      <c r="B2498" s="75" t="s">
        <v>6902</v>
      </c>
      <c r="C2498" s="75" t="s">
        <v>62</v>
      </c>
      <c r="D2498" s="75">
        <v>1986</v>
      </c>
      <c r="E2498" s="75" t="s">
        <v>70</v>
      </c>
      <c r="F2498" s="75" t="s">
        <v>118</v>
      </c>
    </row>
    <row r="2499" spans="1:6" x14ac:dyDescent="0.3">
      <c r="A2499" s="75" t="s">
        <v>6903</v>
      </c>
      <c r="B2499" s="75" t="s">
        <v>6904</v>
      </c>
      <c r="C2499" s="75" t="s">
        <v>6905</v>
      </c>
      <c r="D2499" s="75" t="s">
        <v>13</v>
      </c>
      <c r="E2499" s="75" t="s">
        <v>70</v>
      </c>
      <c r="F2499" s="75" t="s">
        <v>118</v>
      </c>
    </row>
    <row r="2500" spans="1:6" x14ac:dyDescent="0.3">
      <c r="A2500" s="75" t="s">
        <v>6906</v>
      </c>
      <c r="B2500" s="75" t="s">
        <v>6907</v>
      </c>
      <c r="C2500" s="75" t="s">
        <v>6908</v>
      </c>
      <c r="D2500" s="75">
        <v>1998</v>
      </c>
      <c r="E2500" s="75" t="s">
        <v>8</v>
      </c>
      <c r="F2500" s="75" t="s">
        <v>27</v>
      </c>
    </row>
    <row r="2501" spans="1:6" x14ac:dyDescent="0.3">
      <c r="A2501" s="75" t="s">
        <v>6909</v>
      </c>
      <c r="B2501" s="75" t="s">
        <v>6910</v>
      </c>
      <c r="C2501" s="75" t="s">
        <v>6911</v>
      </c>
      <c r="D2501" s="75" t="s">
        <v>13</v>
      </c>
      <c r="E2501" s="75" t="s">
        <v>8</v>
      </c>
      <c r="F2501" s="75" t="s">
        <v>27</v>
      </c>
    </row>
    <row r="2502" spans="1:6" x14ac:dyDescent="0.3">
      <c r="A2502" s="75" t="s">
        <v>6912</v>
      </c>
      <c r="B2502" s="75" t="s">
        <v>6913</v>
      </c>
      <c r="C2502" s="75" t="s">
        <v>6914</v>
      </c>
      <c r="D2502" s="75" t="s">
        <v>13</v>
      </c>
      <c r="E2502" s="75" t="s">
        <v>96</v>
      </c>
      <c r="F2502" s="75" t="s">
        <v>97</v>
      </c>
    </row>
    <row r="2503" spans="1:6" x14ac:dyDescent="0.3">
      <c r="A2503" s="75" t="s">
        <v>6915</v>
      </c>
      <c r="B2503" s="75" t="s">
        <v>6916</v>
      </c>
      <c r="C2503" s="75" t="s">
        <v>4668</v>
      </c>
      <c r="D2503" s="75">
        <v>2014</v>
      </c>
      <c r="E2503" s="75" t="s">
        <v>31</v>
      </c>
      <c r="F2503" s="75" t="s">
        <v>92</v>
      </c>
    </row>
    <row r="2504" spans="1:6" x14ac:dyDescent="0.3">
      <c r="A2504" s="75" t="s">
        <v>6917</v>
      </c>
      <c r="B2504" s="75" t="s">
        <v>6918</v>
      </c>
      <c r="C2504" s="75" t="s">
        <v>6919</v>
      </c>
      <c r="D2504" s="75">
        <v>2000</v>
      </c>
      <c r="E2504" s="75" t="s">
        <v>96</v>
      </c>
      <c r="F2504" s="75" t="s">
        <v>76</v>
      </c>
    </row>
    <row r="2505" spans="1:6" x14ac:dyDescent="0.3">
      <c r="A2505" s="75" t="s">
        <v>6920</v>
      </c>
      <c r="B2505" s="75" t="s">
        <v>6921</v>
      </c>
      <c r="C2505" s="75" t="s">
        <v>6922</v>
      </c>
      <c r="D2505" s="75" t="s">
        <v>13</v>
      </c>
      <c r="E2505" s="75" t="s">
        <v>18</v>
      </c>
      <c r="F2505" s="75" t="s">
        <v>266</v>
      </c>
    </row>
    <row r="2506" spans="1:6" x14ac:dyDescent="0.3">
      <c r="A2506" s="75" t="s">
        <v>6923</v>
      </c>
      <c r="B2506" s="75" t="s">
        <v>6924</v>
      </c>
      <c r="C2506" s="75" t="s">
        <v>6925</v>
      </c>
      <c r="D2506" s="75" t="s">
        <v>13</v>
      </c>
      <c r="E2506" s="75" t="s">
        <v>70</v>
      </c>
      <c r="F2506" s="75" t="s">
        <v>71</v>
      </c>
    </row>
    <row r="2507" spans="1:6" x14ac:dyDescent="0.3">
      <c r="A2507" s="75" t="s">
        <v>6926</v>
      </c>
      <c r="B2507" s="75" t="s">
        <v>6927</v>
      </c>
      <c r="C2507" s="75" t="s">
        <v>6928</v>
      </c>
      <c r="D2507" s="75">
        <v>2014</v>
      </c>
      <c r="E2507" s="75" t="s">
        <v>70</v>
      </c>
      <c r="F2507" s="75" t="s">
        <v>71</v>
      </c>
    </row>
    <row r="2508" spans="1:6" x14ac:dyDescent="0.3">
      <c r="A2508" s="75" t="s">
        <v>6929</v>
      </c>
      <c r="B2508" s="75" t="s">
        <v>6930</v>
      </c>
      <c r="C2508" s="75" t="s">
        <v>6931</v>
      </c>
      <c r="D2508" s="75" t="s">
        <v>13</v>
      </c>
      <c r="E2508" s="75" t="s">
        <v>18</v>
      </c>
      <c r="F2508" s="75" t="s">
        <v>266</v>
      </c>
    </row>
    <row r="2509" spans="1:6" x14ac:dyDescent="0.3">
      <c r="A2509" s="75" t="s">
        <v>6932</v>
      </c>
      <c r="B2509" s="75" t="s">
        <v>6933</v>
      </c>
      <c r="C2509" s="75" t="s">
        <v>6934</v>
      </c>
      <c r="D2509" s="75" t="s">
        <v>13</v>
      </c>
      <c r="E2509" s="75" t="s">
        <v>518</v>
      </c>
      <c r="F2509" s="75" t="s">
        <v>2520</v>
      </c>
    </row>
    <row r="2510" spans="1:6" x14ac:dyDescent="0.3">
      <c r="A2510" s="75" t="s">
        <v>6935</v>
      </c>
      <c r="B2510" s="75" t="s">
        <v>6936</v>
      </c>
      <c r="C2510" s="75" t="s">
        <v>6937</v>
      </c>
      <c r="D2510" s="75">
        <v>2014</v>
      </c>
      <c r="E2510" s="75" t="s">
        <v>70</v>
      </c>
      <c r="F2510" s="75" t="s">
        <v>353</v>
      </c>
    </row>
    <row r="2511" spans="1:6" x14ac:dyDescent="0.3">
      <c r="A2511" s="75" t="s">
        <v>6938</v>
      </c>
      <c r="B2511" s="75" t="s">
        <v>6939</v>
      </c>
      <c r="C2511" s="75" t="s">
        <v>3179</v>
      </c>
      <c r="D2511" s="75">
        <v>2007</v>
      </c>
      <c r="E2511" s="75" t="s">
        <v>84</v>
      </c>
      <c r="F2511" s="75" t="s">
        <v>85</v>
      </c>
    </row>
    <row r="2512" spans="1:6" x14ac:dyDescent="0.3">
      <c r="A2512" s="75" t="s">
        <v>6940</v>
      </c>
      <c r="B2512" s="75" t="s">
        <v>6941</v>
      </c>
      <c r="C2512" s="75" t="s">
        <v>6942</v>
      </c>
      <c r="D2512" s="75" t="s">
        <v>13</v>
      </c>
      <c r="E2512" s="75" t="s">
        <v>53</v>
      </c>
      <c r="F2512" s="75" t="s">
        <v>229</v>
      </c>
    </row>
    <row r="2513" spans="1:6" x14ac:dyDescent="0.3">
      <c r="A2513" s="75" t="s">
        <v>6943</v>
      </c>
      <c r="B2513" s="75" t="s">
        <v>6944</v>
      </c>
      <c r="C2513" s="75" t="s">
        <v>6945</v>
      </c>
      <c r="D2513" s="75" t="s">
        <v>13</v>
      </c>
      <c r="E2513" s="75" t="s">
        <v>44</v>
      </c>
      <c r="F2513" s="75" t="s">
        <v>85</v>
      </c>
    </row>
    <row r="2514" spans="1:6" x14ac:dyDescent="0.3">
      <c r="A2514" s="75" t="s">
        <v>6946</v>
      </c>
      <c r="B2514" s="75" t="s">
        <v>6947</v>
      </c>
      <c r="C2514" s="75" t="s">
        <v>755</v>
      </c>
      <c r="D2514" s="75" t="s">
        <v>13</v>
      </c>
      <c r="E2514" s="75" t="s">
        <v>348</v>
      </c>
      <c r="F2514" s="75" t="s">
        <v>1219</v>
      </c>
    </row>
    <row r="2515" spans="1:6" x14ac:dyDescent="0.3">
      <c r="A2515" s="75" t="s">
        <v>6948</v>
      </c>
      <c r="B2515" s="75" t="s">
        <v>6947</v>
      </c>
      <c r="C2515" s="75" t="s">
        <v>13</v>
      </c>
      <c r="D2515" s="75" t="s">
        <v>13</v>
      </c>
      <c r="E2515" s="75" t="s">
        <v>348</v>
      </c>
      <c r="F2515" s="75" t="s">
        <v>1219</v>
      </c>
    </row>
    <row r="2516" spans="1:6" x14ac:dyDescent="0.3">
      <c r="A2516" s="75" t="s">
        <v>6949</v>
      </c>
      <c r="B2516" s="75" t="s">
        <v>6950</v>
      </c>
      <c r="C2516" s="75" t="s">
        <v>1541</v>
      </c>
      <c r="D2516" s="75">
        <v>1983</v>
      </c>
      <c r="E2516" s="75" t="s">
        <v>348</v>
      </c>
      <c r="F2516" s="75" t="s">
        <v>1427</v>
      </c>
    </row>
    <row r="2517" spans="1:6" x14ac:dyDescent="0.3">
      <c r="A2517" s="75" t="s">
        <v>6951</v>
      </c>
      <c r="B2517" s="75" t="s">
        <v>6952</v>
      </c>
      <c r="C2517" s="75" t="s">
        <v>6953</v>
      </c>
      <c r="D2517" s="75">
        <v>2000</v>
      </c>
      <c r="E2517" s="75" t="s">
        <v>70</v>
      </c>
      <c r="F2517" s="75" t="s">
        <v>71</v>
      </c>
    </row>
    <row r="2518" spans="1:6" x14ac:dyDescent="0.3">
      <c r="A2518" s="75" t="s">
        <v>6954</v>
      </c>
      <c r="B2518" s="75" t="s">
        <v>6955</v>
      </c>
      <c r="C2518" s="75" t="s">
        <v>6956</v>
      </c>
      <c r="D2518" s="75">
        <v>2010</v>
      </c>
      <c r="E2518" s="75" t="s">
        <v>18</v>
      </c>
      <c r="F2518" s="75" t="s">
        <v>49</v>
      </c>
    </row>
    <row r="2519" spans="1:6" x14ac:dyDescent="0.3">
      <c r="A2519" s="75" t="s">
        <v>6957</v>
      </c>
      <c r="B2519" s="75" t="s">
        <v>6958</v>
      </c>
      <c r="C2519" s="75" t="s">
        <v>6959</v>
      </c>
      <c r="D2519" s="75">
        <v>2015</v>
      </c>
      <c r="E2519" s="75" t="s">
        <v>70</v>
      </c>
      <c r="F2519" s="75" t="s">
        <v>71</v>
      </c>
    </row>
    <row r="2520" spans="1:6" x14ac:dyDescent="0.3">
      <c r="A2520" s="75" t="s">
        <v>6960</v>
      </c>
      <c r="B2520" s="75" t="s">
        <v>6961</v>
      </c>
      <c r="C2520" s="75" t="s">
        <v>6962</v>
      </c>
      <c r="D2520" s="75" t="s">
        <v>13</v>
      </c>
      <c r="E2520" s="75" t="s">
        <v>8</v>
      </c>
      <c r="F2520" s="75" t="s">
        <v>23</v>
      </c>
    </row>
    <row r="2521" spans="1:6" x14ac:dyDescent="0.3">
      <c r="A2521" s="75" t="s">
        <v>6963</v>
      </c>
      <c r="B2521" s="75" t="s">
        <v>6964</v>
      </c>
      <c r="C2521" s="75" t="s">
        <v>6965</v>
      </c>
      <c r="D2521" s="75" t="s">
        <v>13</v>
      </c>
      <c r="E2521" s="75" t="s">
        <v>18</v>
      </c>
      <c r="F2521" s="75" t="s">
        <v>3471</v>
      </c>
    </row>
    <row r="2522" spans="1:6" x14ac:dyDescent="0.3">
      <c r="A2522" s="75" t="s">
        <v>6966</v>
      </c>
      <c r="B2522" s="75" t="s">
        <v>6967</v>
      </c>
      <c r="C2522" s="75" t="s">
        <v>6968</v>
      </c>
      <c r="D2522" s="75" t="s">
        <v>13</v>
      </c>
      <c r="E2522" s="75" t="s">
        <v>96</v>
      </c>
      <c r="F2522" s="75" t="s">
        <v>76</v>
      </c>
    </row>
    <row r="2523" spans="1:6" x14ac:dyDescent="0.3">
      <c r="A2523" s="75" t="s">
        <v>6969</v>
      </c>
      <c r="B2523" s="75" t="s">
        <v>6970</v>
      </c>
      <c r="C2523" s="75" t="s">
        <v>6971</v>
      </c>
      <c r="D2523" s="75" t="s">
        <v>13</v>
      </c>
      <c r="E2523" s="75" t="s">
        <v>13</v>
      </c>
      <c r="F2523" s="75" t="s">
        <v>13</v>
      </c>
    </row>
    <row r="2524" spans="1:6" x14ac:dyDescent="0.3">
      <c r="A2524" s="75" t="s">
        <v>6972</v>
      </c>
      <c r="B2524" s="75" t="s">
        <v>6973</v>
      </c>
      <c r="C2524" s="75" t="s">
        <v>6974</v>
      </c>
      <c r="D2524" s="75">
        <v>2013</v>
      </c>
      <c r="E2524" s="75" t="s">
        <v>31</v>
      </c>
      <c r="F2524" s="75" t="s">
        <v>32</v>
      </c>
    </row>
    <row r="2525" spans="1:6" x14ac:dyDescent="0.3">
      <c r="A2525" s="75" t="s">
        <v>6975</v>
      </c>
      <c r="B2525" s="75" t="s">
        <v>6976</v>
      </c>
      <c r="C2525" s="75" t="s">
        <v>6977</v>
      </c>
      <c r="D2525" s="75">
        <v>1998</v>
      </c>
      <c r="E2525" s="75" t="s">
        <v>70</v>
      </c>
      <c r="F2525" s="75" t="s">
        <v>671</v>
      </c>
    </row>
    <row r="2526" spans="1:6" x14ac:dyDescent="0.3">
      <c r="A2526" s="75" t="s">
        <v>6978</v>
      </c>
      <c r="B2526" s="75" t="s">
        <v>6979</v>
      </c>
      <c r="C2526" s="75" t="s">
        <v>6980</v>
      </c>
      <c r="D2526" s="75">
        <v>1993</v>
      </c>
      <c r="E2526" s="75" t="s">
        <v>348</v>
      </c>
      <c r="F2526" s="75" t="s">
        <v>2177</v>
      </c>
    </row>
    <row r="2527" spans="1:6" x14ac:dyDescent="0.3">
      <c r="A2527" s="75" t="s">
        <v>6981</v>
      </c>
      <c r="B2527" s="75" t="s">
        <v>6982</v>
      </c>
      <c r="C2527" s="75" t="s">
        <v>6983</v>
      </c>
      <c r="D2527" s="75" t="s">
        <v>13</v>
      </c>
      <c r="E2527" s="75" t="s">
        <v>348</v>
      </c>
      <c r="F2527" s="75" t="s">
        <v>1288</v>
      </c>
    </row>
    <row r="2528" spans="1:6" x14ac:dyDescent="0.3">
      <c r="A2528" s="75" t="s">
        <v>6984</v>
      </c>
      <c r="B2528" s="75" t="s">
        <v>6985</v>
      </c>
      <c r="C2528" s="75" t="s">
        <v>6986</v>
      </c>
      <c r="D2528" s="75">
        <v>2014</v>
      </c>
      <c r="E2528" s="75" t="s">
        <v>53</v>
      </c>
      <c r="F2528" s="75" t="s">
        <v>111</v>
      </c>
    </row>
    <row r="2529" spans="1:6" x14ac:dyDescent="0.3">
      <c r="A2529" s="75" t="s">
        <v>6987</v>
      </c>
      <c r="B2529" s="75" t="s">
        <v>6988</v>
      </c>
      <c r="C2529" s="75" t="s">
        <v>6989</v>
      </c>
      <c r="D2529" s="75" t="s">
        <v>13</v>
      </c>
      <c r="E2529" s="75" t="s">
        <v>18</v>
      </c>
      <c r="F2529" s="75" t="s">
        <v>1032</v>
      </c>
    </row>
    <row r="2530" spans="1:6" x14ac:dyDescent="0.3">
      <c r="A2530" s="75" t="s">
        <v>6990</v>
      </c>
      <c r="B2530" s="75" t="s">
        <v>6991</v>
      </c>
      <c r="C2530" s="75" t="s">
        <v>6992</v>
      </c>
      <c r="D2530" s="75">
        <v>2016</v>
      </c>
      <c r="E2530" s="75" t="s">
        <v>84</v>
      </c>
      <c r="F2530" s="75" t="s">
        <v>85</v>
      </c>
    </row>
    <row r="2531" spans="1:6" x14ac:dyDescent="0.3">
      <c r="A2531" s="75" t="s">
        <v>6993</v>
      </c>
      <c r="B2531" s="75" t="s">
        <v>6991</v>
      </c>
      <c r="C2531" s="75" t="s">
        <v>13</v>
      </c>
      <c r="D2531" s="75">
        <v>2016</v>
      </c>
      <c r="E2531" s="75" t="s">
        <v>84</v>
      </c>
      <c r="F2531" s="75" t="s">
        <v>85</v>
      </c>
    </row>
    <row r="2532" spans="1:6" x14ac:dyDescent="0.3">
      <c r="A2532" s="75" t="s">
        <v>6994</v>
      </c>
      <c r="B2532" s="75" t="s">
        <v>6991</v>
      </c>
      <c r="C2532" s="75" t="s">
        <v>13</v>
      </c>
      <c r="D2532" s="75">
        <v>2016</v>
      </c>
      <c r="E2532" s="75" t="s">
        <v>84</v>
      </c>
      <c r="F2532" s="75" t="s">
        <v>85</v>
      </c>
    </row>
    <row r="2533" spans="1:6" x14ac:dyDescent="0.3">
      <c r="A2533" s="75" t="s">
        <v>6995</v>
      </c>
      <c r="B2533" s="75" t="s">
        <v>6996</v>
      </c>
      <c r="C2533" s="75" t="s">
        <v>6997</v>
      </c>
      <c r="D2533" s="75">
        <v>2007</v>
      </c>
      <c r="E2533" s="75" t="s">
        <v>70</v>
      </c>
      <c r="F2533" s="75" t="s">
        <v>71</v>
      </c>
    </row>
    <row r="2534" spans="1:6" x14ac:dyDescent="0.3">
      <c r="A2534" s="75" t="s">
        <v>6998</v>
      </c>
      <c r="B2534" s="75" t="s">
        <v>6999</v>
      </c>
      <c r="C2534" s="75" t="s">
        <v>7000</v>
      </c>
      <c r="D2534" s="75">
        <v>1985</v>
      </c>
      <c r="E2534" s="75" t="s">
        <v>18</v>
      </c>
      <c r="F2534" s="75" t="s">
        <v>762</v>
      </c>
    </row>
    <row r="2535" spans="1:6" x14ac:dyDescent="0.3">
      <c r="A2535" s="75" t="s">
        <v>7001</v>
      </c>
      <c r="B2535" s="75" t="s">
        <v>7002</v>
      </c>
      <c r="C2535" s="75" t="s">
        <v>7003</v>
      </c>
      <c r="D2535" s="75" t="s">
        <v>13</v>
      </c>
      <c r="E2535" s="75" t="s">
        <v>8</v>
      </c>
      <c r="F2535" s="75" t="s">
        <v>27</v>
      </c>
    </row>
    <row r="2536" spans="1:6" x14ac:dyDescent="0.3">
      <c r="A2536" s="75" t="s">
        <v>7004</v>
      </c>
      <c r="B2536" s="75" t="s">
        <v>7005</v>
      </c>
      <c r="C2536" s="75" t="s">
        <v>1954</v>
      </c>
      <c r="D2536" s="75" t="s">
        <v>13</v>
      </c>
      <c r="E2536" s="75" t="s">
        <v>58</v>
      </c>
      <c r="F2536" s="75" t="s">
        <v>1773</v>
      </c>
    </row>
    <row r="2537" spans="1:6" x14ac:dyDescent="0.3">
      <c r="A2537" s="75" t="s">
        <v>7006</v>
      </c>
      <c r="B2537" s="75" t="s">
        <v>7007</v>
      </c>
      <c r="C2537" s="75" t="s">
        <v>7008</v>
      </c>
      <c r="D2537" s="75">
        <v>2011</v>
      </c>
      <c r="E2537" s="75" t="s">
        <v>96</v>
      </c>
      <c r="F2537" s="75" t="s">
        <v>97</v>
      </c>
    </row>
    <row r="2538" spans="1:6" x14ac:dyDescent="0.3">
      <c r="A2538" s="75" t="s">
        <v>7009</v>
      </c>
      <c r="B2538" s="75" t="s">
        <v>7010</v>
      </c>
      <c r="C2538" s="75" t="s">
        <v>7011</v>
      </c>
      <c r="D2538" s="75">
        <v>2000</v>
      </c>
      <c r="E2538" s="75" t="s">
        <v>70</v>
      </c>
      <c r="F2538" s="75" t="s">
        <v>353</v>
      </c>
    </row>
    <row r="2539" spans="1:6" x14ac:dyDescent="0.3">
      <c r="A2539" s="75" t="s">
        <v>7012</v>
      </c>
      <c r="B2539" s="75" t="s">
        <v>7013</v>
      </c>
      <c r="C2539" s="75" t="s">
        <v>107</v>
      </c>
      <c r="D2539" s="75">
        <v>2007</v>
      </c>
      <c r="E2539" s="75" t="s">
        <v>31</v>
      </c>
      <c r="F2539" s="75" t="s">
        <v>92</v>
      </c>
    </row>
    <row r="2540" spans="1:6" x14ac:dyDescent="0.3">
      <c r="A2540" s="75" t="s">
        <v>7014</v>
      </c>
      <c r="B2540" s="75" t="s">
        <v>7015</v>
      </c>
      <c r="C2540" s="75" t="s">
        <v>7016</v>
      </c>
      <c r="D2540" s="75" t="s">
        <v>13</v>
      </c>
      <c r="E2540" s="75" t="s">
        <v>518</v>
      </c>
      <c r="F2540" s="75" t="s">
        <v>527</v>
      </c>
    </row>
    <row r="2541" spans="1:6" x14ac:dyDescent="0.3">
      <c r="A2541" s="75" t="s">
        <v>7017</v>
      </c>
      <c r="B2541" s="75" t="s">
        <v>7015</v>
      </c>
      <c r="C2541" s="75" t="s">
        <v>612</v>
      </c>
      <c r="D2541" s="75" t="s">
        <v>13</v>
      </c>
      <c r="E2541" s="75" t="s">
        <v>518</v>
      </c>
      <c r="F2541" s="75" t="s">
        <v>527</v>
      </c>
    </row>
    <row r="2542" spans="1:6" x14ac:dyDescent="0.3">
      <c r="A2542" s="75" t="s">
        <v>7018</v>
      </c>
      <c r="B2542" s="75" t="s">
        <v>7019</v>
      </c>
      <c r="C2542" s="75" t="s">
        <v>7020</v>
      </c>
      <c r="D2542" s="75">
        <v>2005</v>
      </c>
      <c r="E2542" s="75" t="s">
        <v>18</v>
      </c>
      <c r="F2542" s="75" t="s">
        <v>729</v>
      </c>
    </row>
    <row r="2543" spans="1:6" x14ac:dyDescent="0.3">
      <c r="A2543" s="75" t="s">
        <v>7021</v>
      </c>
      <c r="B2543" s="75" t="s">
        <v>7022</v>
      </c>
      <c r="C2543" s="75" t="s">
        <v>7023</v>
      </c>
      <c r="D2543" s="75" t="s">
        <v>13</v>
      </c>
      <c r="E2543" s="75" t="s">
        <v>70</v>
      </c>
      <c r="F2543" s="75" t="s">
        <v>71</v>
      </c>
    </row>
    <row r="2544" spans="1:6" x14ac:dyDescent="0.3">
      <c r="A2544" s="75" t="s">
        <v>7024</v>
      </c>
      <c r="B2544" s="75" t="s">
        <v>7022</v>
      </c>
      <c r="C2544" s="75" t="s">
        <v>13</v>
      </c>
      <c r="D2544" s="75" t="s">
        <v>13</v>
      </c>
      <c r="E2544" s="75" t="s">
        <v>70</v>
      </c>
      <c r="F2544" s="75" t="s">
        <v>71</v>
      </c>
    </row>
    <row r="2545" spans="1:6" x14ac:dyDescent="0.3">
      <c r="A2545" s="75" t="s">
        <v>7025</v>
      </c>
      <c r="B2545" s="75" t="s">
        <v>7026</v>
      </c>
      <c r="C2545" s="75" t="s">
        <v>7027</v>
      </c>
      <c r="D2545" s="75">
        <v>1997</v>
      </c>
      <c r="E2545" s="75" t="s">
        <v>283</v>
      </c>
      <c r="F2545" s="75" t="s">
        <v>284</v>
      </c>
    </row>
    <row r="2546" spans="1:6" x14ac:dyDescent="0.3">
      <c r="A2546" s="75" t="s">
        <v>7028</v>
      </c>
      <c r="B2546" s="75" t="s">
        <v>7029</v>
      </c>
      <c r="C2546" s="75" t="s">
        <v>7030</v>
      </c>
      <c r="D2546" s="75" t="s">
        <v>13</v>
      </c>
      <c r="E2546" s="75" t="s">
        <v>8</v>
      </c>
      <c r="F2546" s="75" t="s">
        <v>27</v>
      </c>
    </row>
    <row r="2547" spans="1:6" x14ac:dyDescent="0.3">
      <c r="A2547" s="75" t="s">
        <v>7031</v>
      </c>
      <c r="B2547" s="75" t="s">
        <v>7032</v>
      </c>
      <c r="C2547" s="75" t="s">
        <v>13</v>
      </c>
      <c r="D2547" s="75" t="s">
        <v>13</v>
      </c>
      <c r="E2547" s="75" t="s">
        <v>348</v>
      </c>
      <c r="F2547" s="75" t="s">
        <v>349</v>
      </c>
    </row>
    <row r="2548" spans="1:6" x14ac:dyDescent="0.3">
      <c r="A2548" s="75" t="s">
        <v>7033</v>
      </c>
      <c r="B2548" s="75" t="s">
        <v>7034</v>
      </c>
      <c r="C2548" s="75" t="s">
        <v>7035</v>
      </c>
      <c r="D2548" s="75">
        <v>2016</v>
      </c>
      <c r="E2548" s="75" t="s">
        <v>8</v>
      </c>
      <c r="F2548" s="75" t="s">
        <v>76</v>
      </c>
    </row>
    <row r="2549" spans="1:6" x14ac:dyDescent="0.3">
      <c r="A2549" s="75" t="s">
        <v>7036</v>
      </c>
      <c r="B2549" s="75" t="s">
        <v>7034</v>
      </c>
      <c r="C2549" s="75" t="s">
        <v>13</v>
      </c>
      <c r="D2549" s="75">
        <v>2016</v>
      </c>
      <c r="E2549" s="75" t="s">
        <v>8</v>
      </c>
      <c r="F2549" s="75" t="s">
        <v>76</v>
      </c>
    </row>
    <row r="2550" spans="1:6" x14ac:dyDescent="0.3">
      <c r="A2550" s="75" t="s">
        <v>7037</v>
      </c>
      <c r="B2550" s="75" t="s">
        <v>7034</v>
      </c>
      <c r="C2550" s="75" t="s">
        <v>13</v>
      </c>
      <c r="D2550" s="75">
        <v>2016</v>
      </c>
      <c r="E2550" s="75" t="s">
        <v>8</v>
      </c>
      <c r="F2550" s="75" t="s">
        <v>76</v>
      </c>
    </row>
    <row r="2551" spans="1:6" x14ac:dyDescent="0.3">
      <c r="A2551" s="75" t="s">
        <v>7038</v>
      </c>
      <c r="B2551" s="75" t="s">
        <v>7039</v>
      </c>
      <c r="C2551" s="75" t="s">
        <v>612</v>
      </c>
      <c r="D2551" s="75" t="s">
        <v>13</v>
      </c>
      <c r="E2551" s="75" t="s">
        <v>18</v>
      </c>
      <c r="F2551" s="75" t="s">
        <v>266</v>
      </c>
    </row>
    <row r="2552" spans="1:6" x14ac:dyDescent="0.3">
      <c r="A2552" s="75" t="s">
        <v>7040</v>
      </c>
      <c r="B2552" s="75" t="s">
        <v>7039</v>
      </c>
      <c r="C2552" s="75" t="s">
        <v>7041</v>
      </c>
      <c r="D2552" s="75" t="s">
        <v>13</v>
      </c>
      <c r="E2552" s="75" t="s">
        <v>18</v>
      </c>
      <c r="F2552" s="75" t="s">
        <v>266</v>
      </c>
    </row>
    <row r="2553" spans="1:6" x14ac:dyDescent="0.3">
      <c r="A2553" s="75" t="s">
        <v>7042</v>
      </c>
      <c r="B2553" s="75" t="s">
        <v>7043</v>
      </c>
      <c r="C2553" s="75" t="s">
        <v>7044</v>
      </c>
      <c r="D2553" s="75">
        <v>2014</v>
      </c>
      <c r="E2553" s="75" t="s">
        <v>31</v>
      </c>
      <c r="F2553" s="75" t="s">
        <v>32</v>
      </c>
    </row>
    <row r="2554" spans="1:6" x14ac:dyDescent="0.3">
      <c r="A2554" s="75" t="s">
        <v>7045</v>
      </c>
      <c r="B2554" s="75" t="s">
        <v>7046</v>
      </c>
      <c r="C2554" s="75" t="s">
        <v>7047</v>
      </c>
      <c r="D2554" s="75" t="s">
        <v>13</v>
      </c>
      <c r="E2554" s="75" t="s">
        <v>84</v>
      </c>
      <c r="F2554" s="75" t="s">
        <v>85</v>
      </c>
    </row>
    <row r="2555" spans="1:6" x14ac:dyDescent="0.3">
      <c r="A2555" s="75" t="s">
        <v>7048</v>
      </c>
      <c r="B2555" s="75" t="s">
        <v>7049</v>
      </c>
      <c r="C2555" s="75" t="s">
        <v>533</v>
      </c>
      <c r="D2555" s="75">
        <v>2002</v>
      </c>
      <c r="E2555" s="75" t="s">
        <v>8</v>
      </c>
      <c r="F2555" s="75" t="s">
        <v>9</v>
      </c>
    </row>
    <row r="2556" spans="1:6" x14ac:dyDescent="0.3">
      <c r="A2556" s="75" t="s">
        <v>7050</v>
      </c>
      <c r="B2556" s="75" t="s">
        <v>7051</v>
      </c>
      <c r="C2556" s="75" t="s">
        <v>7052</v>
      </c>
      <c r="D2556" s="75">
        <v>2014</v>
      </c>
      <c r="E2556" s="75" t="s">
        <v>70</v>
      </c>
      <c r="F2556" s="75" t="s">
        <v>71</v>
      </c>
    </row>
    <row r="2557" spans="1:6" x14ac:dyDescent="0.3">
      <c r="A2557" s="75" t="s">
        <v>7053</v>
      </c>
      <c r="B2557" s="75" t="s">
        <v>7054</v>
      </c>
      <c r="C2557" s="75" t="s">
        <v>643</v>
      </c>
      <c r="D2557" s="75" t="s">
        <v>13</v>
      </c>
      <c r="E2557" s="75" t="s">
        <v>283</v>
      </c>
      <c r="F2557" s="75" t="s">
        <v>694</v>
      </c>
    </row>
    <row r="2558" spans="1:6" x14ac:dyDescent="0.3">
      <c r="A2558" s="75" t="s">
        <v>7055</v>
      </c>
      <c r="B2558" s="75" t="s">
        <v>7056</v>
      </c>
      <c r="C2558" s="75" t="s">
        <v>7057</v>
      </c>
      <c r="D2558" s="75">
        <v>1999</v>
      </c>
      <c r="E2558" s="75" t="s">
        <v>18</v>
      </c>
      <c r="F2558" s="75" t="s">
        <v>1055</v>
      </c>
    </row>
    <row r="2559" spans="1:6" x14ac:dyDescent="0.3">
      <c r="A2559" s="75" t="s">
        <v>7058</v>
      </c>
      <c r="B2559" s="75" t="s">
        <v>7059</v>
      </c>
      <c r="C2559" s="75" t="s">
        <v>7060</v>
      </c>
      <c r="D2559" s="75" t="s">
        <v>13</v>
      </c>
      <c r="E2559" s="75" t="s">
        <v>8</v>
      </c>
      <c r="F2559" s="75" t="s">
        <v>23</v>
      </c>
    </row>
    <row r="2560" spans="1:6" x14ac:dyDescent="0.3">
      <c r="A2560" s="75" t="s">
        <v>7061</v>
      </c>
      <c r="B2560" s="75" t="s">
        <v>7062</v>
      </c>
      <c r="C2560" s="75" t="s">
        <v>7063</v>
      </c>
      <c r="D2560" s="75">
        <v>1987</v>
      </c>
      <c r="E2560" s="75" t="s">
        <v>348</v>
      </c>
      <c r="F2560" s="75" t="s">
        <v>6345</v>
      </c>
    </row>
    <row r="2561" spans="1:6" x14ac:dyDescent="0.3">
      <c r="A2561" s="75" t="s">
        <v>7064</v>
      </c>
      <c r="B2561" s="75" t="s">
        <v>7065</v>
      </c>
      <c r="C2561" s="75" t="s">
        <v>7066</v>
      </c>
      <c r="D2561" s="75" t="s">
        <v>13</v>
      </c>
      <c r="E2561" s="75" t="s">
        <v>8</v>
      </c>
      <c r="F2561" s="75" t="s">
        <v>27</v>
      </c>
    </row>
    <row r="2562" spans="1:6" x14ac:dyDescent="0.3">
      <c r="A2562" s="75" t="s">
        <v>7067</v>
      </c>
      <c r="B2562" s="75" t="s">
        <v>7068</v>
      </c>
      <c r="C2562" s="75" t="s">
        <v>7069</v>
      </c>
      <c r="D2562" s="75">
        <v>2000</v>
      </c>
      <c r="E2562" s="75" t="s">
        <v>70</v>
      </c>
      <c r="F2562" s="75" t="s">
        <v>118</v>
      </c>
    </row>
    <row r="2563" spans="1:6" x14ac:dyDescent="0.3">
      <c r="A2563" s="75" t="s">
        <v>7070</v>
      </c>
      <c r="B2563" s="75" t="s">
        <v>7071</v>
      </c>
      <c r="C2563" s="75" t="s">
        <v>1360</v>
      </c>
      <c r="D2563" s="75">
        <v>1993</v>
      </c>
      <c r="E2563" s="75" t="s">
        <v>31</v>
      </c>
      <c r="F2563" s="75" t="s">
        <v>229</v>
      </c>
    </row>
    <row r="2564" spans="1:6" x14ac:dyDescent="0.3">
      <c r="A2564" s="75" t="s">
        <v>7072</v>
      </c>
      <c r="B2564" s="75" t="s">
        <v>7073</v>
      </c>
      <c r="C2564" s="75" t="s">
        <v>13</v>
      </c>
      <c r="D2564" s="75" t="s">
        <v>13</v>
      </c>
      <c r="E2564" s="75" t="s">
        <v>70</v>
      </c>
      <c r="F2564" s="75" t="s">
        <v>71</v>
      </c>
    </row>
    <row r="2565" spans="1:6" x14ac:dyDescent="0.3">
      <c r="A2565" s="75" t="s">
        <v>7074</v>
      </c>
      <c r="B2565" s="75" t="s">
        <v>7075</v>
      </c>
      <c r="C2565" s="75" t="s">
        <v>7076</v>
      </c>
      <c r="D2565" s="75">
        <v>1992</v>
      </c>
      <c r="E2565" s="75" t="s">
        <v>31</v>
      </c>
      <c r="F2565" s="75" t="s">
        <v>36</v>
      </c>
    </row>
    <row r="2566" spans="1:6" x14ac:dyDescent="0.3">
      <c r="A2566" s="75" t="s">
        <v>7077</v>
      </c>
      <c r="B2566" s="75" t="s">
        <v>7078</v>
      </c>
      <c r="C2566" s="75" t="s">
        <v>2997</v>
      </c>
      <c r="D2566" s="75" t="s">
        <v>13</v>
      </c>
      <c r="E2566" s="75" t="s">
        <v>70</v>
      </c>
      <c r="F2566" s="75" t="s">
        <v>71</v>
      </c>
    </row>
    <row r="2567" spans="1:6" x14ac:dyDescent="0.3">
      <c r="A2567" s="75" t="s">
        <v>7079</v>
      </c>
      <c r="B2567" s="75" t="s">
        <v>7080</v>
      </c>
      <c r="C2567" s="75" t="s">
        <v>7081</v>
      </c>
      <c r="D2567" s="75" t="s">
        <v>13</v>
      </c>
      <c r="E2567" s="75" t="s">
        <v>70</v>
      </c>
      <c r="F2567" s="75" t="s">
        <v>71</v>
      </c>
    </row>
    <row r="2568" spans="1:6" x14ac:dyDescent="0.3">
      <c r="A2568" s="75" t="s">
        <v>7082</v>
      </c>
      <c r="B2568" s="75" t="s">
        <v>7083</v>
      </c>
      <c r="C2568" s="75" t="s">
        <v>7084</v>
      </c>
      <c r="D2568" s="75" t="s">
        <v>13</v>
      </c>
      <c r="E2568" s="75" t="s">
        <v>8</v>
      </c>
      <c r="F2568" s="75" t="s">
        <v>27</v>
      </c>
    </row>
    <row r="2569" spans="1:6" x14ac:dyDescent="0.3">
      <c r="A2569" s="75" t="s">
        <v>7085</v>
      </c>
      <c r="B2569" s="75" t="s">
        <v>7083</v>
      </c>
      <c r="C2569" s="75" t="s">
        <v>13</v>
      </c>
      <c r="D2569" s="75" t="s">
        <v>13</v>
      </c>
      <c r="E2569" s="75" t="s">
        <v>8</v>
      </c>
      <c r="F2569" s="75" t="s">
        <v>27</v>
      </c>
    </row>
    <row r="2570" spans="1:6" x14ac:dyDescent="0.3">
      <c r="A2570" s="75" t="s">
        <v>7086</v>
      </c>
      <c r="B2570" s="75" t="s">
        <v>7087</v>
      </c>
      <c r="C2570" s="75" t="s">
        <v>7088</v>
      </c>
      <c r="D2570" s="75">
        <v>1999</v>
      </c>
      <c r="E2570" s="75" t="s">
        <v>18</v>
      </c>
      <c r="F2570" s="75" t="s">
        <v>266</v>
      </c>
    </row>
    <row r="2571" spans="1:6" x14ac:dyDescent="0.3">
      <c r="A2571" s="75" t="s">
        <v>7089</v>
      </c>
      <c r="B2571" s="75" t="s">
        <v>7090</v>
      </c>
      <c r="C2571" s="75" t="s">
        <v>7091</v>
      </c>
      <c r="D2571" s="75" t="s">
        <v>13</v>
      </c>
      <c r="E2571" s="75" t="s">
        <v>31</v>
      </c>
      <c r="F2571" s="75" t="s">
        <v>2709</v>
      </c>
    </row>
    <row r="2572" spans="1:6" x14ac:dyDescent="0.3">
      <c r="A2572" s="75" t="s">
        <v>7092</v>
      </c>
      <c r="B2572" s="75" t="s">
        <v>7093</v>
      </c>
      <c r="C2572" s="75" t="s">
        <v>7094</v>
      </c>
      <c r="D2572" s="75" t="s">
        <v>13</v>
      </c>
      <c r="E2572" s="75" t="s">
        <v>53</v>
      </c>
      <c r="F2572" s="75" t="s">
        <v>63</v>
      </c>
    </row>
    <row r="2573" spans="1:6" x14ac:dyDescent="0.3">
      <c r="A2573" s="75" t="s">
        <v>7095</v>
      </c>
      <c r="B2573" s="75" t="s">
        <v>7096</v>
      </c>
      <c r="C2573" s="75" t="s">
        <v>7097</v>
      </c>
      <c r="D2573" s="75">
        <v>1993</v>
      </c>
      <c r="E2573" s="75" t="s">
        <v>518</v>
      </c>
      <c r="F2573" s="75" t="s">
        <v>353</v>
      </c>
    </row>
    <row r="2574" spans="1:6" x14ac:dyDescent="0.3">
      <c r="A2574" s="75" t="s">
        <v>7098</v>
      </c>
      <c r="B2574" s="75" t="s">
        <v>7099</v>
      </c>
      <c r="C2574" s="75" t="s">
        <v>287</v>
      </c>
      <c r="D2574" s="75">
        <v>1992</v>
      </c>
      <c r="E2574" s="75" t="s">
        <v>18</v>
      </c>
      <c r="F2574" s="75" t="s">
        <v>3996</v>
      </c>
    </row>
    <row r="2575" spans="1:6" x14ac:dyDescent="0.3">
      <c r="A2575" s="75" t="s">
        <v>7100</v>
      </c>
      <c r="B2575" s="75" t="s">
        <v>7101</v>
      </c>
      <c r="C2575" s="75" t="s">
        <v>7102</v>
      </c>
      <c r="D2575" s="75">
        <v>1992</v>
      </c>
      <c r="E2575" s="75" t="s">
        <v>70</v>
      </c>
      <c r="F2575" s="75" t="s">
        <v>71</v>
      </c>
    </row>
    <row r="2576" spans="1:6" x14ac:dyDescent="0.3">
      <c r="A2576" s="75" t="s">
        <v>7103</v>
      </c>
      <c r="B2576" s="75" t="s">
        <v>7104</v>
      </c>
      <c r="C2576" s="75" t="s">
        <v>3449</v>
      </c>
      <c r="D2576" s="75" t="s">
        <v>13</v>
      </c>
      <c r="E2576" s="75" t="s">
        <v>31</v>
      </c>
      <c r="F2576" s="75" t="s">
        <v>161</v>
      </c>
    </row>
    <row r="2577" spans="1:6" x14ac:dyDescent="0.3">
      <c r="A2577" s="75" t="s">
        <v>7105</v>
      </c>
      <c r="B2577" s="75" t="s">
        <v>7106</v>
      </c>
      <c r="C2577" s="75" t="s">
        <v>7107</v>
      </c>
      <c r="D2577" s="75" t="s">
        <v>13</v>
      </c>
      <c r="E2577" s="75" t="s">
        <v>18</v>
      </c>
      <c r="F2577" s="75" t="s">
        <v>461</v>
      </c>
    </row>
    <row r="2578" spans="1:6" x14ac:dyDescent="0.3">
      <c r="A2578" s="75" t="s">
        <v>7108</v>
      </c>
      <c r="B2578" s="75" t="s">
        <v>7109</v>
      </c>
      <c r="C2578" s="75" t="s">
        <v>7110</v>
      </c>
      <c r="D2578" s="75">
        <v>2014</v>
      </c>
      <c r="E2578" s="75" t="s">
        <v>70</v>
      </c>
      <c r="F2578" s="75" t="s">
        <v>71</v>
      </c>
    </row>
    <row r="2579" spans="1:6" x14ac:dyDescent="0.3">
      <c r="A2579" s="75" t="s">
        <v>7111</v>
      </c>
      <c r="B2579" s="75" t="s">
        <v>7112</v>
      </c>
      <c r="C2579" s="75" t="s">
        <v>7113</v>
      </c>
      <c r="D2579" s="75">
        <v>1996</v>
      </c>
      <c r="E2579" s="75" t="s">
        <v>31</v>
      </c>
      <c r="F2579" s="75" t="s">
        <v>291</v>
      </c>
    </row>
    <row r="2580" spans="1:6" x14ac:dyDescent="0.3">
      <c r="A2580" s="75" t="s">
        <v>7114</v>
      </c>
      <c r="B2580" s="75" t="s">
        <v>7115</v>
      </c>
      <c r="C2580" s="75" t="s">
        <v>500</v>
      </c>
      <c r="D2580" s="75" t="s">
        <v>13</v>
      </c>
      <c r="E2580" s="75" t="s">
        <v>8</v>
      </c>
      <c r="F2580" s="75" t="s">
        <v>27</v>
      </c>
    </row>
    <row r="2581" spans="1:6" x14ac:dyDescent="0.3">
      <c r="A2581" s="75" t="s">
        <v>7116</v>
      </c>
      <c r="B2581" s="75" t="s">
        <v>7117</v>
      </c>
      <c r="C2581" s="75" t="s">
        <v>7118</v>
      </c>
      <c r="D2581" s="75">
        <v>2002</v>
      </c>
      <c r="E2581" s="75" t="s">
        <v>31</v>
      </c>
      <c r="F2581" s="75" t="s">
        <v>1427</v>
      </c>
    </row>
    <row r="2582" spans="1:6" x14ac:dyDescent="0.3">
      <c r="A2582" s="75" t="s">
        <v>7119</v>
      </c>
      <c r="B2582" s="75" t="s">
        <v>7120</v>
      </c>
      <c r="C2582" s="75" t="s">
        <v>7121</v>
      </c>
      <c r="D2582" s="75" t="s">
        <v>13</v>
      </c>
      <c r="E2582" s="75" t="s">
        <v>283</v>
      </c>
      <c r="F2582" s="75" t="s">
        <v>1449</v>
      </c>
    </row>
    <row r="2583" spans="1:6" x14ac:dyDescent="0.3">
      <c r="A2583" s="75" t="s">
        <v>7122</v>
      </c>
      <c r="B2583" s="75" t="s">
        <v>7120</v>
      </c>
      <c r="C2583" s="75" t="s">
        <v>13</v>
      </c>
      <c r="D2583" s="75" t="s">
        <v>13</v>
      </c>
      <c r="E2583" s="75" t="s">
        <v>283</v>
      </c>
      <c r="F2583" s="75" t="s">
        <v>1449</v>
      </c>
    </row>
    <row r="2584" spans="1:6" x14ac:dyDescent="0.3">
      <c r="A2584" s="75" t="s">
        <v>7123</v>
      </c>
      <c r="B2584" s="75" t="s">
        <v>7124</v>
      </c>
      <c r="C2584" s="75" t="s">
        <v>7125</v>
      </c>
      <c r="D2584" s="75" t="s">
        <v>13</v>
      </c>
      <c r="E2584" s="75" t="s">
        <v>18</v>
      </c>
      <c r="F2584" s="75" t="s">
        <v>2123</v>
      </c>
    </row>
    <row r="2585" spans="1:6" x14ac:dyDescent="0.3">
      <c r="A2585" s="75" t="s">
        <v>7126</v>
      </c>
      <c r="B2585" s="75" t="s">
        <v>7124</v>
      </c>
      <c r="C2585" s="75" t="s">
        <v>13</v>
      </c>
      <c r="D2585" s="75" t="s">
        <v>13</v>
      </c>
      <c r="E2585" s="75" t="s">
        <v>18</v>
      </c>
      <c r="F2585" s="75" t="s">
        <v>2123</v>
      </c>
    </row>
    <row r="2586" spans="1:6" x14ac:dyDescent="0.3">
      <c r="A2586" s="75" t="s">
        <v>7127</v>
      </c>
      <c r="B2586" s="75" t="s">
        <v>7128</v>
      </c>
      <c r="C2586" s="75" t="s">
        <v>3878</v>
      </c>
      <c r="D2586" s="75" t="s">
        <v>13</v>
      </c>
      <c r="E2586" s="75" t="s">
        <v>18</v>
      </c>
      <c r="F2586" s="75" t="s">
        <v>2123</v>
      </c>
    </row>
    <row r="2587" spans="1:6" x14ac:dyDescent="0.3">
      <c r="A2587" s="75" t="s">
        <v>7129</v>
      </c>
      <c r="B2587" s="75" t="s">
        <v>7130</v>
      </c>
      <c r="C2587" s="75" t="s">
        <v>7131</v>
      </c>
      <c r="D2587" s="75" t="s">
        <v>13</v>
      </c>
      <c r="E2587" s="75" t="s">
        <v>70</v>
      </c>
      <c r="F2587" s="75" t="s">
        <v>80</v>
      </c>
    </row>
    <row r="2588" spans="1:6" x14ac:dyDescent="0.3">
      <c r="A2588" s="75" t="s">
        <v>7132</v>
      </c>
      <c r="B2588" s="75" t="s">
        <v>7133</v>
      </c>
      <c r="C2588" s="75" t="s">
        <v>404</v>
      </c>
      <c r="D2588" s="75">
        <v>2001</v>
      </c>
      <c r="E2588" s="75" t="s">
        <v>70</v>
      </c>
      <c r="F2588" s="75" t="s">
        <v>118</v>
      </c>
    </row>
    <row r="2589" spans="1:6" x14ac:dyDescent="0.3">
      <c r="A2589" s="75" t="s">
        <v>7134</v>
      </c>
      <c r="B2589" s="75" t="s">
        <v>7135</v>
      </c>
      <c r="C2589" s="75" t="s">
        <v>7136</v>
      </c>
      <c r="D2589" s="75">
        <v>2014</v>
      </c>
      <c r="E2589" s="75" t="s">
        <v>70</v>
      </c>
      <c r="F2589" s="75" t="s">
        <v>671</v>
      </c>
    </row>
    <row r="2590" spans="1:6" x14ac:dyDescent="0.3">
      <c r="A2590" s="75" t="s">
        <v>7137</v>
      </c>
      <c r="B2590" s="75" t="s">
        <v>7135</v>
      </c>
      <c r="C2590" s="75" t="s">
        <v>13</v>
      </c>
      <c r="D2590" s="75" t="s">
        <v>13</v>
      </c>
      <c r="E2590" s="75" t="s">
        <v>70</v>
      </c>
      <c r="F2590" s="75" t="s">
        <v>671</v>
      </c>
    </row>
    <row r="2591" spans="1:6" x14ac:dyDescent="0.3">
      <c r="A2591" s="75" t="s">
        <v>7138</v>
      </c>
      <c r="B2591" s="75" t="s">
        <v>7139</v>
      </c>
      <c r="C2591" s="75" t="s">
        <v>7140</v>
      </c>
      <c r="D2591" s="75">
        <v>2016</v>
      </c>
      <c r="E2591" s="75" t="s">
        <v>31</v>
      </c>
      <c r="F2591" s="75" t="s">
        <v>36</v>
      </c>
    </row>
    <row r="2592" spans="1:6" x14ac:dyDescent="0.3">
      <c r="A2592" s="75" t="s">
        <v>7141</v>
      </c>
      <c r="B2592" s="75" t="s">
        <v>7142</v>
      </c>
      <c r="C2592" s="75" t="s">
        <v>7143</v>
      </c>
      <c r="D2592" s="75" t="s">
        <v>13</v>
      </c>
      <c r="E2592" s="75" t="s">
        <v>8</v>
      </c>
      <c r="F2592" s="75" t="s">
        <v>478</v>
      </c>
    </row>
    <row r="2593" spans="1:6" x14ac:dyDescent="0.3">
      <c r="A2593" s="75" t="s">
        <v>7144</v>
      </c>
      <c r="B2593" s="75" t="s">
        <v>7145</v>
      </c>
      <c r="C2593" s="75" t="s">
        <v>7146</v>
      </c>
      <c r="D2593" s="75">
        <v>1981</v>
      </c>
      <c r="E2593" s="75" t="s">
        <v>8</v>
      </c>
      <c r="F2593" s="75" t="s">
        <v>1093</v>
      </c>
    </row>
    <row r="2594" spans="1:6" x14ac:dyDescent="0.3">
      <c r="A2594" s="75" t="s">
        <v>7147</v>
      </c>
      <c r="B2594" s="75" t="s">
        <v>7148</v>
      </c>
      <c r="C2594" s="75" t="s">
        <v>7149</v>
      </c>
      <c r="D2594" s="75" t="s">
        <v>13</v>
      </c>
      <c r="E2594" s="75" t="s">
        <v>8</v>
      </c>
      <c r="F2594" s="75" t="s">
        <v>27</v>
      </c>
    </row>
    <row r="2595" spans="1:6" x14ac:dyDescent="0.3">
      <c r="A2595" s="75" t="s">
        <v>7150</v>
      </c>
      <c r="B2595" s="75" t="s">
        <v>7151</v>
      </c>
      <c r="C2595" s="75" t="s">
        <v>2078</v>
      </c>
      <c r="D2595" s="75">
        <v>1998</v>
      </c>
      <c r="E2595" s="75" t="s">
        <v>518</v>
      </c>
      <c r="F2595" s="75" t="s">
        <v>630</v>
      </c>
    </row>
    <row r="2596" spans="1:6" x14ac:dyDescent="0.3">
      <c r="A2596" s="75" t="s">
        <v>7152</v>
      </c>
      <c r="B2596" s="75" t="s">
        <v>7153</v>
      </c>
      <c r="C2596" s="75" t="s">
        <v>7154</v>
      </c>
      <c r="D2596" s="75" t="s">
        <v>13</v>
      </c>
      <c r="E2596" s="75" t="s">
        <v>18</v>
      </c>
      <c r="F2596" s="75" t="s">
        <v>266</v>
      </c>
    </row>
    <row r="2597" spans="1:6" x14ac:dyDescent="0.3">
      <c r="A2597" s="75" t="s">
        <v>7155</v>
      </c>
      <c r="B2597" s="75" t="s">
        <v>7156</v>
      </c>
      <c r="C2597" s="75" t="s">
        <v>7157</v>
      </c>
      <c r="D2597" s="75">
        <v>2016</v>
      </c>
      <c r="E2597" s="75" t="s">
        <v>70</v>
      </c>
      <c r="F2597" s="75" t="s">
        <v>71</v>
      </c>
    </row>
    <row r="2598" spans="1:6" x14ac:dyDescent="0.3">
      <c r="A2598" s="75" t="s">
        <v>7158</v>
      </c>
      <c r="B2598" s="75" t="s">
        <v>7159</v>
      </c>
      <c r="C2598" s="75" t="s">
        <v>7160</v>
      </c>
      <c r="D2598" s="75" t="s">
        <v>13</v>
      </c>
      <c r="E2598" s="75" t="s">
        <v>8</v>
      </c>
      <c r="F2598" s="75" t="s">
        <v>9</v>
      </c>
    </row>
    <row r="2599" spans="1:6" x14ac:dyDescent="0.3">
      <c r="A2599" s="75" t="s">
        <v>7161</v>
      </c>
      <c r="B2599" s="75" t="s">
        <v>7162</v>
      </c>
      <c r="C2599" s="75" t="s">
        <v>7163</v>
      </c>
      <c r="D2599" s="75">
        <v>2010</v>
      </c>
      <c r="E2599" s="75" t="s">
        <v>31</v>
      </c>
      <c r="F2599" s="75" t="s">
        <v>92</v>
      </c>
    </row>
    <row r="2600" spans="1:6" x14ac:dyDescent="0.3">
      <c r="A2600" s="75" t="s">
        <v>7164</v>
      </c>
      <c r="B2600" s="75" t="s">
        <v>7165</v>
      </c>
      <c r="C2600" s="75" t="s">
        <v>143</v>
      </c>
      <c r="D2600" s="75" t="s">
        <v>13</v>
      </c>
      <c r="E2600" s="75" t="s">
        <v>31</v>
      </c>
      <c r="F2600" s="75" t="s">
        <v>92</v>
      </c>
    </row>
    <row r="2601" spans="1:6" x14ac:dyDescent="0.3">
      <c r="A2601" s="75" t="s">
        <v>7166</v>
      </c>
      <c r="B2601" s="75" t="s">
        <v>7167</v>
      </c>
      <c r="C2601" s="75" t="s">
        <v>7168</v>
      </c>
      <c r="D2601" s="75" t="s">
        <v>13</v>
      </c>
      <c r="E2601" s="75" t="s">
        <v>348</v>
      </c>
      <c r="F2601" s="75" t="s">
        <v>1219</v>
      </c>
    </row>
    <row r="2602" spans="1:6" x14ac:dyDescent="0.3">
      <c r="A2602" s="75" t="s">
        <v>7169</v>
      </c>
      <c r="B2602" s="75" t="s">
        <v>7167</v>
      </c>
      <c r="C2602" s="75" t="s">
        <v>7170</v>
      </c>
      <c r="D2602" s="75" t="s">
        <v>13</v>
      </c>
      <c r="E2602" s="75" t="s">
        <v>348</v>
      </c>
      <c r="F2602" s="75" t="s">
        <v>1219</v>
      </c>
    </row>
    <row r="2603" spans="1:6" x14ac:dyDescent="0.3">
      <c r="A2603" s="75" t="s">
        <v>7171</v>
      </c>
      <c r="B2603" s="75" t="s">
        <v>7172</v>
      </c>
      <c r="C2603" s="75" t="s">
        <v>7173</v>
      </c>
      <c r="D2603" s="75">
        <v>2016</v>
      </c>
      <c r="E2603" s="75" t="s">
        <v>58</v>
      </c>
      <c r="F2603" s="75" t="s">
        <v>690</v>
      </c>
    </row>
    <row r="2604" spans="1:6" x14ac:dyDescent="0.3">
      <c r="A2604" s="75" t="s">
        <v>7174</v>
      </c>
      <c r="B2604" s="75" t="s">
        <v>7175</v>
      </c>
      <c r="C2604" s="75" t="s">
        <v>7176</v>
      </c>
      <c r="D2604" s="75" t="s">
        <v>13</v>
      </c>
      <c r="E2604" s="75" t="s">
        <v>18</v>
      </c>
      <c r="F2604" s="75" t="s">
        <v>266</v>
      </c>
    </row>
    <row r="2605" spans="1:6" x14ac:dyDescent="0.3">
      <c r="A2605" s="75" t="s">
        <v>7177</v>
      </c>
      <c r="B2605" s="75" t="s">
        <v>7175</v>
      </c>
      <c r="C2605" s="75" t="s">
        <v>13</v>
      </c>
      <c r="D2605" s="75" t="s">
        <v>13</v>
      </c>
      <c r="E2605" s="75" t="s">
        <v>18</v>
      </c>
      <c r="F2605" s="75" t="s">
        <v>266</v>
      </c>
    </row>
    <row r="2606" spans="1:6" x14ac:dyDescent="0.3">
      <c r="A2606" s="75" t="s">
        <v>7178</v>
      </c>
      <c r="B2606" s="75" t="s">
        <v>7175</v>
      </c>
      <c r="C2606" s="75" t="s">
        <v>13</v>
      </c>
      <c r="D2606" s="75" t="s">
        <v>13</v>
      </c>
      <c r="E2606" s="75" t="s">
        <v>18</v>
      </c>
      <c r="F2606" s="75" t="s">
        <v>266</v>
      </c>
    </row>
    <row r="2607" spans="1:6" x14ac:dyDescent="0.3">
      <c r="A2607" s="75" t="s">
        <v>7179</v>
      </c>
      <c r="B2607" s="75" t="s">
        <v>7180</v>
      </c>
      <c r="C2607" s="75" t="s">
        <v>7181</v>
      </c>
      <c r="D2607" s="75">
        <v>2004</v>
      </c>
      <c r="E2607" s="75" t="s">
        <v>70</v>
      </c>
      <c r="F2607" s="75" t="s">
        <v>326</v>
      </c>
    </row>
    <row r="2608" spans="1:6" x14ac:dyDescent="0.3">
      <c r="A2608" s="75" t="s">
        <v>7182</v>
      </c>
      <c r="B2608" s="75" t="s">
        <v>7183</v>
      </c>
      <c r="C2608" s="75" t="s">
        <v>5409</v>
      </c>
      <c r="D2608" s="75">
        <v>2016</v>
      </c>
      <c r="E2608" s="75" t="s">
        <v>70</v>
      </c>
      <c r="F2608" s="75" t="s">
        <v>80</v>
      </c>
    </row>
    <row r="2609" spans="1:6" x14ac:dyDescent="0.3">
      <c r="A2609" s="75" t="s">
        <v>7184</v>
      </c>
      <c r="B2609" s="75" t="s">
        <v>7183</v>
      </c>
      <c r="C2609" s="75" t="s">
        <v>13</v>
      </c>
      <c r="D2609" s="75">
        <v>2016</v>
      </c>
      <c r="E2609" s="75" t="s">
        <v>70</v>
      </c>
      <c r="F2609" s="75" t="s">
        <v>80</v>
      </c>
    </row>
    <row r="2610" spans="1:6" x14ac:dyDescent="0.3">
      <c r="A2610" s="75" t="s">
        <v>7185</v>
      </c>
      <c r="B2610" s="75" t="s">
        <v>7186</v>
      </c>
      <c r="C2610" s="75" t="s">
        <v>7187</v>
      </c>
      <c r="D2610" s="75" t="s">
        <v>13</v>
      </c>
      <c r="E2610" s="75" t="s">
        <v>348</v>
      </c>
      <c r="F2610" s="75" t="s">
        <v>1059</v>
      </c>
    </row>
    <row r="2611" spans="1:6" x14ac:dyDescent="0.3">
      <c r="A2611" s="75" t="s">
        <v>7188</v>
      </c>
      <c r="B2611" s="75" t="s">
        <v>7189</v>
      </c>
      <c r="C2611" s="75" t="s">
        <v>7190</v>
      </c>
      <c r="D2611" s="75">
        <v>2015</v>
      </c>
      <c r="E2611" s="75" t="s">
        <v>70</v>
      </c>
      <c r="F2611" s="75" t="s">
        <v>71</v>
      </c>
    </row>
    <row r="2612" spans="1:6" x14ac:dyDescent="0.3">
      <c r="A2612" s="75" t="s">
        <v>7191</v>
      </c>
      <c r="B2612" s="75" t="s">
        <v>7192</v>
      </c>
      <c r="C2612" s="75" t="s">
        <v>7193</v>
      </c>
      <c r="D2612" s="75">
        <v>2011</v>
      </c>
      <c r="E2612" s="75" t="s">
        <v>96</v>
      </c>
      <c r="F2612" s="75" t="s">
        <v>76</v>
      </c>
    </row>
    <row r="2613" spans="1:6" x14ac:dyDescent="0.3">
      <c r="A2613" s="75" t="s">
        <v>7194</v>
      </c>
      <c r="B2613" s="75" t="s">
        <v>7195</v>
      </c>
      <c r="C2613" s="75" t="s">
        <v>1016</v>
      </c>
      <c r="D2613" s="75">
        <v>2014</v>
      </c>
      <c r="E2613" s="75" t="s">
        <v>8</v>
      </c>
      <c r="F2613" s="75" t="s">
        <v>27</v>
      </c>
    </row>
    <row r="2614" spans="1:6" x14ac:dyDescent="0.3">
      <c r="A2614" s="75" t="s">
        <v>7196</v>
      </c>
      <c r="B2614" s="75" t="s">
        <v>7197</v>
      </c>
      <c r="C2614" s="75" t="s">
        <v>7198</v>
      </c>
      <c r="D2614" s="75" t="s">
        <v>13</v>
      </c>
      <c r="E2614" s="75" t="s">
        <v>84</v>
      </c>
      <c r="F2614" s="75" t="s">
        <v>63</v>
      </c>
    </row>
    <row r="2615" spans="1:6" x14ac:dyDescent="0.3">
      <c r="A2615" s="75" t="s">
        <v>7199</v>
      </c>
      <c r="B2615" s="75" t="s">
        <v>7200</v>
      </c>
      <c r="C2615" s="75" t="s">
        <v>7201</v>
      </c>
      <c r="D2615" s="75" t="s">
        <v>13</v>
      </c>
      <c r="E2615" s="75" t="s">
        <v>18</v>
      </c>
      <c r="F2615" s="75" t="s">
        <v>461</v>
      </c>
    </row>
    <row r="2616" spans="1:6" x14ac:dyDescent="0.3">
      <c r="A2616" s="75" t="s">
        <v>7202</v>
      </c>
      <c r="B2616" s="75" t="s">
        <v>7203</v>
      </c>
      <c r="C2616" s="75" t="s">
        <v>7204</v>
      </c>
      <c r="D2616" s="75" t="s">
        <v>13</v>
      </c>
      <c r="E2616" s="75" t="s">
        <v>8</v>
      </c>
      <c r="F2616" s="75" t="s">
        <v>27</v>
      </c>
    </row>
    <row r="2617" spans="1:6" x14ac:dyDescent="0.3">
      <c r="A2617" s="75" t="s">
        <v>7205</v>
      </c>
      <c r="B2617" s="75" t="s">
        <v>7206</v>
      </c>
      <c r="C2617" s="75" t="s">
        <v>7207</v>
      </c>
      <c r="D2617" s="75">
        <v>2017</v>
      </c>
      <c r="E2617" s="75" t="s">
        <v>18</v>
      </c>
      <c r="F2617" s="75" t="s">
        <v>1048</v>
      </c>
    </row>
    <row r="2618" spans="1:6" x14ac:dyDescent="0.3">
      <c r="A2618" s="75" t="s">
        <v>7208</v>
      </c>
      <c r="B2618" s="75" t="s">
        <v>7209</v>
      </c>
      <c r="C2618" s="75" t="s">
        <v>6900</v>
      </c>
      <c r="D2618" s="75">
        <v>2010</v>
      </c>
      <c r="E2618" s="75" t="s">
        <v>31</v>
      </c>
      <c r="F2618" s="75" t="s">
        <v>291</v>
      </c>
    </row>
    <row r="2619" spans="1:6" x14ac:dyDescent="0.3">
      <c r="A2619" s="75" t="s">
        <v>7210</v>
      </c>
      <c r="B2619" s="75" t="s">
        <v>7211</v>
      </c>
      <c r="C2619" s="75" t="s">
        <v>7212</v>
      </c>
      <c r="D2619" s="75" t="s">
        <v>13</v>
      </c>
      <c r="E2619" s="75" t="s">
        <v>58</v>
      </c>
      <c r="F2619" s="75" t="s">
        <v>1520</v>
      </c>
    </row>
    <row r="2620" spans="1:6" x14ac:dyDescent="0.3">
      <c r="A2620" s="75" t="s">
        <v>7213</v>
      </c>
      <c r="B2620" s="75" t="s">
        <v>7214</v>
      </c>
      <c r="C2620" s="75" t="s">
        <v>7215</v>
      </c>
      <c r="D2620" s="75" t="s">
        <v>13</v>
      </c>
      <c r="E2620" s="75" t="s">
        <v>31</v>
      </c>
      <c r="F2620" s="75" t="s">
        <v>36</v>
      </c>
    </row>
    <row r="2621" spans="1:6" x14ac:dyDescent="0.3">
      <c r="A2621" s="75" t="s">
        <v>7216</v>
      </c>
      <c r="B2621" s="75" t="s">
        <v>7217</v>
      </c>
      <c r="C2621" s="75" t="s">
        <v>1351</v>
      </c>
      <c r="D2621" s="75" t="s">
        <v>13</v>
      </c>
      <c r="E2621" s="75" t="s">
        <v>44</v>
      </c>
      <c r="F2621" s="75" t="s">
        <v>49</v>
      </c>
    </row>
    <row r="2622" spans="1:6" x14ac:dyDescent="0.3">
      <c r="A2622" s="75" t="s">
        <v>7218</v>
      </c>
      <c r="B2622" s="75" t="s">
        <v>7219</v>
      </c>
      <c r="C2622" s="75" t="s">
        <v>7220</v>
      </c>
      <c r="D2622" s="75">
        <v>2017</v>
      </c>
      <c r="E2622" s="75" t="s">
        <v>31</v>
      </c>
      <c r="F2622" s="75" t="s">
        <v>40</v>
      </c>
    </row>
    <row r="2623" spans="1:6" x14ac:dyDescent="0.3">
      <c r="A2623" s="75" t="s">
        <v>7221</v>
      </c>
      <c r="B2623" s="75" t="s">
        <v>7222</v>
      </c>
      <c r="C2623" s="75" t="s">
        <v>7223</v>
      </c>
      <c r="D2623" s="75">
        <v>1993</v>
      </c>
      <c r="E2623" s="75" t="s">
        <v>53</v>
      </c>
      <c r="F2623" s="75" t="s">
        <v>353</v>
      </c>
    </row>
    <row r="2624" spans="1:6" x14ac:dyDescent="0.3">
      <c r="A2624" s="75" t="s">
        <v>7224</v>
      </c>
      <c r="B2624" s="75" t="s">
        <v>7225</v>
      </c>
      <c r="C2624" s="75" t="s">
        <v>7226</v>
      </c>
      <c r="D2624" s="75">
        <v>2016</v>
      </c>
      <c r="E2624" s="75" t="s">
        <v>348</v>
      </c>
      <c r="F2624" s="75" t="s">
        <v>349</v>
      </c>
    </row>
    <row r="2625" spans="1:6" x14ac:dyDescent="0.3">
      <c r="A2625" s="75" t="s">
        <v>7227</v>
      </c>
      <c r="B2625" s="75" t="s">
        <v>7228</v>
      </c>
      <c r="C2625" s="75" t="s">
        <v>7229</v>
      </c>
      <c r="D2625" s="75" t="s">
        <v>13</v>
      </c>
      <c r="E2625" s="75" t="s">
        <v>70</v>
      </c>
      <c r="F2625" s="75" t="s">
        <v>71</v>
      </c>
    </row>
    <row r="2626" spans="1:6" x14ac:dyDescent="0.3">
      <c r="A2626" s="75" t="s">
        <v>7230</v>
      </c>
      <c r="B2626" s="75" t="s">
        <v>7231</v>
      </c>
      <c r="C2626" s="75" t="s">
        <v>7232</v>
      </c>
      <c r="D2626" s="75">
        <v>1993</v>
      </c>
      <c r="E2626" s="75" t="s">
        <v>18</v>
      </c>
      <c r="F2626" s="75" t="s">
        <v>762</v>
      </c>
    </row>
    <row r="2627" spans="1:6" x14ac:dyDescent="0.3">
      <c r="A2627" s="75" t="s">
        <v>7233</v>
      </c>
      <c r="B2627" s="75" t="s">
        <v>7234</v>
      </c>
      <c r="C2627" s="75" t="s">
        <v>2002</v>
      </c>
      <c r="D2627" s="75" t="s">
        <v>13</v>
      </c>
      <c r="E2627" s="75" t="s">
        <v>8</v>
      </c>
      <c r="F2627" s="75" t="s">
        <v>27</v>
      </c>
    </row>
    <row r="2628" spans="1:6" x14ac:dyDescent="0.3">
      <c r="A2628" s="75" t="s">
        <v>7235</v>
      </c>
      <c r="B2628" s="75" t="s">
        <v>7236</v>
      </c>
      <c r="C2628" s="75" t="s">
        <v>7237</v>
      </c>
      <c r="D2628" s="75">
        <v>2007</v>
      </c>
      <c r="E2628" s="75" t="s">
        <v>44</v>
      </c>
      <c r="F2628" s="75" t="s">
        <v>49</v>
      </c>
    </row>
    <row r="2629" spans="1:6" x14ac:dyDescent="0.3">
      <c r="A2629" s="75" t="s">
        <v>7238</v>
      </c>
      <c r="B2629" s="75" t="s">
        <v>7239</v>
      </c>
      <c r="C2629" s="75" t="s">
        <v>7240</v>
      </c>
      <c r="D2629" s="75">
        <v>2017</v>
      </c>
      <c r="E2629" s="75" t="s">
        <v>31</v>
      </c>
      <c r="F2629" s="75" t="s">
        <v>36</v>
      </c>
    </row>
    <row r="2630" spans="1:6" x14ac:dyDescent="0.3">
      <c r="A2630" s="75" t="s">
        <v>7241</v>
      </c>
      <c r="B2630" s="75" t="s">
        <v>7242</v>
      </c>
      <c r="C2630" s="75" t="s">
        <v>4226</v>
      </c>
      <c r="D2630" s="75">
        <v>2006</v>
      </c>
      <c r="E2630" s="75" t="s">
        <v>96</v>
      </c>
      <c r="F2630" s="75" t="s">
        <v>434</v>
      </c>
    </row>
    <row r="2631" spans="1:6" x14ac:dyDescent="0.3">
      <c r="A2631" s="75" t="s">
        <v>7243</v>
      </c>
      <c r="B2631" s="75" t="s">
        <v>7244</v>
      </c>
      <c r="C2631" s="75" t="s">
        <v>7245</v>
      </c>
      <c r="D2631" s="75" t="s">
        <v>13</v>
      </c>
      <c r="E2631" s="75" t="s">
        <v>8</v>
      </c>
      <c r="F2631" s="75" t="s">
        <v>23</v>
      </c>
    </row>
    <row r="2632" spans="1:6" x14ac:dyDescent="0.3">
      <c r="A2632" s="75" t="s">
        <v>7246</v>
      </c>
      <c r="B2632" s="75" t="s">
        <v>7247</v>
      </c>
      <c r="C2632" s="75" t="s">
        <v>7248</v>
      </c>
      <c r="D2632" s="75" t="s">
        <v>13</v>
      </c>
      <c r="E2632" s="75" t="s">
        <v>8</v>
      </c>
      <c r="F2632" s="75" t="s">
        <v>1093</v>
      </c>
    </row>
    <row r="2633" spans="1:6" x14ac:dyDescent="0.3">
      <c r="A2633" s="75" t="s">
        <v>7249</v>
      </c>
      <c r="B2633" s="75" t="s">
        <v>7250</v>
      </c>
      <c r="C2633" s="75" t="s">
        <v>7251</v>
      </c>
      <c r="D2633" s="75">
        <v>2017</v>
      </c>
      <c r="E2633" s="75" t="s">
        <v>70</v>
      </c>
      <c r="F2633" s="75" t="s">
        <v>71</v>
      </c>
    </row>
    <row r="2634" spans="1:6" x14ac:dyDescent="0.3">
      <c r="A2634" s="75" t="s">
        <v>7252</v>
      </c>
      <c r="B2634" s="75" t="s">
        <v>7253</v>
      </c>
      <c r="C2634" s="75" t="s">
        <v>7254</v>
      </c>
      <c r="D2634" s="75">
        <v>2014</v>
      </c>
      <c r="E2634" s="75" t="s">
        <v>70</v>
      </c>
      <c r="F2634" s="75" t="s">
        <v>353</v>
      </c>
    </row>
    <row r="2635" spans="1:6" x14ac:dyDescent="0.3">
      <c r="A2635" s="75" t="s">
        <v>7255</v>
      </c>
      <c r="B2635" s="75" t="s">
        <v>7256</v>
      </c>
      <c r="C2635" s="75" t="s">
        <v>7257</v>
      </c>
      <c r="D2635" s="75" t="s">
        <v>13</v>
      </c>
      <c r="E2635" s="75" t="s">
        <v>8</v>
      </c>
      <c r="F2635" s="75" t="s">
        <v>27</v>
      </c>
    </row>
    <row r="2636" spans="1:6" x14ac:dyDescent="0.3">
      <c r="A2636" s="75" t="s">
        <v>7258</v>
      </c>
      <c r="B2636" s="75" t="s">
        <v>7259</v>
      </c>
      <c r="C2636" s="75" t="s">
        <v>7260</v>
      </c>
      <c r="D2636" s="75">
        <v>2015</v>
      </c>
      <c r="E2636" s="75" t="s">
        <v>70</v>
      </c>
      <c r="F2636" s="75" t="s">
        <v>71</v>
      </c>
    </row>
    <row r="2637" spans="1:6" x14ac:dyDescent="0.3">
      <c r="A2637" s="75" t="s">
        <v>7261</v>
      </c>
      <c r="B2637" s="75" t="s">
        <v>7262</v>
      </c>
      <c r="C2637" s="75" t="s">
        <v>7263</v>
      </c>
      <c r="D2637" s="75" t="s">
        <v>13</v>
      </c>
      <c r="E2637" s="75" t="s">
        <v>31</v>
      </c>
      <c r="F2637" s="75" t="s">
        <v>291</v>
      </c>
    </row>
    <row r="2638" spans="1:6" x14ac:dyDescent="0.3">
      <c r="A2638" s="75" t="s">
        <v>7264</v>
      </c>
      <c r="B2638" s="75" t="s">
        <v>7265</v>
      </c>
      <c r="C2638" s="75" t="s">
        <v>7266</v>
      </c>
      <c r="D2638" s="75" t="s">
        <v>13</v>
      </c>
      <c r="E2638" s="75" t="s">
        <v>31</v>
      </c>
      <c r="F2638" s="75" t="s">
        <v>32</v>
      </c>
    </row>
    <row r="2639" spans="1:6" x14ac:dyDescent="0.3">
      <c r="A2639" s="75" t="s">
        <v>7267</v>
      </c>
      <c r="B2639" s="75" t="s">
        <v>7268</v>
      </c>
      <c r="C2639" s="75" t="s">
        <v>7269</v>
      </c>
      <c r="D2639" s="75">
        <v>1986</v>
      </c>
      <c r="E2639" s="75" t="s">
        <v>31</v>
      </c>
      <c r="F2639" s="75" t="s">
        <v>92</v>
      </c>
    </row>
    <row r="2640" spans="1:6" x14ac:dyDescent="0.3">
      <c r="A2640" s="75" t="s">
        <v>7270</v>
      </c>
      <c r="B2640" s="75" t="s">
        <v>7271</v>
      </c>
      <c r="C2640" s="75" t="s">
        <v>7272</v>
      </c>
      <c r="D2640" s="75" t="s">
        <v>13</v>
      </c>
      <c r="E2640" s="75" t="s">
        <v>518</v>
      </c>
      <c r="F2640" s="75" t="s">
        <v>2287</v>
      </c>
    </row>
    <row r="2641" spans="1:6" x14ac:dyDescent="0.3">
      <c r="A2641" s="75" t="s">
        <v>7273</v>
      </c>
      <c r="B2641" s="75" t="s">
        <v>7271</v>
      </c>
      <c r="C2641" s="75" t="s">
        <v>13</v>
      </c>
      <c r="D2641" s="75" t="s">
        <v>13</v>
      </c>
      <c r="E2641" s="75" t="s">
        <v>518</v>
      </c>
      <c r="F2641" s="75" t="s">
        <v>2287</v>
      </c>
    </row>
    <row r="2642" spans="1:6" x14ac:dyDescent="0.3">
      <c r="A2642" s="75" t="s">
        <v>7274</v>
      </c>
      <c r="B2642" s="75" t="s">
        <v>7275</v>
      </c>
      <c r="C2642" s="75" t="s">
        <v>7276</v>
      </c>
      <c r="D2642" s="75">
        <v>1994</v>
      </c>
      <c r="E2642" s="75" t="s">
        <v>31</v>
      </c>
      <c r="F2642" s="75" t="s">
        <v>229</v>
      </c>
    </row>
    <row r="2643" spans="1:6" x14ac:dyDescent="0.3">
      <c r="A2643" s="75" t="s">
        <v>7277</v>
      </c>
      <c r="B2643" s="75" t="s">
        <v>7278</v>
      </c>
      <c r="C2643" s="75" t="s">
        <v>7279</v>
      </c>
      <c r="D2643" s="75">
        <v>2004</v>
      </c>
      <c r="E2643" s="75" t="s">
        <v>8</v>
      </c>
      <c r="F2643" s="75" t="s">
        <v>27</v>
      </c>
    </row>
    <row r="2644" spans="1:6" x14ac:dyDescent="0.3">
      <c r="A2644" s="75" t="s">
        <v>7280</v>
      </c>
      <c r="B2644" s="75" t="s">
        <v>7278</v>
      </c>
      <c r="C2644" s="75" t="s">
        <v>13</v>
      </c>
      <c r="D2644" s="75" t="s">
        <v>13</v>
      </c>
      <c r="E2644" s="75" t="s">
        <v>8</v>
      </c>
      <c r="F2644" s="75" t="s">
        <v>27</v>
      </c>
    </row>
    <row r="2645" spans="1:6" x14ac:dyDescent="0.3">
      <c r="A2645" s="75" t="s">
        <v>7281</v>
      </c>
      <c r="B2645" s="75" t="s">
        <v>7282</v>
      </c>
      <c r="C2645" s="75" t="s">
        <v>4081</v>
      </c>
      <c r="D2645" s="75">
        <v>1997</v>
      </c>
      <c r="E2645" s="75" t="s">
        <v>518</v>
      </c>
      <c r="F2645" s="75" t="s">
        <v>1642</v>
      </c>
    </row>
    <row r="2646" spans="1:6" x14ac:dyDescent="0.3">
      <c r="A2646" s="75" t="s">
        <v>7283</v>
      </c>
      <c r="B2646" s="75" t="s">
        <v>7284</v>
      </c>
      <c r="C2646" s="75" t="s">
        <v>7285</v>
      </c>
      <c r="D2646" s="75" t="s">
        <v>13</v>
      </c>
      <c r="E2646" s="75" t="s">
        <v>31</v>
      </c>
      <c r="F2646" s="75" t="s">
        <v>395</v>
      </c>
    </row>
    <row r="2647" spans="1:6" x14ac:dyDescent="0.3">
      <c r="A2647" s="75" t="s">
        <v>7286</v>
      </c>
      <c r="B2647" s="75" t="s">
        <v>7287</v>
      </c>
      <c r="C2647" s="75" t="s">
        <v>4118</v>
      </c>
      <c r="D2647" s="75">
        <v>2000</v>
      </c>
      <c r="E2647" s="75" t="s">
        <v>31</v>
      </c>
      <c r="F2647" s="75" t="s">
        <v>92</v>
      </c>
    </row>
    <row r="2648" spans="1:6" x14ac:dyDescent="0.3">
      <c r="A2648" s="75" t="s">
        <v>7288</v>
      </c>
      <c r="B2648" s="75" t="s">
        <v>7289</v>
      </c>
      <c r="C2648" s="75" t="s">
        <v>612</v>
      </c>
      <c r="D2648" s="75">
        <v>2005</v>
      </c>
      <c r="E2648" s="75" t="s">
        <v>31</v>
      </c>
      <c r="F2648" s="75" t="s">
        <v>92</v>
      </c>
    </row>
    <row r="2649" spans="1:6" x14ac:dyDescent="0.3">
      <c r="A2649" s="75" t="s">
        <v>7290</v>
      </c>
      <c r="B2649" s="75" t="s">
        <v>7291</v>
      </c>
      <c r="C2649" s="75" t="s">
        <v>6576</v>
      </c>
      <c r="D2649" s="75" t="s">
        <v>13</v>
      </c>
      <c r="E2649" s="75" t="s">
        <v>31</v>
      </c>
      <c r="F2649" s="75" t="s">
        <v>92</v>
      </c>
    </row>
    <row r="2650" spans="1:6" x14ac:dyDescent="0.3">
      <c r="A2650" s="75" t="s">
        <v>7292</v>
      </c>
      <c r="B2650" s="75" t="s">
        <v>7293</v>
      </c>
      <c r="C2650" s="75" t="s">
        <v>7294</v>
      </c>
      <c r="D2650" s="75">
        <v>2017</v>
      </c>
      <c r="E2650" s="75" t="s">
        <v>8</v>
      </c>
      <c r="F2650" s="75" t="s">
        <v>76</v>
      </c>
    </row>
    <row r="2651" spans="1:6" x14ac:dyDescent="0.3">
      <c r="A2651" s="75" t="s">
        <v>7295</v>
      </c>
      <c r="B2651" s="75" t="s">
        <v>7293</v>
      </c>
      <c r="C2651" s="75" t="s">
        <v>13</v>
      </c>
      <c r="D2651" s="75">
        <v>2017</v>
      </c>
      <c r="E2651" s="75" t="s">
        <v>8</v>
      </c>
      <c r="F2651" s="75" t="s">
        <v>76</v>
      </c>
    </row>
    <row r="2652" spans="1:6" x14ac:dyDescent="0.3">
      <c r="A2652" s="75" t="s">
        <v>7296</v>
      </c>
      <c r="B2652" s="75" t="s">
        <v>7293</v>
      </c>
      <c r="C2652" s="75" t="s">
        <v>13</v>
      </c>
      <c r="D2652" s="75">
        <v>2017</v>
      </c>
      <c r="E2652" s="75" t="s">
        <v>8</v>
      </c>
      <c r="F2652" s="75" t="s">
        <v>76</v>
      </c>
    </row>
    <row r="2653" spans="1:6" x14ac:dyDescent="0.3">
      <c r="A2653" s="75" t="s">
        <v>7297</v>
      </c>
      <c r="B2653" s="75" t="s">
        <v>7298</v>
      </c>
      <c r="C2653" s="75" t="s">
        <v>7299</v>
      </c>
      <c r="D2653" s="75">
        <v>2013</v>
      </c>
      <c r="E2653" s="75" t="s">
        <v>8</v>
      </c>
      <c r="F2653" s="75" t="s">
        <v>2382</v>
      </c>
    </row>
    <row r="2654" spans="1:6" x14ac:dyDescent="0.3">
      <c r="A2654" s="75" t="s">
        <v>7300</v>
      </c>
      <c r="B2654" s="75" t="s">
        <v>7301</v>
      </c>
      <c r="C2654" s="75" t="s">
        <v>7302</v>
      </c>
      <c r="D2654" s="75" t="s">
        <v>13</v>
      </c>
      <c r="E2654" s="75" t="s">
        <v>96</v>
      </c>
      <c r="F2654" s="75" t="s">
        <v>76</v>
      </c>
    </row>
    <row r="2655" spans="1:6" x14ac:dyDescent="0.3">
      <c r="A2655" s="75" t="s">
        <v>7303</v>
      </c>
      <c r="B2655" s="75" t="s">
        <v>7304</v>
      </c>
      <c r="C2655" s="75" t="s">
        <v>1316</v>
      </c>
      <c r="D2655" s="75" t="s">
        <v>13</v>
      </c>
      <c r="E2655" s="75" t="s">
        <v>8</v>
      </c>
      <c r="F2655" s="75" t="s">
        <v>27</v>
      </c>
    </row>
    <row r="2656" spans="1:6" x14ac:dyDescent="0.3">
      <c r="A2656" s="75" t="s">
        <v>7305</v>
      </c>
      <c r="B2656" s="75" t="s">
        <v>7306</v>
      </c>
      <c r="C2656" s="75" t="s">
        <v>7307</v>
      </c>
      <c r="D2656" s="75" t="s">
        <v>13</v>
      </c>
      <c r="E2656" s="75" t="s">
        <v>31</v>
      </c>
      <c r="F2656" s="75" t="s">
        <v>161</v>
      </c>
    </row>
    <row r="2657" spans="1:6" x14ac:dyDescent="0.3">
      <c r="A2657" s="75" t="s">
        <v>7308</v>
      </c>
      <c r="B2657" s="75" t="s">
        <v>7309</v>
      </c>
      <c r="C2657" s="75" t="s">
        <v>7310</v>
      </c>
      <c r="D2657" s="75" t="s">
        <v>13</v>
      </c>
      <c r="E2657" s="75" t="s">
        <v>31</v>
      </c>
      <c r="F2657" s="75" t="s">
        <v>36</v>
      </c>
    </row>
    <row r="2658" spans="1:6" x14ac:dyDescent="0.3">
      <c r="A2658" s="75" t="s">
        <v>7311</v>
      </c>
      <c r="B2658" s="75" t="s">
        <v>7312</v>
      </c>
      <c r="C2658" s="75" t="s">
        <v>496</v>
      </c>
      <c r="D2658" s="75">
        <v>1995</v>
      </c>
      <c r="E2658" s="75" t="s">
        <v>18</v>
      </c>
      <c r="F2658" s="75" t="s">
        <v>1055</v>
      </c>
    </row>
    <row r="2659" spans="1:6" x14ac:dyDescent="0.3">
      <c r="A2659" s="75" t="s">
        <v>7313</v>
      </c>
      <c r="B2659" s="75" t="s">
        <v>7314</v>
      </c>
      <c r="C2659" s="75" t="s">
        <v>7315</v>
      </c>
      <c r="D2659" s="75" t="s">
        <v>13</v>
      </c>
      <c r="E2659" s="75" t="s">
        <v>283</v>
      </c>
      <c r="F2659" s="75" t="s">
        <v>1345</v>
      </c>
    </row>
    <row r="2660" spans="1:6" x14ac:dyDescent="0.3">
      <c r="A2660" s="75" t="s">
        <v>7316</v>
      </c>
      <c r="B2660" s="75" t="s">
        <v>7317</v>
      </c>
      <c r="C2660" s="75" t="s">
        <v>7318</v>
      </c>
      <c r="D2660" s="75" t="s">
        <v>13</v>
      </c>
      <c r="E2660" s="75" t="s">
        <v>70</v>
      </c>
      <c r="F2660" s="75" t="s">
        <v>71</v>
      </c>
    </row>
    <row r="2661" spans="1:6" x14ac:dyDescent="0.3">
      <c r="A2661" s="75" t="s">
        <v>7319</v>
      </c>
      <c r="B2661" s="75" t="s">
        <v>7320</v>
      </c>
      <c r="C2661" s="75" t="s">
        <v>7321</v>
      </c>
      <c r="D2661" s="75" t="s">
        <v>13</v>
      </c>
      <c r="E2661" s="75" t="s">
        <v>18</v>
      </c>
      <c r="F2661" s="75" t="s">
        <v>1055</v>
      </c>
    </row>
    <row r="2662" spans="1:6" x14ac:dyDescent="0.3">
      <c r="A2662" s="75" t="s">
        <v>7322</v>
      </c>
      <c r="B2662" s="75" t="s">
        <v>7323</v>
      </c>
      <c r="C2662" s="75" t="s">
        <v>7324</v>
      </c>
      <c r="D2662" s="75" t="s">
        <v>13</v>
      </c>
      <c r="E2662" s="75" t="s">
        <v>96</v>
      </c>
      <c r="F2662" s="75" t="s">
        <v>76</v>
      </c>
    </row>
    <row r="2663" spans="1:6" x14ac:dyDescent="0.3">
      <c r="A2663" s="75" t="s">
        <v>7325</v>
      </c>
      <c r="B2663" s="75" t="s">
        <v>7326</v>
      </c>
      <c r="C2663" s="75" t="s">
        <v>7327</v>
      </c>
      <c r="D2663" s="75">
        <v>2014</v>
      </c>
      <c r="E2663" s="75" t="s">
        <v>44</v>
      </c>
      <c r="F2663" s="75" t="s">
        <v>45</v>
      </c>
    </row>
    <row r="2664" spans="1:6" x14ac:dyDescent="0.3">
      <c r="A2664" s="75" t="s">
        <v>7328</v>
      </c>
      <c r="B2664" s="75" t="s">
        <v>7329</v>
      </c>
      <c r="C2664" s="75" t="s">
        <v>7330</v>
      </c>
      <c r="D2664" s="75" t="s">
        <v>13</v>
      </c>
      <c r="E2664" s="75" t="s">
        <v>70</v>
      </c>
      <c r="F2664" s="75" t="s">
        <v>353</v>
      </c>
    </row>
    <row r="2665" spans="1:6" x14ac:dyDescent="0.3">
      <c r="A2665" s="75" t="s">
        <v>7331</v>
      </c>
      <c r="B2665" s="75" t="s">
        <v>7332</v>
      </c>
      <c r="C2665" s="75" t="s">
        <v>91</v>
      </c>
      <c r="D2665" s="75">
        <v>1986</v>
      </c>
      <c r="E2665" s="75" t="s">
        <v>283</v>
      </c>
      <c r="F2665" s="75" t="s">
        <v>284</v>
      </c>
    </row>
    <row r="2666" spans="1:6" x14ac:dyDescent="0.3">
      <c r="A2666" s="75" t="s">
        <v>7333</v>
      </c>
      <c r="B2666" s="75" t="s">
        <v>7334</v>
      </c>
      <c r="C2666" s="75" t="s">
        <v>7335</v>
      </c>
      <c r="D2666" s="75" t="s">
        <v>13</v>
      </c>
      <c r="E2666" s="75" t="s">
        <v>31</v>
      </c>
      <c r="F2666" s="75" t="s">
        <v>92</v>
      </c>
    </row>
    <row r="2667" spans="1:6" x14ac:dyDescent="0.3">
      <c r="A2667" s="75" t="s">
        <v>7336</v>
      </c>
      <c r="B2667" s="75" t="s">
        <v>7337</v>
      </c>
      <c r="C2667" s="75" t="s">
        <v>7338</v>
      </c>
      <c r="D2667" s="75" t="s">
        <v>13</v>
      </c>
      <c r="E2667" s="75" t="s">
        <v>8</v>
      </c>
      <c r="F2667" s="75" t="s">
        <v>478</v>
      </c>
    </row>
    <row r="2668" spans="1:6" x14ac:dyDescent="0.3">
      <c r="A2668" s="75" t="s">
        <v>7339</v>
      </c>
      <c r="B2668" s="75" t="s">
        <v>7337</v>
      </c>
      <c r="C2668" s="75" t="s">
        <v>7340</v>
      </c>
      <c r="D2668" s="75" t="s">
        <v>13</v>
      </c>
      <c r="E2668" s="75" t="s">
        <v>8</v>
      </c>
      <c r="F2668" s="75" t="s">
        <v>478</v>
      </c>
    </row>
    <row r="2669" spans="1:6" x14ac:dyDescent="0.3">
      <c r="A2669" s="75" t="s">
        <v>7341</v>
      </c>
      <c r="B2669" s="75" t="s">
        <v>7342</v>
      </c>
      <c r="C2669" s="75" t="s">
        <v>7343</v>
      </c>
      <c r="D2669" s="75">
        <v>2017</v>
      </c>
      <c r="E2669" s="75" t="s">
        <v>31</v>
      </c>
      <c r="F2669" s="75" t="s">
        <v>92</v>
      </c>
    </row>
    <row r="2670" spans="1:6" x14ac:dyDescent="0.3">
      <c r="A2670" s="75" t="s">
        <v>7344</v>
      </c>
      <c r="B2670" s="75" t="s">
        <v>7345</v>
      </c>
      <c r="C2670" s="75" t="s">
        <v>7346</v>
      </c>
      <c r="D2670" s="75">
        <v>2016</v>
      </c>
      <c r="E2670" s="75" t="s">
        <v>58</v>
      </c>
      <c r="F2670" s="75" t="s">
        <v>7347</v>
      </c>
    </row>
    <row r="2671" spans="1:6" x14ac:dyDescent="0.3">
      <c r="A2671" s="75" t="s">
        <v>7348</v>
      </c>
      <c r="B2671" s="75" t="s">
        <v>7349</v>
      </c>
      <c r="C2671" s="75" t="s">
        <v>7350</v>
      </c>
      <c r="D2671" s="75" t="s">
        <v>13</v>
      </c>
      <c r="E2671" s="75" t="s">
        <v>8</v>
      </c>
      <c r="F2671" s="75" t="s">
        <v>27</v>
      </c>
    </row>
    <row r="2672" spans="1:6" x14ac:dyDescent="0.3">
      <c r="A2672" s="75" t="s">
        <v>7351</v>
      </c>
      <c r="B2672" s="75" t="s">
        <v>7352</v>
      </c>
      <c r="C2672" s="75" t="s">
        <v>7353</v>
      </c>
      <c r="D2672" s="75">
        <v>1995</v>
      </c>
      <c r="E2672" s="75" t="s">
        <v>31</v>
      </c>
      <c r="F2672" s="75" t="s">
        <v>36</v>
      </c>
    </row>
    <row r="2673" spans="1:6" x14ac:dyDescent="0.3">
      <c r="A2673" s="75" t="s">
        <v>7354</v>
      </c>
      <c r="B2673" s="75" t="s">
        <v>7355</v>
      </c>
      <c r="C2673" s="75" t="s">
        <v>7356</v>
      </c>
      <c r="D2673" s="75">
        <v>2000</v>
      </c>
      <c r="E2673" s="75" t="s">
        <v>31</v>
      </c>
      <c r="F2673" s="75" t="s">
        <v>229</v>
      </c>
    </row>
    <row r="2674" spans="1:6" x14ac:dyDescent="0.3">
      <c r="A2674" s="75" t="s">
        <v>7357</v>
      </c>
      <c r="B2674" s="75" t="s">
        <v>7358</v>
      </c>
      <c r="C2674" s="75" t="s">
        <v>7359</v>
      </c>
      <c r="D2674" s="75" t="s">
        <v>13</v>
      </c>
      <c r="E2674" s="75" t="s">
        <v>348</v>
      </c>
      <c r="F2674" s="75" t="s">
        <v>1288</v>
      </c>
    </row>
    <row r="2675" spans="1:6" x14ac:dyDescent="0.3">
      <c r="A2675" s="75" t="s">
        <v>7360</v>
      </c>
      <c r="B2675" s="75" t="s">
        <v>7361</v>
      </c>
      <c r="C2675" s="75" t="s">
        <v>7362</v>
      </c>
      <c r="D2675" s="75" t="s">
        <v>13</v>
      </c>
      <c r="E2675" s="75" t="s">
        <v>31</v>
      </c>
      <c r="F2675" s="75" t="s">
        <v>295</v>
      </c>
    </row>
    <row r="2676" spans="1:6" x14ac:dyDescent="0.3">
      <c r="A2676" s="75" t="s">
        <v>7363</v>
      </c>
      <c r="B2676" s="75" t="s">
        <v>7364</v>
      </c>
      <c r="C2676" s="75" t="s">
        <v>7365</v>
      </c>
      <c r="D2676" s="75" t="s">
        <v>13</v>
      </c>
      <c r="E2676" s="75" t="s">
        <v>31</v>
      </c>
      <c r="F2676" s="75" t="s">
        <v>626</v>
      </c>
    </row>
    <row r="2677" spans="1:6" x14ac:dyDescent="0.3">
      <c r="A2677" s="75" t="s">
        <v>7366</v>
      </c>
      <c r="B2677" s="75" t="s">
        <v>7367</v>
      </c>
      <c r="C2677" s="75" t="s">
        <v>5276</v>
      </c>
      <c r="D2677" s="75">
        <v>2010</v>
      </c>
      <c r="E2677" s="75" t="s">
        <v>518</v>
      </c>
      <c r="F2677" s="75" t="s">
        <v>4402</v>
      </c>
    </row>
    <row r="2678" spans="1:6" x14ac:dyDescent="0.3">
      <c r="A2678" s="75" t="s">
        <v>7368</v>
      </c>
      <c r="B2678" s="75" t="s">
        <v>7369</v>
      </c>
      <c r="C2678" s="75" t="s">
        <v>546</v>
      </c>
      <c r="D2678" s="75" t="s">
        <v>13</v>
      </c>
      <c r="E2678" s="75" t="s">
        <v>31</v>
      </c>
      <c r="F2678" s="75" t="s">
        <v>161</v>
      </c>
    </row>
    <row r="2679" spans="1:6" x14ac:dyDescent="0.3">
      <c r="A2679" s="75" t="s">
        <v>7370</v>
      </c>
      <c r="B2679" s="75" t="s">
        <v>7371</v>
      </c>
      <c r="C2679" s="75" t="s">
        <v>7372</v>
      </c>
      <c r="D2679" s="75">
        <v>2010</v>
      </c>
      <c r="E2679" s="75" t="s">
        <v>13</v>
      </c>
      <c r="F2679" s="75" t="s">
        <v>13</v>
      </c>
    </row>
    <row r="2680" spans="1:6" x14ac:dyDescent="0.3">
      <c r="A2680" s="75" t="s">
        <v>7373</v>
      </c>
      <c r="B2680" s="75" t="s">
        <v>7374</v>
      </c>
      <c r="C2680" s="75" t="s">
        <v>7375</v>
      </c>
      <c r="D2680" s="75" t="s">
        <v>13</v>
      </c>
      <c r="E2680" s="75" t="s">
        <v>13</v>
      </c>
      <c r="F2680" s="75" t="s">
        <v>13</v>
      </c>
    </row>
    <row r="2681" spans="1:6" x14ac:dyDescent="0.3">
      <c r="A2681" s="75" t="s">
        <v>7376</v>
      </c>
      <c r="B2681" s="75" t="s">
        <v>7377</v>
      </c>
      <c r="C2681" s="75" t="s">
        <v>48</v>
      </c>
      <c r="D2681" s="75">
        <v>2015</v>
      </c>
      <c r="E2681" s="75" t="s">
        <v>31</v>
      </c>
      <c r="F2681" s="75" t="s">
        <v>92</v>
      </c>
    </row>
    <row r="2682" spans="1:6" x14ac:dyDescent="0.3">
      <c r="A2682" s="75" t="s">
        <v>7378</v>
      </c>
      <c r="B2682" s="75" t="s">
        <v>7379</v>
      </c>
      <c r="C2682" s="75" t="s">
        <v>7380</v>
      </c>
      <c r="D2682" s="75">
        <v>2014</v>
      </c>
      <c r="E2682" s="75" t="s">
        <v>70</v>
      </c>
      <c r="F2682" s="75" t="s">
        <v>671</v>
      </c>
    </row>
    <row r="2683" spans="1:6" x14ac:dyDescent="0.3">
      <c r="A2683" s="75" t="s">
        <v>7381</v>
      </c>
      <c r="B2683" s="75" t="s">
        <v>7379</v>
      </c>
      <c r="C2683" s="75" t="s">
        <v>13</v>
      </c>
      <c r="D2683" s="75">
        <v>2014</v>
      </c>
      <c r="E2683" s="75" t="s">
        <v>70</v>
      </c>
      <c r="F2683" s="75" t="s">
        <v>671</v>
      </c>
    </row>
    <row r="2684" spans="1:6" x14ac:dyDescent="0.3">
      <c r="A2684" s="75" t="s">
        <v>7382</v>
      </c>
      <c r="B2684" s="75" t="s">
        <v>7383</v>
      </c>
      <c r="C2684" s="75" t="s">
        <v>2249</v>
      </c>
      <c r="D2684" s="75" t="s">
        <v>13</v>
      </c>
      <c r="E2684" s="75" t="s">
        <v>70</v>
      </c>
      <c r="F2684" s="75" t="s">
        <v>71</v>
      </c>
    </row>
    <row r="2685" spans="1:6" x14ac:dyDescent="0.3">
      <c r="A2685" s="75" t="s">
        <v>7384</v>
      </c>
      <c r="B2685" s="75" t="s">
        <v>7383</v>
      </c>
      <c r="C2685" s="75" t="s">
        <v>13</v>
      </c>
      <c r="D2685" s="75" t="s">
        <v>13</v>
      </c>
      <c r="E2685" s="75" t="s">
        <v>70</v>
      </c>
      <c r="F2685" s="75" t="s">
        <v>71</v>
      </c>
    </row>
    <row r="2686" spans="1:6" x14ac:dyDescent="0.3">
      <c r="A2686" s="75" t="s">
        <v>7385</v>
      </c>
      <c r="B2686" s="75" t="s">
        <v>7386</v>
      </c>
      <c r="C2686" s="75" t="s">
        <v>7387</v>
      </c>
      <c r="D2686" s="75">
        <v>1991</v>
      </c>
      <c r="E2686" s="75" t="s">
        <v>18</v>
      </c>
      <c r="F2686" s="75" t="s">
        <v>729</v>
      </c>
    </row>
    <row r="2687" spans="1:6" x14ac:dyDescent="0.3">
      <c r="A2687" s="75" t="s">
        <v>7388</v>
      </c>
      <c r="B2687" s="75" t="s">
        <v>7389</v>
      </c>
      <c r="C2687" s="75" t="s">
        <v>7390</v>
      </c>
      <c r="D2687" s="75" t="s">
        <v>13</v>
      </c>
      <c r="E2687" s="75" t="s">
        <v>31</v>
      </c>
      <c r="F2687" s="75" t="s">
        <v>291</v>
      </c>
    </row>
    <row r="2688" spans="1:6" x14ac:dyDescent="0.3">
      <c r="A2688" s="75" t="s">
        <v>7391</v>
      </c>
      <c r="B2688" s="75" t="s">
        <v>7392</v>
      </c>
      <c r="C2688" s="75" t="s">
        <v>7393</v>
      </c>
      <c r="D2688" s="75" t="s">
        <v>13</v>
      </c>
      <c r="E2688" s="75" t="s">
        <v>70</v>
      </c>
      <c r="F2688" s="75" t="s">
        <v>71</v>
      </c>
    </row>
    <row r="2689" spans="1:6" x14ac:dyDescent="0.3">
      <c r="A2689" s="75" t="s">
        <v>7394</v>
      </c>
      <c r="B2689" s="75" t="s">
        <v>7392</v>
      </c>
      <c r="C2689" s="75" t="s">
        <v>13</v>
      </c>
      <c r="D2689" s="75" t="s">
        <v>13</v>
      </c>
      <c r="E2689" s="75" t="s">
        <v>70</v>
      </c>
      <c r="F2689" s="75" t="s">
        <v>71</v>
      </c>
    </row>
    <row r="2690" spans="1:6" x14ac:dyDescent="0.3">
      <c r="A2690" s="75" t="s">
        <v>7395</v>
      </c>
      <c r="B2690" s="75" t="s">
        <v>7396</v>
      </c>
      <c r="C2690" s="75" t="s">
        <v>7397</v>
      </c>
      <c r="D2690" s="75" t="s">
        <v>13</v>
      </c>
      <c r="E2690" s="75" t="s">
        <v>31</v>
      </c>
      <c r="F2690" s="75" t="s">
        <v>161</v>
      </c>
    </row>
    <row r="2691" spans="1:6" x14ac:dyDescent="0.3">
      <c r="A2691" s="75" t="s">
        <v>7398</v>
      </c>
      <c r="B2691" s="75" t="s">
        <v>7399</v>
      </c>
      <c r="C2691" s="75" t="s">
        <v>7400</v>
      </c>
      <c r="D2691" s="75">
        <v>2013</v>
      </c>
      <c r="E2691" s="75" t="s">
        <v>13</v>
      </c>
      <c r="F2691" s="75" t="s">
        <v>13</v>
      </c>
    </row>
    <row r="2692" spans="1:6" x14ac:dyDescent="0.3">
      <c r="A2692" s="75" t="s">
        <v>7401</v>
      </c>
      <c r="B2692" s="75" t="s">
        <v>7402</v>
      </c>
      <c r="C2692" s="75" t="s">
        <v>7403</v>
      </c>
      <c r="D2692" s="75" t="s">
        <v>13</v>
      </c>
      <c r="E2692" s="75" t="s">
        <v>53</v>
      </c>
      <c r="F2692" s="75" t="s">
        <v>193</v>
      </c>
    </row>
    <row r="2693" spans="1:6" x14ac:dyDescent="0.3">
      <c r="A2693" s="75" t="s">
        <v>7404</v>
      </c>
      <c r="B2693" s="75" t="s">
        <v>7405</v>
      </c>
      <c r="C2693" s="75" t="s">
        <v>7406</v>
      </c>
      <c r="D2693" s="75" t="s">
        <v>13</v>
      </c>
      <c r="E2693" s="75" t="s">
        <v>70</v>
      </c>
      <c r="F2693" s="75" t="s">
        <v>326</v>
      </c>
    </row>
    <row r="2694" spans="1:6" x14ac:dyDescent="0.3">
      <c r="A2694" s="75" t="s">
        <v>7407</v>
      </c>
      <c r="B2694" s="75" t="s">
        <v>7408</v>
      </c>
      <c r="C2694" s="75" t="s">
        <v>7409</v>
      </c>
      <c r="D2694" s="75" t="s">
        <v>13</v>
      </c>
      <c r="E2694" s="75" t="s">
        <v>18</v>
      </c>
      <c r="F2694" s="75" t="s">
        <v>266</v>
      </c>
    </row>
    <row r="2695" spans="1:6" x14ac:dyDescent="0.3">
      <c r="A2695" s="75" t="s">
        <v>7410</v>
      </c>
      <c r="B2695" s="75" t="s">
        <v>7408</v>
      </c>
      <c r="C2695" s="75" t="s">
        <v>13</v>
      </c>
      <c r="D2695" s="75" t="s">
        <v>13</v>
      </c>
      <c r="E2695" s="75" t="s">
        <v>18</v>
      </c>
      <c r="F2695" s="75" t="s">
        <v>266</v>
      </c>
    </row>
    <row r="2696" spans="1:6" x14ac:dyDescent="0.3">
      <c r="A2696" s="75" t="s">
        <v>7411</v>
      </c>
      <c r="B2696" s="75" t="s">
        <v>7412</v>
      </c>
      <c r="C2696" s="75" t="s">
        <v>13</v>
      </c>
      <c r="D2696" s="75" t="s">
        <v>13</v>
      </c>
      <c r="E2696" s="75" t="s">
        <v>18</v>
      </c>
      <c r="F2696" s="75" t="s">
        <v>1361</v>
      </c>
    </row>
    <row r="2697" spans="1:6" x14ac:dyDescent="0.3">
      <c r="A2697" s="75" t="s">
        <v>7413</v>
      </c>
      <c r="B2697" s="75" t="s">
        <v>7414</v>
      </c>
      <c r="C2697" s="75" t="s">
        <v>7415</v>
      </c>
      <c r="D2697" s="75" t="s">
        <v>13</v>
      </c>
      <c r="E2697" s="75" t="s">
        <v>8</v>
      </c>
      <c r="F2697" s="75" t="s">
        <v>23</v>
      </c>
    </row>
    <row r="2698" spans="1:6" x14ac:dyDescent="0.3">
      <c r="A2698" s="75" t="s">
        <v>7416</v>
      </c>
      <c r="B2698" s="75" t="s">
        <v>7417</v>
      </c>
      <c r="C2698" s="75" t="s">
        <v>7418</v>
      </c>
      <c r="D2698" s="75" t="s">
        <v>13</v>
      </c>
      <c r="E2698" s="75" t="s">
        <v>8</v>
      </c>
      <c r="F2698" s="75" t="s">
        <v>27</v>
      </c>
    </row>
    <row r="2699" spans="1:6" x14ac:dyDescent="0.3">
      <c r="A2699" s="75" t="s">
        <v>7419</v>
      </c>
      <c r="B2699" s="75" t="s">
        <v>7420</v>
      </c>
      <c r="C2699" s="75" t="s">
        <v>7421</v>
      </c>
      <c r="D2699" s="75" t="s">
        <v>13</v>
      </c>
      <c r="E2699" s="75" t="s">
        <v>8</v>
      </c>
      <c r="F2699" s="75" t="s">
        <v>27</v>
      </c>
    </row>
    <row r="2700" spans="1:6" x14ac:dyDescent="0.3">
      <c r="A2700" s="75" t="s">
        <v>7422</v>
      </c>
      <c r="B2700" s="75" t="s">
        <v>7423</v>
      </c>
      <c r="C2700" s="75" t="s">
        <v>7424</v>
      </c>
      <c r="D2700" s="75" t="s">
        <v>13</v>
      </c>
      <c r="E2700" s="75" t="s">
        <v>8</v>
      </c>
      <c r="F2700" s="75" t="s">
        <v>579</v>
      </c>
    </row>
    <row r="2701" spans="1:6" x14ac:dyDescent="0.3">
      <c r="A2701" s="75" t="s">
        <v>7425</v>
      </c>
      <c r="B2701" s="75" t="s">
        <v>7426</v>
      </c>
      <c r="C2701" s="75" t="s">
        <v>7427</v>
      </c>
      <c r="D2701" s="75" t="s">
        <v>13</v>
      </c>
      <c r="E2701" s="75" t="s">
        <v>8</v>
      </c>
      <c r="F2701" s="75" t="s">
        <v>27</v>
      </c>
    </row>
    <row r="2702" spans="1:6" x14ac:dyDescent="0.3">
      <c r="A2702" s="75" t="s">
        <v>7428</v>
      </c>
      <c r="B2702" s="75" t="s">
        <v>7429</v>
      </c>
      <c r="C2702" s="75" t="s">
        <v>7430</v>
      </c>
      <c r="D2702" s="75" t="s">
        <v>13</v>
      </c>
      <c r="E2702" s="75" t="s">
        <v>8</v>
      </c>
      <c r="F2702" s="75" t="s">
        <v>27</v>
      </c>
    </row>
    <row r="2703" spans="1:6" x14ac:dyDescent="0.3">
      <c r="A2703" s="75" t="s">
        <v>7431</v>
      </c>
      <c r="B2703" s="75" t="s">
        <v>7432</v>
      </c>
      <c r="C2703" s="75" t="s">
        <v>7433</v>
      </c>
      <c r="D2703" s="75">
        <v>1993</v>
      </c>
      <c r="E2703" s="75" t="s">
        <v>8</v>
      </c>
      <c r="F2703" s="75" t="s">
        <v>27</v>
      </c>
    </row>
    <row r="2704" spans="1:6" x14ac:dyDescent="0.3">
      <c r="A2704" s="75" t="s">
        <v>7434</v>
      </c>
      <c r="B2704" s="75" t="s">
        <v>7435</v>
      </c>
      <c r="C2704" s="75" t="s">
        <v>7436</v>
      </c>
      <c r="D2704" s="75" t="s">
        <v>13</v>
      </c>
      <c r="E2704" s="75" t="s">
        <v>18</v>
      </c>
      <c r="F2704" s="75" t="s">
        <v>474</v>
      </c>
    </row>
    <row r="2705" spans="1:6" x14ac:dyDescent="0.3">
      <c r="A2705" s="75" t="s">
        <v>7437</v>
      </c>
      <c r="B2705" s="75" t="s">
        <v>7438</v>
      </c>
      <c r="C2705" s="75" t="s">
        <v>7439</v>
      </c>
      <c r="D2705" s="75" t="s">
        <v>13</v>
      </c>
      <c r="E2705" s="75" t="s">
        <v>96</v>
      </c>
      <c r="F2705" s="75" t="s">
        <v>76</v>
      </c>
    </row>
    <row r="2706" spans="1:6" x14ac:dyDescent="0.3">
      <c r="A2706" s="75" t="s">
        <v>7440</v>
      </c>
      <c r="B2706" s="75" t="s">
        <v>7441</v>
      </c>
      <c r="C2706" s="75" t="s">
        <v>7442</v>
      </c>
      <c r="D2706" s="75">
        <v>2014</v>
      </c>
      <c r="E2706" s="75" t="s">
        <v>44</v>
      </c>
      <c r="F2706" s="75" t="s">
        <v>7443</v>
      </c>
    </row>
    <row r="2707" spans="1:6" x14ac:dyDescent="0.3">
      <c r="A2707" s="75" t="s">
        <v>7444</v>
      </c>
      <c r="B2707" s="75" t="s">
        <v>7441</v>
      </c>
      <c r="C2707" s="75" t="s">
        <v>13</v>
      </c>
      <c r="D2707" s="75" t="s">
        <v>13</v>
      </c>
      <c r="E2707" s="75" t="s">
        <v>44</v>
      </c>
      <c r="F2707" s="75" t="s">
        <v>7443</v>
      </c>
    </row>
    <row r="2708" spans="1:6" x14ac:dyDescent="0.3">
      <c r="A2708" s="75" t="s">
        <v>7445</v>
      </c>
      <c r="B2708" s="75" t="s">
        <v>7446</v>
      </c>
      <c r="C2708" s="75" t="s">
        <v>7418</v>
      </c>
      <c r="D2708" s="75">
        <v>2015</v>
      </c>
      <c r="E2708" s="75" t="s">
        <v>70</v>
      </c>
      <c r="F2708" s="75" t="s">
        <v>118</v>
      </c>
    </row>
    <row r="2709" spans="1:6" x14ac:dyDescent="0.3">
      <c r="A2709" s="75" t="s">
        <v>7447</v>
      </c>
      <c r="B2709" s="75" t="s">
        <v>7448</v>
      </c>
      <c r="C2709" s="75" t="s">
        <v>7449</v>
      </c>
      <c r="D2709" s="75" t="s">
        <v>13</v>
      </c>
      <c r="E2709" s="75" t="s">
        <v>53</v>
      </c>
      <c r="F2709" s="75" t="s">
        <v>4704</v>
      </c>
    </row>
    <row r="2710" spans="1:6" x14ac:dyDescent="0.3">
      <c r="A2710" s="75" t="s">
        <v>7450</v>
      </c>
      <c r="B2710" s="75" t="s">
        <v>7451</v>
      </c>
      <c r="C2710" s="75" t="s">
        <v>7430</v>
      </c>
      <c r="D2710" s="75" t="s">
        <v>13</v>
      </c>
      <c r="E2710" s="75" t="s">
        <v>348</v>
      </c>
      <c r="F2710" s="75" t="s">
        <v>1936</v>
      </c>
    </row>
    <row r="2711" spans="1:6" x14ac:dyDescent="0.3">
      <c r="A2711" s="75" t="s">
        <v>7452</v>
      </c>
      <c r="B2711" s="75" t="s">
        <v>7453</v>
      </c>
      <c r="C2711" s="75" t="s">
        <v>7454</v>
      </c>
      <c r="D2711" s="75" t="s">
        <v>13</v>
      </c>
      <c r="E2711" s="75" t="s">
        <v>13</v>
      </c>
      <c r="F2711" s="75" t="s">
        <v>13</v>
      </c>
    </row>
    <row r="2712" spans="1:6" x14ac:dyDescent="0.3">
      <c r="A2712" s="75" t="s">
        <v>7455</v>
      </c>
      <c r="B2712" s="75" t="s">
        <v>7456</v>
      </c>
      <c r="C2712" s="75" t="s">
        <v>7457</v>
      </c>
      <c r="D2712" s="75" t="s">
        <v>13</v>
      </c>
      <c r="E2712" s="75" t="s">
        <v>70</v>
      </c>
      <c r="F2712" s="75" t="s">
        <v>71</v>
      </c>
    </row>
    <row r="2713" spans="1:6" x14ac:dyDescent="0.3">
      <c r="A2713" s="75" t="s">
        <v>7458</v>
      </c>
      <c r="B2713" s="75" t="s">
        <v>7459</v>
      </c>
      <c r="C2713" s="75" t="s">
        <v>7460</v>
      </c>
      <c r="D2713" s="75" t="s">
        <v>13</v>
      </c>
      <c r="E2713" s="75" t="s">
        <v>31</v>
      </c>
      <c r="F2713" s="75" t="s">
        <v>161</v>
      </c>
    </row>
    <row r="2714" spans="1:6" x14ac:dyDescent="0.3">
      <c r="A2714" s="75" t="s">
        <v>7461</v>
      </c>
      <c r="B2714" s="75" t="s">
        <v>7462</v>
      </c>
      <c r="C2714" s="75" t="s">
        <v>7463</v>
      </c>
      <c r="D2714" s="75" t="s">
        <v>13</v>
      </c>
      <c r="E2714" s="75" t="s">
        <v>96</v>
      </c>
      <c r="F2714" s="75" t="s">
        <v>97</v>
      </c>
    </row>
    <row r="2715" spans="1:6" x14ac:dyDescent="0.3">
      <c r="A2715" s="75" t="s">
        <v>7464</v>
      </c>
      <c r="B2715" s="75" t="s">
        <v>7465</v>
      </c>
      <c r="C2715" s="75" t="s">
        <v>7466</v>
      </c>
      <c r="D2715" s="75" t="s">
        <v>13</v>
      </c>
      <c r="E2715" s="75" t="s">
        <v>31</v>
      </c>
      <c r="F2715" s="75" t="s">
        <v>92</v>
      </c>
    </row>
    <row r="2716" spans="1:6" x14ac:dyDescent="0.3">
      <c r="A2716" s="75" t="s">
        <v>7467</v>
      </c>
      <c r="B2716" s="75" t="s">
        <v>7468</v>
      </c>
      <c r="C2716" s="75" t="s">
        <v>7469</v>
      </c>
      <c r="D2716" s="75">
        <v>2011</v>
      </c>
      <c r="E2716" s="75" t="s">
        <v>283</v>
      </c>
      <c r="F2716" s="75" t="s">
        <v>284</v>
      </c>
    </row>
    <row r="2717" spans="1:6" x14ac:dyDescent="0.3">
      <c r="A2717" s="75" t="s">
        <v>7470</v>
      </c>
      <c r="B2717" s="75" t="s">
        <v>7471</v>
      </c>
      <c r="C2717" s="75" t="s">
        <v>362</v>
      </c>
      <c r="D2717" s="75">
        <v>2012</v>
      </c>
      <c r="E2717" s="75" t="s">
        <v>31</v>
      </c>
      <c r="F2717" s="75" t="s">
        <v>36</v>
      </c>
    </row>
    <row r="2718" spans="1:6" x14ac:dyDescent="0.3">
      <c r="A2718" s="75" t="s">
        <v>7472</v>
      </c>
      <c r="B2718" s="75" t="s">
        <v>7473</v>
      </c>
      <c r="C2718" s="75" t="s">
        <v>7474</v>
      </c>
      <c r="D2718" s="75" t="s">
        <v>13</v>
      </c>
      <c r="E2718" s="75" t="s">
        <v>44</v>
      </c>
      <c r="F2718" s="75" t="s">
        <v>49</v>
      </c>
    </row>
    <row r="2719" spans="1:6" x14ac:dyDescent="0.3">
      <c r="A2719" s="75" t="s">
        <v>7475</v>
      </c>
      <c r="B2719" s="75" t="s">
        <v>7476</v>
      </c>
      <c r="C2719" s="75" t="s">
        <v>2973</v>
      </c>
      <c r="D2719" s="75">
        <v>2014</v>
      </c>
      <c r="E2719" s="75" t="s">
        <v>18</v>
      </c>
      <c r="F2719" s="75" t="s">
        <v>19</v>
      </c>
    </row>
    <row r="2720" spans="1:6" x14ac:dyDescent="0.3">
      <c r="A2720" s="75" t="s">
        <v>7477</v>
      </c>
      <c r="B2720" s="75" t="s">
        <v>7478</v>
      </c>
      <c r="C2720" s="75" t="s">
        <v>7479</v>
      </c>
      <c r="D2720" s="75">
        <v>2016</v>
      </c>
      <c r="E2720" s="75" t="s">
        <v>70</v>
      </c>
      <c r="F2720" s="75" t="s">
        <v>71</v>
      </c>
    </row>
    <row r="2721" spans="1:6" x14ac:dyDescent="0.3">
      <c r="A2721" s="75" t="s">
        <v>7480</v>
      </c>
      <c r="B2721" s="75" t="s">
        <v>7481</v>
      </c>
      <c r="C2721" s="75" t="s">
        <v>7482</v>
      </c>
      <c r="D2721" s="75" t="s">
        <v>13</v>
      </c>
      <c r="E2721" s="75" t="s">
        <v>13</v>
      </c>
      <c r="F2721" s="75" t="s">
        <v>13</v>
      </c>
    </row>
    <row r="2722" spans="1:6" x14ac:dyDescent="0.3">
      <c r="A2722" s="75" t="s">
        <v>7483</v>
      </c>
      <c r="B2722" s="75" t="s">
        <v>7484</v>
      </c>
      <c r="C2722" s="75" t="s">
        <v>7485</v>
      </c>
      <c r="D2722" s="75">
        <v>2013</v>
      </c>
      <c r="E2722" s="75" t="s">
        <v>18</v>
      </c>
      <c r="F2722" s="75" t="s">
        <v>2312</v>
      </c>
    </row>
    <row r="2723" spans="1:6" x14ac:dyDescent="0.3">
      <c r="A2723" s="75" t="s">
        <v>7486</v>
      </c>
      <c r="B2723" s="75" t="s">
        <v>7487</v>
      </c>
      <c r="C2723" s="75" t="s">
        <v>7488</v>
      </c>
      <c r="D2723" s="75">
        <v>2010</v>
      </c>
      <c r="E2723" s="75" t="s">
        <v>31</v>
      </c>
      <c r="F2723" s="75" t="s">
        <v>36</v>
      </c>
    </row>
    <row r="2724" spans="1:6" x14ac:dyDescent="0.3">
      <c r="A2724" s="75" t="s">
        <v>7489</v>
      </c>
      <c r="B2724" s="75" t="s">
        <v>7490</v>
      </c>
      <c r="C2724" s="75" t="s">
        <v>7491</v>
      </c>
      <c r="D2724" s="75">
        <v>2010</v>
      </c>
      <c r="E2724" s="75" t="s">
        <v>31</v>
      </c>
      <c r="F2724" s="75" t="s">
        <v>36</v>
      </c>
    </row>
    <row r="2725" spans="1:6" x14ac:dyDescent="0.3">
      <c r="A2725" s="75" t="s">
        <v>7492</v>
      </c>
      <c r="B2725" s="75" t="s">
        <v>7493</v>
      </c>
      <c r="C2725" s="75" t="s">
        <v>196</v>
      </c>
      <c r="D2725" s="75" t="s">
        <v>13</v>
      </c>
      <c r="E2725" s="75" t="s">
        <v>58</v>
      </c>
      <c r="F2725" s="75" t="s">
        <v>1773</v>
      </c>
    </row>
    <row r="2726" spans="1:6" x14ac:dyDescent="0.3">
      <c r="A2726" s="75" t="s">
        <v>7494</v>
      </c>
      <c r="B2726" s="75" t="s">
        <v>7495</v>
      </c>
      <c r="C2726" s="75" t="s">
        <v>7496</v>
      </c>
      <c r="D2726" s="75" t="s">
        <v>13</v>
      </c>
      <c r="E2726" s="75" t="s">
        <v>70</v>
      </c>
      <c r="F2726" s="75" t="s">
        <v>7497</v>
      </c>
    </row>
    <row r="2727" spans="1:6" x14ac:dyDescent="0.3">
      <c r="A2727" s="75" t="s">
        <v>7498</v>
      </c>
      <c r="B2727" s="75" t="s">
        <v>7499</v>
      </c>
      <c r="C2727" s="75" t="s">
        <v>7500</v>
      </c>
      <c r="D2727" s="75">
        <v>1996</v>
      </c>
      <c r="E2727" s="75" t="s">
        <v>31</v>
      </c>
      <c r="F2727" s="75" t="s">
        <v>1032</v>
      </c>
    </row>
    <row r="2728" spans="1:6" x14ac:dyDescent="0.3">
      <c r="A2728" s="75" t="s">
        <v>7501</v>
      </c>
      <c r="B2728" s="75" t="s">
        <v>7502</v>
      </c>
      <c r="C2728" s="75" t="s">
        <v>7503</v>
      </c>
      <c r="D2728" s="75">
        <v>1999</v>
      </c>
      <c r="E2728" s="75" t="s">
        <v>96</v>
      </c>
      <c r="F2728" s="75" t="s">
        <v>76</v>
      </c>
    </row>
    <row r="2729" spans="1:6" x14ac:dyDescent="0.3">
      <c r="A2729" s="75" t="s">
        <v>7504</v>
      </c>
      <c r="B2729" s="75" t="s">
        <v>7505</v>
      </c>
      <c r="C2729" s="75" t="s">
        <v>7506</v>
      </c>
      <c r="D2729" s="75" t="s">
        <v>13</v>
      </c>
      <c r="E2729" s="75" t="s">
        <v>518</v>
      </c>
      <c r="F2729" s="75" t="s">
        <v>630</v>
      </c>
    </row>
    <row r="2730" spans="1:6" x14ac:dyDescent="0.3">
      <c r="A2730" s="75" t="s">
        <v>7507</v>
      </c>
      <c r="B2730" s="75" t="s">
        <v>7508</v>
      </c>
      <c r="C2730" s="75" t="s">
        <v>7509</v>
      </c>
      <c r="D2730" s="75">
        <v>1989</v>
      </c>
      <c r="E2730" s="75" t="s">
        <v>18</v>
      </c>
      <c r="F2730" s="75" t="s">
        <v>19</v>
      </c>
    </row>
    <row r="2731" spans="1:6" x14ac:dyDescent="0.3">
      <c r="A2731" s="75" t="s">
        <v>7510</v>
      </c>
      <c r="B2731" s="75" t="s">
        <v>7511</v>
      </c>
      <c r="C2731" s="75" t="s">
        <v>7512</v>
      </c>
      <c r="D2731" s="75" t="s">
        <v>13</v>
      </c>
      <c r="E2731" s="75" t="s">
        <v>283</v>
      </c>
      <c r="F2731" s="75" t="s">
        <v>1449</v>
      </c>
    </row>
    <row r="2732" spans="1:6" x14ac:dyDescent="0.3">
      <c r="A2732" s="75" t="s">
        <v>7513</v>
      </c>
      <c r="B2732" s="75" t="s">
        <v>7511</v>
      </c>
      <c r="C2732" s="75" t="s">
        <v>13</v>
      </c>
      <c r="D2732" s="75" t="s">
        <v>13</v>
      </c>
      <c r="E2732" s="75" t="s">
        <v>283</v>
      </c>
      <c r="F2732" s="75" t="s">
        <v>1449</v>
      </c>
    </row>
    <row r="2733" spans="1:6" x14ac:dyDescent="0.3">
      <c r="A2733" s="75" t="s">
        <v>7514</v>
      </c>
      <c r="B2733" s="75" t="s">
        <v>7515</v>
      </c>
      <c r="C2733" s="75" t="s">
        <v>7516</v>
      </c>
      <c r="D2733" s="75">
        <v>1992</v>
      </c>
      <c r="E2733" s="75" t="s">
        <v>18</v>
      </c>
      <c r="F2733" s="75" t="s">
        <v>729</v>
      </c>
    </row>
    <row r="2734" spans="1:6" x14ac:dyDescent="0.3">
      <c r="A2734" s="75" t="s">
        <v>7517</v>
      </c>
      <c r="B2734" s="75" t="s">
        <v>7518</v>
      </c>
      <c r="C2734" s="75" t="s">
        <v>279</v>
      </c>
      <c r="D2734" s="75">
        <v>1991</v>
      </c>
      <c r="E2734" s="75" t="s">
        <v>8</v>
      </c>
      <c r="F2734" s="75" t="s">
        <v>9</v>
      </c>
    </row>
    <row r="2735" spans="1:6" x14ac:dyDescent="0.3">
      <c r="A2735" s="75" t="s">
        <v>7519</v>
      </c>
      <c r="B2735" s="75" t="s">
        <v>7520</v>
      </c>
      <c r="C2735" s="75" t="s">
        <v>66</v>
      </c>
      <c r="D2735" s="75" t="s">
        <v>13</v>
      </c>
      <c r="E2735" s="75" t="s">
        <v>8</v>
      </c>
      <c r="F2735" s="75" t="s">
        <v>27</v>
      </c>
    </row>
    <row r="2736" spans="1:6" x14ac:dyDescent="0.3">
      <c r="A2736" s="75" t="s">
        <v>7521</v>
      </c>
      <c r="B2736" s="75" t="s">
        <v>7522</v>
      </c>
      <c r="C2736" s="75" t="s">
        <v>7523</v>
      </c>
      <c r="D2736" s="75" t="s">
        <v>13</v>
      </c>
      <c r="E2736" s="75" t="s">
        <v>8</v>
      </c>
      <c r="F2736" s="75" t="s">
        <v>9</v>
      </c>
    </row>
    <row r="2737" spans="1:6" x14ac:dyDescent="0.3">
      <c r="A2737" s="75" t="s">
        <v>7524</v>
      </c>
      <c r="B2737" s="75" t="s">
        <v>7525</v>
      </c>
      <c r="C2737" s="75" t="s">
        <v>7526</v>
      </c>
      <c r="D2737" s="75">
        <v>2015</v>
      </c>
      <c r="E2737" s="75" t="s">
        <v>70</v>
      </c>
      <c r="F2737" s="75" t="s">
        <v>71</v>
      </c>
    </row>
    <row r="2738" spans="1:6" x14ac:dyDescent="0.3">
      <c r="A2738" s="75" t="s">
        <v>7527</v>
      </c>
      <c r="B2738" s="75" t="s">
        <v>7528</v>
      </c>
      <c r="C2738" s="75" t="s">
        <v>7529</v>
      </c>
      <c r="D2738" s="75">
        <v>2005</v>
      </c>
      <c r="E2738" s="75" t="s">
        <v>283</v>
      </c>
      <c r="F2738" s="75" t="s">
        <v>1449</v>
      </c>
    </row>
    <row r="2739" spans="1:6" x14ac:dyDescent="0.3">
      <c r="A2739" s="75" t="s">
        <v>7530</v>
      </c>
      <c r="B2739" s="75" t="s">
        <v>7531</v>
      </c>
      <c r="C2739" s="75" t="s">
        <v>7532</v>
      </c>
      <c r="D2739" s="75">
        <v>1996</v>
      </c>
      <c r="E2739" s="75" t="s">
        <v>58</v>
      </c>
      <c r="F2739" s="75" t="s">
        <v>3547</v>
      </c>
    </row>
    <row r="2740" spans="1:6" x14ac:dyDescent="0.3">
      <c r="A2740" s="75" t="s">
        <v>7533</v>
      </c>
      <c r="B2740" s="75" t="s">
        <v>7534</v>
      </c>
      <c r="C2740" s="75" t="s">
        <v>7535</v>
      </c>
      <c r="D2740" s="75">
        <v>1992</v>
      </c>
      <c r="E2740" s="75" t="s">
        <v>18</v>
      </c>
      <c r="F2740" s="75" t="s">
        <v>762</v>
      </c>
    </row>
    <row r="2741" spans="1:6" x14ac:dyDescent="0.3">
      <c r="A2741" s="75" t="s">
        <v>7536</v>
      </c>
      <c r="B2741" s="75" t="s">
        <v>7537</v>
      </c>
      <c r="C2741" s="75" t="s">
        <v>7538</v>
      </c>
      <c r="D2741" s="75">
        <v>2016</v>
      </c>
      <c r="E2741" s="75" t="s">
        <v>8</v>
      </c>
      <c r="F2741" s="75" t="s">
        <v>76</v>
      </c>
    </row>
    <row r="2742" spans="1:6" x14ac:dyDescent="0.3">
      <c r="A2742" s="75" t="s">
        <v>7539</v>
      </c>
      <c r="B2742" s="75" t="s">
        <v>7537</v>
      </c>
      <c r="C2742" s="75" t="s">
        <v>13</v>
      </c>
      <c r="D2742" s="75">
        <v>2016</v>
      </c>
      <c r="E2742" s="75" t="s">
        <v>8</v>
      </c>
      <c r="F2742" s="75" t="s">
        <v>76</v>
      </c>
    </row>
    <row r="2743" spans="1:6" x14ac:dyDescent="0.3">
      <c r="A2743" s="75" t="s">
        <v>7540</v>
      </c>
      <c r="B2743" s="75" t="s">
        <v>7537</v>
      </c>
      <c r="C2743" s="75" t="s">
        <v>13</v>
      </c>
      <c r="D2743" s="75">
        <v>2016</v>
      </c>
      <c r="E2743" s="75" t="s">
        <v>8</v>
      </c>
      <c r="F2743" s="75" t="s">
        <v>76</v>
      </c>
    </row>
    <row r="2744" spans="1:6" x14ac:dyDescent="0.3">
      <c r="A2744" s="75" t="s">
        <v>7541</v>
      </c>
      <c r="B2744" s="75" t="s">
        <v>7542</v>
      </c>
      <c r="C2744" s="75" t="s">
        <v>7543</v>
      </c>
      <c r="D2744" s="75" t="s">
        <v>13</v>
      </c>
      <c r="E2744" s="75" t="s">
        <v>70</v>
      </c>
      <c r="F2744" s="75" t="s">
        <v>71</v>
      </c>
    </row>
    <row r="2745" spans="1:6" x14ac:dyDescent="0.3">
      <c r="A2745" s="75" t="s">
        <v>7544</v>
      </c>
      <c r="B2745" s="75" t="s">
        <v>7545</v>
      </c>
      <c r="C2745" s="75" t="s">
        <v>7546</v>
      </c>
      <c r="D2745" s="75">
        <v>2013</v>
      </c>
      <c r="E2745" s="75" t="s">
        <v>70</v>
      </c>
      <c r="F2745" s="75" t="s">
        <v>71</v>
      </c>
    </row>
    <row r="2746" spans="1:6" x14ac:dyDescent="0.3">
      <c r="A2746" s="75" t="s">
        <v>7547</v>
      </c>
      <c r="B2746" s="75" t="s">
        <v>7548</v>
      </c>
      <c r="C2746" s="75" t="s">
        <v>7549</v>
      </c>
      <c r="D2746" s="75">
        <v>1996</v>
      </c>
      <c r="E2746" s="75" t="s">
        <v>58</v>
      </c>
      <c r="F2746" s="75" t="s">
        <v>1520</v>
      </c>
    </row>
    <row r="2747" spans="1:6" x14ac:dyDescent="0.3">
      <c r="A2747" s="75" t="s">
        <v>7550</v>
      </c>
      <c r="B2747" s="75" t="s">
        <v>7548</v>
      </c>
      <c r="C2747" s="75" t="s">
        <v>13</v>
      </c>
      <c r="D2747" s="75" t="s">
        <v>13</v>
      </c>
      <c r="E2747" s="75" t="s">
        <v>58</v>
      </c>
      <c r="F2747" s="75" t="s">
        <v>1520</v>
      </c>
    </row>
    <row r="2748" spans="1:6" x14ac:dyDescent="0.3">
      <c r="A2748" s="75" t="s">
        <v>7551</v>
      </c>
      <c r="B2748" s="75" t="s">
        <v>7552</v>
      </c>
      <c r="C2748" s="75" t="s">
        <v>7553</v>
      </c>
      <c r="D2748" s="75" t="s">
        <v>13</v>
      </c>
      <c r="E2748" s="75" t="s">
        <v>58</v>
      </c>
      <c r="F2748" s="75" t="s">
        <v>794</v>
      </c>
    </row>
    <row r="2749" spans="1:6" x14ac:dyDescent="0.3">
      <c r="A2749" s="75" t="s">
        <v>7554</v>
      </c>
      <c r="B2749" s="75" t="s">
        <v>7555</v>
      </c>
      <c r="C2749" s="75" t="s">
        <v>7556</v>
      </c>
      <c r="D2749" s="75">
        <v>1993</v>
      </c>
      <c r="E2749" s="75" t="s">
        <v>348</v>
      </c>
      <c r="F2749" s="75" t="s">
        <v>2177</v>
      </c>
    </row>
    <row r="2750" spans="1:6" x14ac:dyDescent="0.3">
      <c r="A2750" s="75" t="s">
        <v>7557</v>
      </c>
      <c r="B2750" s="75" t="s">
        <v>7558</v>
      </c>
      <c r="C2750" s="75" t="s">
        <v>7559</v>
      </c>
      <c r="D2750" s="75" t="s">
        <v>13</v>
      </c>
      <c r="E2750" s="75" t="s">
        <v>8</v>
      </c>
      <c r="F2750" s="75" t="s">
        <v>27</v>
      </c>
    </row>
    <row r="2751" spans="1:6" x14ac:dyDescent="0.3">
      <c r="A2751" s="75" t="s">
        <v>7560</v>
      </c>
      <c r="B2751" s="75" t="s">
        <v>7561</v>
      </c>
      <c r="C2751" s="75" t="s">
        <v>7562</v>
      </c>
      <c r="D2751" s="75" t="s">
        <v>13</v>
      </c>
      <c r="E2751" s="75" t="s">
        <v>8</v>
      </c>
      <c r="F2751" s="75" t="s">
        <v>27</v>
      </c>
    </row>
    <row r="2752" spans="1:6" x14ac:dyDescent="0.3">
      <c r="A2752" s="75" t="s">
        <v>7563</v>
      </c>
      <c r="B2752" s="75" t="s">
        <v>7564</v>
      </c>
      <c r="C2752" s="75" t="s">
        <v>7565</v>
      </c>
      <c r="D2752" s="75" t="s">
        <v>13</v>
      </c>
      <c r="E2752" s="75" t="s">
        <v>13</v>
      </c>
      <c r="F2752" s="75" t="s">
        <v>13</v>
      </c>
    </row>
    <row r="2753" spans="1:6" x14ac:dyDescent="0.3">
      <c r="A2753" s="75" t="s">
        <v>7566</v>
      </c>
      <c r="B2753" s="75" t="s">
        <v>7567</v>
      </c>
      <c r="C2753" s="75" t="s">
        <v>7568</v>
      </c>
      <c r="D2753" s="75" t="s">
        <v>13</v>
      </c>
      <c r="E2753" s="75" t="s">
        <v>13</v>
      </c>
      <c r="F2753" s="75" t="s">
        <v>13</v>
      </c>
    </row>
    <row r="2754" spans="1:6" x14ac:dyDescent="0.3">
      <c r="A2754" s="75" t="s">
        <v>7569</v>
      </c>
      <c r="B2754" s="75" t="s">
        <v>7570</v>
      </c>
      <c r="C2754" s="75" t="s">
        <v>3631</v>
      </c>
      <c r="D2754" s="75" t="s">
        <v>13</v>
      </c>
      <c r="E2754" s="75" t="s">
        <v>70</v>
      </c>
      <c r="F2754" s="75" t="s">
        <v>80</v>
      </c>
    </row>
    <row r="2755" spans="1:6" x14ac:dyDescent="0.3">
      <c r="A2755" s="75" t="s">
        <v>7571</v>
      </c>
      <c r="B2755" s="75" t="s">
        <v>7572</v>
      </c>
      <c r="C2755" s="75" t="s">
        <v>48</v>
      </c>
      <c r="D2755" s="75">
        <v>1994</v>
      </c>
      <c r="E2755" s="75" t="s">
        <v>31</v>
      </c>
      <c r="F2755" s="75" t="s">
        <v>798</v>
      </c>
    </row>
    <row r="2756" spans="1:6" x14ac:dyDescent="0.3">
      <c r="A2756" s="75" t="s">
        <v>7573</v>
      </c>
      <c r="B2756" s="75" t="s">
        <v>7574</v>
      </c>
      <c r="C2756" s="75" t="s">
        <v>7575</v>
      </c>
      <c r="D2756" s="75" t="s">
        <v>13</v>
      </c>
      <c r="E2756" s="75" t="s">
        <v>53</v>
      </c>
      <c r="F2756" s="75" t="s">
        <v>193</v>
      </c>
    </row>
    <row r="2757" spans="1:6" x14ac:dyDescent="0.3">
      <c r="A2757" s="75" t="s">
        <v>7576</v>
      </c>
      <c r="B2757" s="75" t="s">
        <v>7577</v>
      </c>
      <c r="C2757" s="75" t="s">
        <v>7578</v>
      </c>
      <c r="D2757" s="75" t="s">
        <v>13</v>
      </c>
      <c r="E2757" s="75" t="s">
        <v>18</v>
      </c>
      <c r="F2757" s="75" t="s">
        <v>54</v>
      </c>
    </row>
    <row r="2758" spans="1:6" x14ac:dyDescent="0.3">
      <c r="A2758" s="75" t="s">
        <v>7579</v>
      </c>
      <c r="B2758" s="75" t="s">
        <v>7580</v>
      </c>
      <c r="C2758" s="75" t="s">
        <v>7581</v>
      </c>
      <c r="D2758" s="75">
        <v>1996</v>
      </c>
      <c r="E2758" s="75" t="s">
        <v>18</v>
      </c>
      <c r="F2758" s="75" t="s">
        <v>434</v>
      </c>
    </row>
    <row r="2759" spans="1:6" x14ac:dyDescent="0.3">
      <c r="A2759" s="75" t="s">
        <v>7582</v>
      </c>
      <c r="B2759" s="75" t="s">
        <v>7583</v>
      </c>
      <c r="C2759" s="75" t="s">
        <v>7584</v>
      </c>
      <c r="D2759" s="75" t="s">
        <v>13</v>
      </c>
      <c r="E2759" s="75" t="s">
        <v>31</v>
      </c>
      <c r="F2759" s="75" t="s">
        <v>161</v>
      </c>
    </row>
    <row r="2760" spans="1:6" x14ac:dyDescent="0.3">
      <c r="A2760" s="75" t="s">
        <v>7585</v>
      </c>
      <c r="B2760" s="75" t="s">
        <v>7586</v>
      </c>
      <c r="C2760" s="75" t="s">
        <v>7587</v>
      </c>
      <c r="D2760" s="75">
        <v>2015</v>
      </c>
      <c r="E2760" s="75" t="s">
        <v>70</v>
      </c>
      <c r="F2760" s="75" t="s">
        <v>71</v>
      </c>
    </row>
    <row r="2761" spans="1:6" x14ac:dyDescent="0.3">
      <c r="A2761" s="75" t="s">
        <v>7588</v>
      </c>
      <c r="B2761" s="75" t="s">
        <v>7589</v>
      </c>
      <c r="C2761" s="75" t="s">
        <v>7590</v>
      </c>
      <c r="D2761" s="75" t="s">
        <v>13</v>
      </c>
      <c r="E2761" s="75" t="s">
        <v>283</v>
      </c>
      <c r="F2761" s="75" t="s">
        <v>7591</v>
      </c>
    </row>
    <row r="2762" spans="1:6" x14ac:dyDescent="0.3">
      <c r="A2762" s="75" t="s">
        <v>7592</v>
      </c>
      <c r="B2762" s="75" t="s">
        <v>7593</v>
      </c>
      <c r="C2762" s="75" t="s">
        <v>7594</v>
      </c>
      <c r="D2762" s="75">
        <v>2007</v>
      </c>
      <c r="E2762" s="75" t="s">
        <v>70</v>
      </c>
      <c r="F2762" s="75" t="s">
        <v>71</v>
      </c>
    </row>
    <row r="2763" spans="1:6" x14ac:dyDescent="0.3">
      <c r="A2763" s="75" t="s">
        <v>7595</v>
      </c>
      <c r="B2763" s="75" t="s">
        <v>7596</v>
      </c>
      <c r="C2763" s="75" t="s">
        <v>6039</v>
      </c>
      <c r="D2763" s="75" t="s">
        <v>13</v>
      </c>
      <c r="E2763" s="75" t="s">
        <v>518</v>
      </c>
      <c r="F2763" s="75" t="s">
        <v>2287</v>
      </c>
    </row>
    <row r="2764" spans="1:6" x14ac:dyDescent="0.3">
      <c r="A2764" s="75" t="s">
        <v>7597</v>
      </c>
      <c r="B2764" s="75" t="s">
        <v>7598</v>
      </c>
      <c r="C2764" s="75" t="s">
        <v>7599</v>
      </c>
      <c r="D2764" s="75" t="s">
        <v>13</v>
      </c>
      <c r="E2764" s="75" t="s">
        <v>8</v>
      </c>
      <c r="F2764" s="75" t="s">
        <v>27</v>
      </c>
    </row>
    <row r="2765" spans="1:6" x14ac:dyDescent="0.3">
      <c r="A2765" s="75" t="s">
        <v>7600</v>
      </c>
      <c r="B2765" s="75" t="s">
        <v>7601</v>
      </c>
      <c r="C2765" s="75" t="s">
        <v>7602</v>
      </c>
      <c r="D2765" s="75">
        <v>2006</v>
      </c>
      <c r="E2765" s="75" t="s">
        <v>13</v>
      </c>
      <c r="F2765" s="75" t="s">
        <v>13</v>
      </c>
    </row>
    <row r="2766" spans="1:6" x14ac:dyDescent="0.3">
      <c r="A2766" s="75" t="s">
        <v>7603</v>
      </c>
      <c r="B2766" s="75" t="s">
        <v>7604</v>
      </c>
      <c r="C2766" s="75" t="s">
        <v>7605</v>
      </c>
      <c r="D2766" s="75">
        <v>2015</v>
      </c>
      <c r="E2766" s="75" t="s">
        <v>70</v>
      </c>
      <c r="F2766" s="75" t="s">
        <v>71</v>
      </c>
    </row>
    <row r="2767" spans="1:6" x14ac:dyDescent="0.3">
      <c r="A2767" s="75" t="s">
        <v>7606</v>
      </c>
      <c r="B2767" s="75" t="s">
        <v>7607</v>
      </c>
      <c r="C2767" s="75" t="s">
        <v>7608</v>
      </c>
      <c r="D2767" s="75" t="s">
        <v>13</v>
      </c>
      <c r="E2767" s="75" t="s">
        <v>8</v>
      </c>
      <c r="F2767" s="75" t="s">
        <v>998</v>
      </c>
    </row>
    <row r="2768" spans="1:6" x14ac:dyDescent="0.3">
      <c r="A2768" s="75" t="s">
        <v>7609</v>
      </c>
      <c r="B2768" s="75" t="s">
        <v>7610</v>
      </c>
      <c r="C2768" s="75" t="s">
        <v>620</v>
      </c>
      <c r="D2768" s="75">
        <v>1997</v>
      </c>
      <c r="E2768" s="75" t="s">
        <v>53</v>
      </c>
      <c r="F2768" s="75" t="s">
        <v>519</v>
      </c>
    </row>
    <row r="2769" spans="1:6" x14ac:dyDescent="0.3">
      <c r="A2769" s="75" t="s">
        <v>7611</v>
      </c>
      <c r="B2769" s="75" t="s">
        <v>7612</v>
      </c>
      <c r="C2769" s="75" t="s">
        <v>7613</v>
      </c>
      <c r="D2769" s="75" t="s">
        <v>13</v>
      </c>
      <c r="E2769" s="75" t="s">
        <v>84</v>
      </c>
      <c r="F2769" s="75" t="s">
        <v>85</v>
      </c>
    </row>
    <row r="2770" spans="1:6" x14ac:dyDescent="0.3">
      <c r="A2770" s="75" t="s">
        <v>7614</v>
      </c>
      <c r="B2770" s="75" t="s">
        <v>7615</v>
      </c>
      <c r="C2770" s="75" t="s">
        <v>7616</v>
      </c>
      <c r="D2770" s="75">
        <v>2005</v>
      </c>
      <c r="E2770" s="75" t="s">
        <v>70</v>
      </c>
      <c r="F2770" s="75" t="s">
        <v>71</v>
      </c>
    </row>
    <row r="2771" spans="1:6" x14ac:dyDescent="0.3">
      <c r="A2771" s="75" t="s">
        <v>7617</v>
      </c>
      <c r="B2771" s="75" t="s">
        <v>7618</v>
      </c>
      <c r="C2771" s="75" t="s">
        <v>7619</v>
      </c>
      <c r="D2771" s="75" t="s">
        <v>13</v>
      </c>
      <c r="E2771" s="75" t="s">
        <v>18</v>
      </c>
      <c r="F2771" s="75" t="s">
        <v>349</v>
      </c>
    </row>
    <row r="2772" spans="1:6" x14ac:dyDescent="0.3">
      <c r="A2772" s="75" t="s">
        <v>7620</v>
      </c>
      <c r="B2772" s="75" t="s">
        <v>7621</v>
      </c>
      <c r="C2772" s="75" t="s">
        <v>437</v>
      </c>
      <c r="D2772" s="75">
        <v>2005</v>
      </c>
      <c r="E2772" s="75" t="s">
        <v>31</v>
      </c>
      <c r="F2772" s="75" t="s">
        <v>92</v>
      </c>
    </row>
    <row r="2773" spans="1:6" x14ac:dyDescent="0.3">
      <c r="A2773" s="75" t="s">
        <v>7622</v>
      </c>
      <c r="B2773" s="75" t="s">
        <v>7623</v>
      </c>
      <c r="C2773" s="75" t="s">
        <v>7624</v>
      </c>
      <c r="D2773" s="75">
        <v>2015</v>
      </c>
      <c r="E2773" s="75" t="s">
        <v>53</v>
      </c>
      <c r="F2773" s="75" t="s">
        <v>353</v>
      </c>
    </row>
    <row r="2774" spans="1:6" x14ac:dyDescent="0.3">
      <c r="A2774" s="75" t="s">
        <v>7625</v>
      </c>
      <c r="B2774" s="75" t="s">
        <v>7626</v>
      </c>
      <c r="C2774" s="75" t="s">
        <v>7627</v>
      </c>
      <c r="D2774" s="75">
        <v>2014</v>
      </c>
      <c r="E2774" s="75" t="s">
        <v>8</v>
      </c>
      <c r="F2774" s="75" t="s">
        <v>23</v>
      </c>
    </row>
    <row r="2775" spans="1:6" x14ac:dyDescent="0.3">
      <c r="A2775" s="75" t="s">
        <v>7628</v>
      </c>
      <c r="B2775" s="75" t="s">
        <v>7629</v>
      </c>
      <c r="C2775" s="75" t="s">
        <v>4463</v>
      </c>
      <c r="D2775" s="75" t="s">
        <v>13</v>
      </c>
      <c r="E2775" s="75" t="s">
        <v>44</v>
      </c>
      <c r="F2775" s="75" t="s">
        <v>49</v>
      </c>
    </row>
    <row r="2776" spans="1:6" x14ac:dyDescent="0.3">
      <c r="A2776" s="75" t="s">
        <v>7630</v>
      </c>
      <c r="B2776" s="75" t="s">
        <v>7631</v>
      </c>
      <c r="C2776" s="75" t="s">
        <v>437</v>
      </c>
      <c r="D2776" s="75">
        <v>2007</v>
      </c>
      <c r="E2776" s="75" t="s">
        <v>31</v>
      </c>
      <c r="F2776" s="75" t="s">
        <v>626</v>
      </c>
    </row>
    <row r="2777" spans="1:6" x14ac:dyDescent="0.3">
      <c r="A2777" s="75" t="s">
        <v>7632</v>
      </c>
      <c r="B2777" s="75" t="s">
        <v>7633</v>
      </c>
      <c r="C2777" s="75" t="s">
        <v>7634</v>
      </c>
      <c r="D2777" s="75" t="s">
        <v>13</v>
      </c>
      <c r="E2777" s="75" t="s">
        <v>31</v>
      </c>
      <c r="F2777" s="75" t="s">
        <v>92</v>
      </c>
    </row>
    <row r="2778" spans="1:6" x14ac:dyDescent="0.3">
      <c r="A2778" s="75" t="s">
        <v>7635</v>
      </c>
      <c r="B2778" s="75" t="s">
        <v>7636</v>
      </c>
      <c r="C2778" s="75" t="s">
        <v>7637</v>
      </c>
      <c r="D2778" s="75">
        <v>1993</v>
      </c>
      <c r="E2778" s="75" t="s">
        <v>31</v>
      </c>
      <c r="F2778" s="75" t="s">
        <v>291</v>
      </c>
    </row>
    <row r="2779" spans="1:6" x14ac:dyDescent="0.3">
      <c r="A2779" s="75" t="s">
        <v>7638</v>
      </c>
      <c r="B2779" s="75" t="s">
        <v>7639</v>
      </c>
      <c r="C2779" s="75" t="s">
        <v>7640</v>
      </c>
      <c r="D2779" s="75" t="s">
        <v>13</v>
      </c>
      <c r="E2779" s="75" t="s">
        <v>348</v>
      </c>
      <c r="F2779" s="75" t="s">
        <v>1059</v>
      </c>
    </row>
    <row r="2780" spans="1:6" x14ac:dyDescent="0.3">
      <c r="A2780" s="75" t="s">
        <v>7641</v>
      </c>
      <c r="B2780" s="75" t="s">
        <v>7642</v>
      </c>
      <c r="C2780" s="75" t="s">
        <v>6183</v>
      </c>
      <c r="D2780" s="75">
        <v>2012</v>
      </c>
      <c r="E2780" s="75" t="s">
        <v>70</v>
      </c>
      <c r="F2780" s="75" t="s">
        <v>71</v>
      </c>
    </row>
    <row r="2781" spans="1:6" x14ac:dyDescent="0.3">
      <c r="A2781" s="75" t="s">
        <v>7643</v>
      </c>
      <c r="B2781" s="75" t="s">
        <v>7644</v>
      </c>
      <c r="C2781" s="75" t="s">
        <v>7645</v>
      </c>
      <c r="D2781" s="75">
        <v>2000</v>
      </c>
      <c r="E2781" s="75" t="s">
        <v>31</v>
      </c>
      <c r="F2781" s="75" t="s">
        <v>161</v>
      </c>
    </row>
    <row r="2782" spans="1:6" x14ac:dyDescent="0.3">
      <c r="A2782" s="75" t="s">
        <v>7646</v>
      </c>
      <c r="B2782" s="75" t="s">
        <v>7647</v>
      </c>
      <c r="C2782" s="75" t="s">
        <v>7648</v>
      </c>
      <c r="D2782" s="75">
        <v>2015</v>
      </c>
      <c r="E2782" s="75" t="s">
        <v>70</v>
      </c>
      <c r="F2782" s="75" t="s">
        <v>1375</v>
      </c>
    </row>
    <row r="2783" spans="1:6" x14ac:dyDescent="0.3">
      <c r="A2783" s="75" t="s">
        <v>7649</v>
      </c>
      <c r="B2783" s="75" t="s">
        <v>7650</v>
      </c>
      <c r="C2783" s="75" t="s">
        <v>7651</v>
      </c>
      <c r="D2783" s="75">
        <v>1998</v>
      </c>
      <c r="E2783" s="75" t="s">
        <v>70</v>
      </c>
      <c r="F2783" s="75" t="s">
        <v>80</v>
      </c>
    </row>
    <row r="2784" spans="1:6" x14ac:dyDescent="0.3">
      <c r="A2784" s="75" t="s">
        <v>7652</v>
      </c>
      <c r="B2784" s="75" t="s">
        <v>7653</v>
      </c>
      <c r="C2784" s="75" t="s">
        <v>7654</v>
      </c>
      <c r="D2784" s="75" t="s">
        <v>13</v>
      </c>
      <c r="E2784" s="75" t="s">
        <v>8</v>
      </c>
      <c r="F2784" s="75" t="s">
        <v>27</v>
      </c>
    </row>
    <row r="2785" spans="1:6" x14ac:dyDescent="0.3">
      <c r="A2785" s="75" t="s">
        <v>7655</v>
      </c>
      <c r="B2785" s="75" t="s">
        <v>7656</v>
      </c>
      <c r="C2785" s="75" t="s">
        <v>7657</v>
      </c>
      <c r="D2785" s="75" t="s">
        <v>13</v>
      </c>
      <c r="E2785" s="75" t="s">
        <v>8</v>
      </c>
      <c r="F2785" s="75" t="s">
        <v>27</v>
      </c>
    </row>
    <row r="2786" spans="1:6" x14ac:dyDescent="0.3">
      <c r="A2786" s="75" t="s">
        <v>7658</v>
      </c>
      <c r="B2786" s="75" t="s">
        <v>7656</v>
      </c>
      <c r="C2786" s="75" t="s">
        <v>13</v>
      </c>
      <c r="D2786" s="75" t="s">
        <v>13</v>
      </c>
      <c r="E2786" s="75" t="s">
        <v>8</v>
      </c>
      <c r="F2786" s="75" t="s">
        <v>27</v>
      </c>
    </row>
    <row r="2787" spans="1:6" x14ac:dyDescent="0.3">
      <c r="A2787" s="75" t="s">
        <v>7659</v>
      </c>
      <c r="B2787" s="75" t="s">
        <v>7660</v>
      </c>
      <c r="C2787" s="75" t="s">
        <v>7661</v>
      </c>
      <c r="D2787" s="75">
        <v>1996</v>
      </c>
      <c r="E2787" s="75" t="s">
        <v>31</v>
      </c>
      <c r="F2787" s="75" t="s">
        <v>161</v>
      </c>
    </row>
    <row r="2788" spans="1:6" x14ac:dyDescent="0.3">
      <c r="A2788" s="75" t="s">
        <v>7662</v>
      </c>
      <c r="B2788" s="75" t="s">
        <v>7663</v>
      </c>
      <c r="C2788" s="75" t="s">
        <v>7664</v>
      </c>
      <c r="D2788" s="75">
        <v>1989</v>
      </c>
      <c r="E2788" s="75" t="s">
        <v>31</v>
      </c>
      <c r="F2788" s="75" t="s">
        <v>36</v>
      </c>
    </row>
    <row r="2789" spans="1:6" x14ac:dyDescent="0.3">
      <c r="A2789" s="75" t="s">
        <v>7665</v>
      </c>
      <c r="B2789" s="75" t="s">
        <v>7666</v>
      </c>
      <c r="C2789" s="75" t="s">
        <v>7667</v>
      </c>
      <c r="D2789" s="75">
        <v>2012</v>
      </c>
      <c r="E2789" s="75" t="s">
        <v>31</v>
      </c>
      <c r="F2789" s="75" t="s">
        <v>32</v>
      </c>
    </row>
    <row r="2790" spans="1:6" x14ac:dyDescent="0.3">
      <c r="A2790" s="75" t="s">
        <v>7668</v>
      </c>
      <c r="B2790" s="75" t="s">
        <v>7669</v>
      </c>
      <c r="C2790" s="75" t="s">
        <v>7670</v>
      </c>
      <c r="D2790" s="75" t="s">
        <v>13</v>
      </c>
      <c r="E2790" s="75" t="s">
        <v>58</v>
      </c>
      <c r="F2790" s="75" t="s">
        <v>3547</v>
      </c>
    </row>
    <row r="2791" spans="1:6" x14ac:dyDescent="0.3">
      <c r="A2791" s="75" t="s">
        <v>7671</v>
      </c>
      <c r="B2791" s="75" t="s">
        <v>7672</v>
      </c>
      <c r="C2791" s="75" t="s">
        <v>612</v>
      </c>
      <c r="D2791" s="75">
        <v>2002</v>
      </c>
      <c r="E2791" s="75" t="s">
        <v>31</v>
      </c>
      <c r="F2791" s="75" t="s">
        <v>161</v>
      </c>
    </row>
    <row r="2792" spans="1:6" x14ac:dyDescent="0.3">
      <c r="A2792" s="75" t="s">
        <v>7673</v>
      </c>
      <c r="B2792" s="75" t="s">
        <v>7674</v>
      </c>
      <c r="C2792" s="75" t="s">
        <v>7675</v>
      </c>
      <c r="D2792" s="75">
        <v>2006</v>
      </c>
      <c r="E2792" s="75" t="s">
        <v>31</v>
      </c>
      <c r="F2792" s="75" t="s">
        <v>161</v>
      </c>
    </row>
    <row r="2793" spans="1:6" x14ac:dyDescent="0.3">
      <c r="A2793" s="75" t="s">
        <v>7676</v>
      </c>
      <c r="B2793" s="75" t="s">
        <v>7677</v>
      </c>
      <c r="C2793" s="75" t="s">
        <v>7678</v>
      </c>
      <c r="D2793" s="75">
        <v>2016</v>
      </c>
      <c r="E2793" s="75" t="s">
        <v>70</v>
      </c>
      <c r="F2793" s="75" t="s">
        <v>71</v>
      </c>
    </row>
    <row r="2794" spans="1:6" x14ac:dyDescent="0.3">
      <c r="A2794" s="75" t="s">
        <v>7679</v>
      </c>
      <c r="B2794" s="75" t="s">
        <v>7680</v>
      </c>
      <c r="C2794" s="75" t="s">
        <v>7681</v>
      </c>
      <c r="D2794" s="75" t="s">
        <v>13</v>
      </c>
      <c r="E2794" s="75" t="s">
        <v>70</v>
      </c>
      <c r="F2794" s="75" t="s">
        <v>71</v>
      </c>
    </row>
    <row r="2795" spans="1:6" x14ac:dyDescent="0.3">
      <c r="A2795" s="75" t="s">
        <v>7682</v>
      </c>
      <c r="B2795" s="75" t="s">
        <v>7683</v>
      </c>
      <c r="C2795" s="75" t="s">
        <v>7684</v>
      </c>
      <c r="D2795" s="75">
        <v>1992</v>
      </c>
      <c r="E2795" s="75" t="s">
        <v>31</v>
      </c>
      <c r="F2795" s="75" t="s">
        <v>36</v>
      </c>
    </row>
    <row r="2796" spans="1:6" x14ac:dyDescent="0.3">
      <c r="A2796" s="75" t="s">
        <v>7685</v>
      </c>
      <c r="B2796" s="75" t="s">
        <v>7686</v>
      </c>
      <c r="C2796" s="75" t="s">
        <v>3108</v>
      </c>
      <c r="D2796" s="75">
        <v>1997</v>
      </c>
      <c r="E2796" s="75" t="s">
        <v>31</v>
      </c>
      <c r="F2796" s="75" t="s">
        <v>161</v>
      </c>
    </row>
    <row r="2797" spans="1:6" x14ac:dyDescent="0.3">
      <c r="A2797" s="75" t="s">
        <v>7687</v>
      </c>
      <c r="B2797" s="75" t="s">
        <v>7688</v>
      </c>
      <c r="C2797" s="75" t="s">
        <v>7689</v>
      </c>
      <c r="D2797" s="75" t="s">
        <v>13</v>
      </c>
      <c r="E2797" s="75" t="s">
        <v>58</v>
      </c>
      <c r="F2797" s="75" t="s">
        <v>59</v>
      </c>
    </row>
    <row r="2798" spans="1:6" x14ac:dyDescent="0.3">
      <c r="A2798" s="75" t="s">
        <v>7690</v>
      </c>
      <c r="B2798" s="75" t="s">
        <v>7691</v>
      </c>
      <c r="C2798" s="75" t="s">
        <v>7692</v>
      </c>
      <c r="D2798" s="75" t="s">
        <v>13</v>
      </c>
      <c r="E2798" s="75" t="s">
        <v>53</v>
      </c>
      <c r="F2798" s="75" t="s">
        <v>63</v>
      </c>
    </row>
    <row r="2799" spans="1:6" x14ac:dyDescent="0.3">
      <c r="A2799" s="75" t="s">
        <v>7693</v>
      </c>
      <c r="B2799" s="75" t="s">
        <v>7694</v>
      </c>
      <c r="C2799" s="75" t="s">
        <v>7695</v>
      </c>
      <c r="D2799" s="75">
        <v>2016</v>
      </c>
      <c r="E2799" s="75" t="s">
        <v>70</v>
      </c>
      <c r="F2799" s="75" t="s">
        <v>71</v>
      </c>
    </row>
    <row r="2800" spans="1:6" x14ac:dyDescent="0.3">
      <c r="A2800" s="75" t="s">
        <v>7696</v>
      </c>
      <c r="B2800" s="75" t="s">
        <v>7697</v>
      </c>
      <c r="C2800" s="75" t="s">
        <v>7698</v>
      </c>
      <c r="D2800" s="75">
        <v>1986</v>
      </c>
      <c r="E2800" s="75" t="s">
        <v>8</v>
      </c>
      <c r="F2800" s="75" t="s">
        <v>1093</v>
      </c>
    </row>
    <row r="2801" spans="1:6" x14ac:dyDescent="0.3">
      <c r="A2801" s="75" t="s">
        <v>7699</v>
      </c>
      <c r="B2801" s="75" t="s">
        <v>7700</v>
      </c>
      <c r="C2801" s="75" t="s">
        <v>7701</v>
      </c>
      <c r="D2801" s="75">
        <v>2014</v>
      </c>
      <c r="E2801" s="75" t="s">
        <v>70</v>
      </c>
      <c r="F2801" s="75" t="s">
        <v>80</v>
      </c>
    </row>
    <row r="2802" spans="1:6" x14ac:dyDescent="0.3">
      <c r="A2802" s="75" t="s">
        <v>7702</v>
      </c>
      <c r="B2802" s="75" t="s">
        <v>7703</v>
      </c>
      <c r="C2802" s="75" t="s">
        <v>7704</v>
      </c>
      <c r="D2802" s="75">
        <v>2016</v>
      </c>
      <c r="E2802" s="75" t="s">
        <v>96</v>
      </c>
      <c r="F2802" s="75" t="s">
        <v>76</v>
      </c>
    </row>
    <row r="2803" spans="1:6" x14ac:dyDescent="0.3">
      <c r="A2803" s="75" t="s">
        <v>7705</v>
      </c>
      <c r="B2803" s="75" t="s">
        <v>7706</v>
      </c>
      <c r="C2803" s="75" t="s">
        <v>7707</v>
      </c>
      <c r="D2803" s="75">
        <v>2016</v>
      </c>
      <c r="E2803" s="75" t="s">
        <v>70</v>
      </c>
      <c r="F2803" s="75" t="s">
        <v>80</v>
      </c>
    </row>
    <row r="2804" spans="1:6" x14ac:dyDescent="0.3">
      <c r="A2804" s="75" t="s">
        <v>7708</v>
      </c>
      <c r="B2804" s="75" t="s">
        <v>7709</v>
      </c>
      <c r="C2804" s="75" t="s">
        <v>7710</v>
      </c>
      <c r="D2804" s="75">
        <v>1995</v>
      </c>
      <c r="E2804" s="75" t="s">
        <v>348</v>
      </c>
      <c r="F2804" s="75" t="s">
        <v>1427</v>
      </c>
    </row>
    <row r="2805" spans="1:6" x14ac:dyDescent="0.3">
      <c r="A2805" s="75" t="s">
        <v>7711</v>
      </c>
      <c r="B2805" s="75" t="s">
        <v>7712</v>
      </c>
      <c r="C2805" s="75" t="s">
        <v>7713</v>
      </c>
      <c r="D2805" s="75">
        <v>1997</v>
      </c>
      <c r="E2805" s="75" t="s">
        <v>31</v>
      </c>
      <c r="F2805" s="75" t="s">
        <v>36</v>
      </c>
    </row>
    <row r="2806" spans="1:6" x14ac:dyDescent="0.3">
      <c r="A2806" s="75" t="s">
        <v>7714</v>
      </c>
      <c r="B2806" s="75" t="s">
        <v>7715</v>
      </c>
      <c r="C2806" s="75" t="s">
        <v>533</v>
      </c>
      <c r="D2806" s="75">
        <v>2016</v>
      </c>
      <c r="E2806" s="75" t="s">
        <v>31</v>
      </c>
      <c r="F2806" s="75" t="s">
        <v>36</v>
      </c>
    </row>
    <row r="2807" spans="1:6" x14ac:dyDescent="0.3">
      <c r="A2807" s="75" t="s">
        <v>7716</v>
      </c>
      <c r="B2807" s="75" t="s">
        <v>7717</v>
      </c>
      <c r="C2807" s="75" t="s">
        <v>7718</v>
      </c>
      <c r="D2807" s="75">
        <v>2013</v>
      </c>
      <c r="E2807" s="75" t="s">
        <v>70</v>
      </c>
      <c r="F2807" s="75" t="s">
        <v>80</v>
      </c>
    </row>
    <row r="2808" spans="1:6" x14ac:dyDescent="0.3">
      <c r="A2808" s="75" t="s">
        <v>7719</v>
      </c>
      <c r="B2808" s="75" t="s">
        <v>7720</v>
      </c>
      <c r="C2808" s="75" t="s">
        <v>7721</v>
      </c>
      <c r="D2808" s="75" t="s">
        <v>13</v>
      </c>
      <c r="E2808" s="75" t="s">
        <v>348</v>
      </c>
      <c r="F2808" s="75" t="s">
        <v>1059</v>
      </c>
    </row>
    <row r="2809" spans="1:6" x14ac:dyDescent="0.3">
      <c r="A2809" s="75" t="s">
        <v>7722</v>
      </c>
      <c r="B2809" s="75" t="s">
        <v>7723</v>
      </c>
      <c r="C2809" s="75" t="s">
        <v>7724</v>
      </c>
      <c r="D2809" s="75">
        <v>2015</v>
      </c>
      <c r="E2809" s="75" t="s">
        <v>58</v>
      </c>
      <c r="F2809" s="75" t="s">
        <v>59</v>
      </c>
    </row>
    <row r="2810" spans="1:6" x14ac:dyDescent="0.3">
      <c r="A2810" s="75" t="s">
        <v>7725</v>
      </c>
      <c r="B2810" s="75" t="s">
        <v>7726</v>
      </c>
      <c r="C2810" s="75" t="s">
        <v>7727</v>
      </c>
      <c r="D2810" s="75" t="s">
        <v>13</v>
      </c>
      <c r="E2810" s="75" t="s">
        <v>70</v>
      </c>
      <c r="F2810" s="75" t="s">
        <v>71</v>
      </c>
    </row>
    <row r="2811" spans="1:6" x14ac:dyDescent="0.3">
      <c r="A2811" s="75" t="s">
        <v>7728</v>
      </c>
      <c r="B2811" s="75" t="s">
        <v>7729</v>
      </c>
      <c r="C2811" s="75" t="s">
        <v>3162</v>
      </c>
      <c r="D2811" s="75">
        <v>2014</v>
      </c>
      <c r="E2811" s="75" t="s">
        <v>18</v>
      </c>
      <c r="F2811" s="75" t="s">
        <v>434</v>
      </c>
    </row>
    <row r="2812" spans="1:6" x14ac:dyDescent="0.3">
      <c r="A2812" s="75" t="s">
        <v>7730</v>
      </c>
      <c r="B2812" s="75" t="s">
        <v>7731</v>
      </c>
      <c r="C2812" s="75" t="s">
        <v>7732</v>
      </c>
      <c r="D2812" s="75" t="s">
        <v>13</v>
      </c>
      <c r="E2812" s="75" t="s">
        <v>53</v>
      </c>
      <c r="F2812" s="75" t="s">
        <v>238</v>
      </c>
    </row>
    <row r="2813" spans="1:6" x14ac:dyDescent="0.3">
      <c r="A2813" s="75" t="s">
        <v>7733</v>
      </c>
      <c r="B2813" s="75" t="s">
        <v>7734</v>
      </c>
      <c r="C2813" s="75" t="s">
        <v>7735</v>
      </c>
      <c r="D2813" s="75" t="s">
        <v>13</v>
      </c>
      <c r="E2813" s="75" t="s">
        <v>53</v>
      </c>
      <c r="F2813" s="75" t="s">
        <v>63</v>
      </c>
    </row>
    <row r="2814" spans="1:6" x14ac:dyDescent="0.3">
      <c r="A2814" s="75" t="s">
        <v>7736</v>
      </c>
      <c r="B2814" s="75" t="s">
        <v>7737</v>
      </c>
      <c r="C2814" s="75" t="s">
        <v>7661</v>
      </c>
      <c r="D2814" s="75">
        <v>2017</v>
      </c>
      <c r="E2814" s="75" t="s">
        <v>13</v>
      </c>
      <c r="F2814" s="75" t="s">
        <v>13</v>
      </c>
    </row>
    <row r="2815" spans="1:6" x14ac:dyDescent="0.3">
      <c r="A2815" s="75" t="s">
        <v>7738</v>
      </c>
      <c r="B2815" s="75" t="s">
        <v>7739</v>
      </c>
      <c r="C2815" s="75" t="s">
        <v>7740</v>
      </c>
      <c r="D2815" s="75">
        <v>2012</v>
      </c>
      <c r="E2815" s="75" t="s">
        <v>13</v>
      </c>
      <c r="F2815" s="75" t="s">
        <v>13</v>
      </c>
    </row>
    <row r="2816" spans="1:6" x14ac:dyDescent="0.3">
      <c r="A2816" s="75" t="s">
        <v>7741</v>
      </c>
      <c r="B2816" s="75" t="s">
        <v>7742</v>
      </c>
      <c r="C2816" s="75" t="s">
        <v>7743</v>
      </c>
      <c r="D2816" s="75">
        <v>1997</v>
      </c>
      <c r="E2816" s="75" t="s">
        <v>8</v>
      </c>
      <c r="F2816" s="75" t="s">
        <v>1093</v>
      </c>
    </row>
    <row r="2817" spans="1:6" x14ac:dyDescent="0.3">
      <c r="A2817" s="75" t="s">
        <v>7744</v>
      </c>
      <c r="B2817" s="75" t="s">
        <v>7745</v>
      </c>
      <c r="C2817" s="75" t="s">
        <v>7746</v>
      </c>
      <c r="D2817" s="75" t="s">
        <v>13</v>
      </c>
      <c r="E2817" s="75" t="s">
        <v>70</v>
      </c>
      <c r="F2817" s="75" t="s">
        <v>80</v>
      </c>
    </row>
    <row r="2818" spans="1:6" x14ac:dyDescent="0.3">
      <c r="A2818" s="75" t="s">
        <v>7747</v>
      </c>
      <c r="B2818" s="75" t="s">
        <v>7748</v>
      </c>
      <c r="C2818" s="75" t="s">
        <v>7749</v>
      </c>
      <c r="D2818" s="75">
        <v>1986</v>
      </c>
      <c r="E2818" s="75" t="s">
        <v>31</v>
      </c>
      <c r="F2818" s="75" t="s">
        <v>2709</v>
      </c>
    </row>
    <row r="2819" spans="1:6" x14ac:dyDescent="0.3">
      <c r="A2819" s="75" t="s">
        <v>7750</v>
      </c>
      <c r="B2819" s="75" t="s">
        <v>7751</v>
      </c>
      <c r="C2819" s="75" t="s">
        <v>7752</v>
      </c>
      <c r="D2819" s="75" t="s">
        <v>13</v>
      </c>
      <c r="E2819" s="75" t="s">
        <v>31</v>
      </c>
      <c r="F2819" s="75" t="s">
        <v>291</v>
      </c>
    </row>
    <row r="2820" spans="1:6" x14ac:dyDescent="0.3">
      <c r="A2820" s="75" t="s">
        <v>7753</v>
      </c>
      <c r="B2820" s="75" t="s">
        <v>7754</v>
      </c>
      <c r="C2820" s="75" t="s">
        <v>7755</v>
      </c>
      <c r="D2820" s="75">
        <v>2007</v>
      </c>
      <c r="E2820" s="75" t="s">
        <v>96</v>
      </c>
      <c r="F2820" s="75" t="s">
        <v>76</v>
      </c>
    </row>
    <row r="2821" spans="1:6" x14ac:dyDescent="0.3">
      <c r="A2821" s="75" t="s">
        <v>7756</v>
      </c>
      <c r="B2821" s="75" t="s">
        <v>7757</v>
      </c>
      <c r="C2821" s="75" t="s">
        <v>7758</v>
      </c>
      <c r="D2821" s="75">
        <v>2012</v>
      </c>
      <c r="E2821" s="75" t="s">
        <v>518</v>
      </c>
      <c r="F2821" s="75" t="s">
        <v>1427</v>
      </c>
    </row>
    <row r="2822" spans="1:6" x14ac:dyDescent="0.3">
      <c r="A2822" s="75" t="s">
        <v>7759</v>
      </c>
      <c r="B2822" s="75" t="s">
        <v>7760</v>
      </c>
      <c r="C2822" s="75" t="s">
        <v>7761</v>
      </c>
      <c r="D2822" s="75">
        <v>2014</v>
      </c>
      <c r="E2822" s="75" t="s">
        <v>53</v>
      </c>
      <c r="F2822" s="75" t="s">
        <v>63</v>
      </c>
    </row>
    <row r="2823" spans="1:6" x14ac:dyDescent="0.3">
      <c r="A2823" s="75" t="s">
        <v>7762</v>
      </c>
      <c r="B2823" s="75" t="s">
        <v>7763</v>
      </c>
      <c r="C2823" s="75" t="s">
        <v>7764</v>
      </c>
      <c r="D2823" s="75">
        <v>2010</v>
      </c>
      <c r="E2823" s="75" t="s">
        <v>53</v>
      </c>
      <c r="F2823" s="75" t="s">
        <v>63</v>
      </c>
    </row>
    <row r="2824" spans="1:6" x14ac:dyDescent="0.3">
      <c r="A2824" s="75" t="s">
        <v>7765</v>
      </c>
      <c r="B2824" s="75" t="s">
        <v>7766</v>
      </c>
      <c r="C2824" s="75" t="s">
        <v>2745</v>
      </c>
      <c r="D2824" s="75">
        <v>1996</v>
      </c>
      <c r="E2824" s="75" t="s">
        <v>31</v>
      </c>
      <c r="F2824" s="75" t="s">
        <v>1032</v>
      </c>
    </row>
    <row r="2825" spans="1:6" x14ac:dyDescent="0.3">
      <c r="A2825" s="75" t="s">
        <v>7767</v>
      </c>
      <c r="B2825" s="75" t="s">
        <v>7768</v>
      </c>
      <c r="C2825" s="75" t="s">
        <v>7769</v>
      </c>
      <c r="D2825" s="75" t="s">
        <v>13</v>
      </c>
      <c r="E2825" s="75" t="s">
        <v>70</v>
      </c>
      <c r="F2825" s="75" t="s">
        <v>71</v>
      </c>
    </row>
    <row r="2826" spans="1:6" x14ac:dyDescent="0.3">
      <c r="A2826" s="75" t="s">
        <v>7770</v>
      </c>
      <c r="B2826" s="75" t="s">
        <v>7771</v>
      </c>
      <c r="C2826" s="75" t="s">
        <v>2991</v>
      </c>
      <c r="D2826" s="75" t="s">
        <v>13</v>
      </c>
      <c r="E2826" s="75" t="s">
        <v>84</v>
      </c>
      <c r="F2826" s="75" t="s">
        <v>85</v>
      </c>
    </row>
    <row r="2827" spans="1:6" x14ac:dyDescent="0.3">
      <c r="A2827" s="75" t="s">
        <v>7772</v>
      </c>
      <c r="B2827" s="75" t="s">
        <v>7773</v>
      </c>
      <c r="C2827" s="75" t="s">
        <v>7774</v>
      </c>
      <c r="D2827" s="75" t="s">
        <v>13</v>
      </c>
      <c r="E2827" s="75" t="s">
        <v>70</v>
      </c>
      <c r="F2827" s="75" t="s">
        <v>326</v>
      </c>
    </row>
    <row r="2828" spans="1:6" x14ac:dyDescent="0.3">
      <c r="A2828" s="75" t="s">
        <v>7775</v>
      </c>
      <c r="B2828" s="75" t="s">
        <v>7776</v>
      </c>
      <c r="C2828" s="75" t="s">
        <v>7777</v>
      </c>
      <c r="D2828" s="75">
        <v>2015</v>
      </c>
      <c r="E2828" s="75" t="s">
        <v>44</v>
      </c>
      <c r="F2828" s="75" t="s">
        <v>45</v>
      </c>
    </row>
    <row r="2829" spans="1:6" x14ac:dyDescent="0.3">
      <c r="A2829" s="75" t="s">
        <v>7778</v>
      </c>
      <c r="B2829" s="75" t="s">
        <v>7779</v>
      </c>
      <c r="C2829" s="75" t="s">
        <v>1364</v>
      </c>
      <c r="D2829" s="75">
        <v>2014</v>
      </c>
      <c r="E2829" s="75" t="s">
        <v>44</v>
      </c>
      <c r="F2829" s="75" t="s">
        <v>45</v>
      </c>
    </row>
    <row r="2830" spans="1:6" x14ac:dyDescent="0.3">
      <c r="A2830" s="75" t="s">
        <v>7780</v>
      </c>
      <c r="B2830" s="75" t="s">
        <v>7781</v>
      </c>
      <c r="C2830" s="75" t="s">
        <v>7782</v>
      </c>
      <c r="D2830" s="75">
        <v>2011</v>
      </c>
      <c r="E2830" s="75" t="s">
        <v>58</v>
      </c>
      <c r="F2830" s="75" t="s">
        <v>59</v>
      </c>
    </row>
    <row r="2831" spans="1:6" x14ac:dyDescent="0.3">
      <c r="A2831" s="75" t="s">
        <v>7783</v>
      </c>
      <c r="B2831" s="75" t="s">
        <v>7784</v>
      </c>
      <c r="C2831" s="75" t="s">
        <v>7785</v>
      </c>
      <c r="D2831" s="75">
        <v>2009</v>
      </c>
      <c r="E2831" s="75" t="s">
        <v>8</v>
      </c>
      <c r="F2831" s="75" t="s">
        <v>23</v>
      </c>
    </row>
    <row r="2832" spans="1:6" x14ac:dyDescent="0.3">
      <c r="A2832" s="75" t="s">
        <v>7786</v>
      </c>
      <c r="B2832" s="75" t="s">
        <v>7787</v>
      </c>
      <c r="C2832" s="75" t="s">
        <v>7788</v>
      </c>
      <c r="D2832" s="75">
        <v>2012</v>
      </c>
      <c r="E2832" s="75" t="s">
        <v>70</v>
      </c>
      <c r="F2832" s="75" t="s">
        <v>71</v>
      </c>
    </row>
    <row r="2833" spans="1:6" x14ac:dyDescent="0.3">
      <c r="A2833" s="75" t="s">
        <v>7789</v>
      </c>
      <c r="B2833" s="75" t="s">
        <v>7790</v>
      </c>
      <c r="C2833" s="75" t="s">
        <v>7791</v>
      </c>
      <c r="D2833" s="75" t="s">
        <v>13</v>
      </c>
      <c r="E2833" s="75" t="s">
        <v>84</v>
      </c>
      <c r="F2833" s="75" t="s">
        <v>519</v>
      </c>
    </row>
    <row r="2834" spans="1:6" x14ac:dyDescent="0.3">
      <c r="A2834" s="75" t="s">
        <v>7792</v>
      </c>
      <c r="B2834" s="75" t="s">
        <v>7793</v>
      </c>
      <c r="C2834" s="75" t="s">
        <v>7794</v>
      </c>
      <c r="D2834" s="75">
        <v>2010</v>
      </c>
      <c r="E2834" s="75" t="s">
        <v>53</v>
      </c>
      <c r="F2834" s="75" t="s">
        <v>4704</v>
      </c>
    </row>
    <row r="2835" spans="1:6" x14ac:dyDescent="0.3">
      <c r="A2835" s="75" t="s">
        <v>7795</v>
      </c>
      <c r="B2835" s="75" t="s">
        <v>7796</v>
      </c>
      <c r="C2835" s="75" t="s">
        <v>7797</v>
      </c>
      <c r="D2835" s="75">
        <v>1994</v>
      </c>
      <c r="E2835" s="75" t="s">
        <v>348</v>
      </c>
      <c r="F2835" s="75" t="s">
        <v>1427</v>
      </c>
    </row>
    <row r="2836" spans="1:6" x14ac:dyDescent="0.3">
      <c r="A2836" s="75" t="s">
        <v>7798</v>
      </c>
      <c r="B2836" s="75" t="s">
        <v>7799</v>
      </c>
      <c r="C2836" s="75" t="s">
        <v>7800</v>
      </c>
      <c r="D2836" s="75">
        <v>1991</v>
      </c>
      <c r="E2836" s="75" t="s">
        <v>18</v>
      </c>
      <c r="F2836" s="75" t="s">
        <v>794</v>
      </c>
    </row>
    <row r="2837" spans="1:6" x14ac:dyDescent="0.3">
      <c r="A2837" s="75" t="s">
        <v>7801</v>
      </c>
      <c r="B2837" s="75" t="s">
        <v>7802</v>
      </c>
      <c r="C2837" s="75" t="s">
        <v>7803</v>
      </c>
      <c r="D2837" s="75">
        <v>2013</v>
      </c>
      <c r="E2837" s="75" t="s">
        <v>70</v>
      </c>
      <c r="F2837" s="75" t="s">
        <v>71</v>
      </c>
    </row>
    <row r="2838" spans="1:6" x14ac:dyDescent="0.3">
      <c r="A2838" s="75" t="s">
        <v>7804</v>
      </c>
      <c r="B2838" s="75" t="s">
        <v>7805</v>
      </c>
      <c r="C2838" s="75" t="s">
        <v>7806</v>
      </c>
      <c r="D2838" s="75">
        <v>2003</v>
      </c>
      <c r="E2838" s="75" t="s">
        <v>8</v>
      </c>
      <c r="F2838" s="75" t="s">
        <v>27</v>
      </c>
    </row>
    <row r="2839" spans="1:6" x14ac:dyDescent="0.3">
      <c r="A2839" s="75" t="s">
        <v>7807</v>
      </c>
      <c r="B2839" s="75" t="s">
        <v>7805</v>
      </c>
      <c r="C2839" s="75" t="s">
        <v>13</v>
      </c>
      <c r="D2839" s="75" t="s">
        <v>13</v>
      </c>
      <c r="E2839" s="75" t="s">
        <v>8</v>
      </c>
      <c r="F2839" s="75" t="s">
        <v>27</v>
      </c>
    </row>
    <row r="2840" spans="1:6" x14ac:dyDescent="0.3">
      <c r="A2840" s="75" t="s">
        <v>7808</v>
      </c>
      <c r="B2840" s="75" t="s">
        <v>7805</v>
      </c>
      <c r="C2840" s="75" t="s">
        <v>7809</v>
      </c>
      <c r="D2840" s="75" t="s">
        <v>13</v>
      </c>
      <c r="E2840" s="75" t="s">
        <v>8</v>
      </c>
      <c r="F2840" s="75" t="s">
        <v>27</v>
      </c>
    </row>
    <row r="2841" spans="1:6" x14ac:dyDescent="0.3">
      <c r="A2841" s="75" t="s">
        <v>7810</v>
      </c>
      <c r="B2841" s="75" t="s">
        <v>7805</v>
      </c>
      <c r="C2841" s="75" t="s">
        <v>13</v>
      </c>
      <c r="D2841" s="75" t="s">
        <v>13</v>
      </c>
      <c r="E2841" s="75" t="s">
        <v>8</v>
      </c>
      <c r="F2841" s="75" t="s">
        <v>27</v>
      </c>
    </row>
    <row r="2842" spans="1:6" x14ac:dyDescent="0.3">
      <c r="A2842" s="75" t="s">
        <v>7811</v>
      </c>
      <c r="B2842" s="75" t="s">
        <v>7812</v>
      </c>
      <c r="C2842" s="75" t="s">
        <v>7813</v>
      </c>
      <c r="D2842" s="75" t="s">
        <v>13</v>
      </c>
      <c r="E2842" s="75" t="s">
        <v>31</v>
      </c>
      <c r="F2842" s="75" t="s">
        <v>92</v>
      </c>
    </row>
    <row r="2843" spans="1:6" x14ac:dyDescent="0.3">
      <c r="A2843" s="75" t="s">
        <v>7814</v>
      </c>
      <c r="B2843" s="75" t="s">
        <v>7815</v>
      </c>
      <c r="C2843" s="75" t="s">
        <v>7816</v>
      </c>
      <c r="D2843" s="75">
        <v>2004</v>
      </c>
      <c r="E2843" s="75" t="s">
        <v>18</v>
      </c>
      <c r="F2843" s="75" t="s">
        <v>729</v>
      </c>
    </row>
    <row r="2844" spans="1:6" x14ac:dyDescent="0.3">
      <c r="A2844" s="75" t="s">
        <v>7817</v>
      </c>
      <c r="B2844" s="75" t="s">
        <v>7818</v>
      </c>
      <c r="C2844" s="75" t="s">
        <v>1319</v>
      </c>
      <c r="D2844" s="75" t="s">
        <v>13</v>
      </c>
      <c r="E2844" s="75" t="s">
        <v>8</v>
      </c>
      <c r="F2844" s="75" t="s">
        <v>23</v>
      </c>
    </row>
    <row r="2845" spans="1:6" x14ac:dyDescent="0.3">
      <c r="A2845" s="75" t="s">
        <v>7819</v>
      </c>
      <c r="B2845" s="75" t="s">
        <v>7820</v>
      </c>
      <c r="C2845" s="75" t="s">
        <v>7821</v>
      </c>
      <c r="D2845" s="75" t="s">
        <v>13</v>
      </c>
      <c r="E2845" s="75" t="s">
        <v>70</v>
      </c>
      <c r="F2845" s="75" t="s">
        <v>71</v>
      </c>
    </row>
    <row r="2846" spans="1:6" x14ac:dyDescent="0.3">
      <c r="A2846" s="75" t="s">
        <v>7822</v>
      </c>
      <c r="B2846" s="75" t="s">
        <v>7823</v>
      </c>
      <c r="C2846" s="75" t="s">
        <v>6183</v>
      </c>
      <c r="D2846" s="75">
        <v>2001</v>
      </c>
      <c r="E2846" s="75" t="s">
        <v>18</v>
      </c>
      <c r="F2846" s="75" t="s">
        <v>434</v>
      </c>
    </row>
    <row r="2847" spans="1:6" x14ac:dyDescent="0.3">
      <c r="A2847" s="75" t="s">
        <v>7824</v>
      </c>
      <c r="B2847" s="75" t="s">
        <v>7825</v>
      </c>
      <c r="C2847" s="75" t="s">
        <v>7826</v>
      </c>
      <c r="D2847" s="75" t="s">
        <v>13</v>
      </c>
      <c r="E2847" s="75" t="s">
        <v>18</v>
      </c>
      <c r="F2847" s="75" t="s">
        <v>349</v>
      </c>
    </row>
    <row r="2848" spans="1:6" x14ac:dyDescent="0.3">
      <c r="A2848" s="75" t="s">
        <v>7827</v>
      </c>
      <c r="B2848" s="75" t="s">
        <v>7828</v>
      </c>
      <c r="C2848" s="75" t="s">
        <v>7829</v>
      </c>
      <c r="D2848" s="75" t="s">
        <v>13</v>
      </c>
      <c r="E2848" s="75" t="s">
        <v>8</v>
      </c>
      <c r="F2848" s="75" t="s">
        <v>27</v>
      </c>
    </row>
    <row r="2849" spans="1:6" x14ac:dyDescent="0.3">
      <c r="A2849" s="75" t="s">
        <v>7830</v>
      </c>
      <c r="B2849" s="75" t="s">
        <v>7831</v>
      </c>
      <c r="C2849" s="75" t="s">
        <v>13</v>
      </c>
      <c r="D2849" s="75" t="s">
        <v>13</v>
      </c>
      <c r="E2849" s="75" t="s">
        <v>13</v>
      </c>
      <c r="F2849" s="75" t="s">
        <v>13</v>
      </c>
    </row>
    <row r="2850" spans="1:6" x14ac:dyDescent="0.3">
      <c r="A2850" s="75" t="s">
        <v>7832</v>
      </c>
      <c r="B2850" s="75" t="s">
        <v>7833</v>
      </c>
      <c r="C2850" s="75" t="s">
        <v>7834</v>
      </c>
      <c r="D2850" s="75">
        <v>1991</v>
      </c>
      <c r="E2850" s="75" t="s">
        <v>18</v>
      </c>
      <c r="F2850" s="75" t="s">
        <v>2123</v>
      </c>
    </row>
    <row r="2851" spans="1:6" x14ac:dyDescent="0.3">
      <c r="A2851" s="75" t="s">
        <v>7835</v>
      </c>
      <c r="B2851" s="75" t="s">
        <v>7836</v>
      </c>
      <c r="C2851" s="75" t="s">
        <v>7837</v>
      </c>
      <c r="D2851" s="75">
        <v>2012</v>
      </c>
      <c r="E2851" s="75" t="s">
        <v>8</v>
      </c>
      <c r="F2851" s="75" t="s">
        <v>2382</v>
      </c>
    </row>
    <row r="2852" spans="1:6" x14ac:dyDescent="0.3">
      <c r="A2852" s="75" t="s">
        <v>7838</v>
      </c>
      <c r="B2852" s="75" t="s">
        <v>7839</v>
      </c>
      <c r="C2852" s="75" t="s">
        <v>7840</v>
      </c>
      <c r="D2852" s="75">
        <v>1992</v>
      </c>
      <c r="E2852" s="75" t="s">
        <v>18</v>
      </c>
      <c r="F2852" s="75" t="s">
        <v>729</v>
      </c>
    </row>
    <row r="2853" spans="1:6" x14ac:dyDescent="0.3">
      <c r="A2853" s="75" t="s">
        <v>7841</v>
      </c>
      <c r="B2853" s="75" t="s">
        <v>7842</v>
      </c>
      <c r="C2853" s="75" t="s">
        <v>7843</v>
      </c>
      <c r="D2853" s="75">
        <v>2011</v>
      </c>
      <c r="E2853" s="75" t="s">
        <v>348</v>
      </c>
      <c r="F2853" s="75" t="s">
        <v>1936</v>
      </c>
    </row>
    <row r="2854" spans="1:6" x14ac:dyDescent="0.3">
      <c r="A2854" s="75" t="s">
        <v>7844</v>
      </c>
      <c r="B2854" s="75" t="s">
        <v>7845</v>
      </c>
      <c r="C2854" s="75" t="s">
        <v>7846</v>
      </c>
      <c r="D2854" s="75" t="s">
        <v>13</v>
      </c>
      <c r="E2854" s="75" t="s">
        <v>8</v>
      </c>
      <c r="F2854" s="75" t="s">
        <v>27</v>
      </c>
    </row>
    <row r="2855" spans="1:6" x14ac:dyDescent="0.3">
      <c r="A2855" s="75" t="s">
        <v>7847</v>
      </c>
      <c r="B2855" s="75" t="s">
        <v>7848</v>
      </c>
      <c r="C2855" s="75" t="s">
        <v>3206</v>
      </c>
      <c r="D2855" s="75" t="s">
        <v>13</v>
      </c>
      <c r="E2855" s="75" t="s">
        <v>31</v>
      </c>
      <c r="F2855" s="75" t="s">
        <v>36</v>
      </c>
    </row>
    <row r="2856" spans="1:6" x14ac:dyDescent="0.3">
      <c r="A2856" s="75" t="s">
        <v>7849</v>
      </c>
      <c r="B2856" s="75" t="s">
        <v>7850</v>
      </c>
      <c r="C2856" s="75" t="s">
        <v>7851</v>
      </c>
      <c r="D2856" s="75" t="s">
        <v>13</v>
      </c>
      <c r="E2856" s="75" t="s">
        <v>518</v>
      </c>
      <c r="F2856" s="75" t="s">
        <v>630</v>
      </c>
    </row>
    <row r="2857" spans="1:6" x14ac:dyDescent="0.3">
      <c r="A2857" s="75" t="s">
        <v>7852</v>
      </c>
      <c r="B2857" s="75" t="s">
        <v>7853</v>
      </c>
      <c r="C2857" s="75" t="s">
        <v>279</v>
      </c>
      <c r="D2857" s="75">
        <v>2007</v>
      </c>
      <c r="E2857" s="75" t="s">
        <v>70</v>
      </c>
      <c r="F2857" s="75" t="s">
        <v>1375</v>
      </c>
    </row>
    <row r="2858" spans="1:6" x14ac:dyDescent="0.3">
      <c r="A2858" s="75" t="s">
        <v>7854</v>
      </c>
      <c r="B2858" s="75" t="s">
        <v>7855</v>
      </c>
      <c r="C2858" s="75" t="s">
        <v>7856</v>
      </c>
      <c r="D2858" s="75">
        <v>2013</v>
      </c>
      <c r="E2858" s="75" t="s">
        <v>53</v>
      </c>
      <c r="F2858" s="75" t="s">
        <v>63</v>
      </c>
    </row>
    <row r="2859" spans="1:6" x14ac:dyDescent="0.3">
      <c r="A2859" s="75" t="s">
        <v>7857</v>
      </c>
      <c r="B2859" s="75" t="s">
        <v>7858</v>
      </c>
      <c r="C2859" s="75" t="s">
        <v>7859</v>
      </c>
      <c r="D2859" s="75">
        <v>1992</v>
      </c>
      <c r="E2859" s="75" t="s">
        <v>18</v>
      </c>
      <c r="F2859" s="75" t="s">
        <v>762</v>
      </c>
    </row>
    <row r="2860" spans="1:6" x14ac:dyDescent="0.3">
      <c r="A2860" s="75" t="s">
        <v>7860</v>
      </c>
      <c r="B2860" s="75" t="s">
        <v>7861</v>
      </c>
      <c r="C2860" s="75" t="s">
        <v>7862</v>
      </c>
      <c r="D2860" s="75" t="s">
        <v>13</v>
      </c>
      <c r="E2860" s="75" t="s">
        <v>8</v>
      </c>
      <c r="F2860" s="75" t="s">
        <v>27</v>
      </c>
    </row>
    <row r="2861" spans="1:6" x14ac:dyDescent="0.3">
      <c r="A2861" s="75" t="s">
        <v>7863</v>
      </c>
      <c r="B2861" s="75" t="s">
        <v>7864</v>
      </c>
      <c r="C2861" s="75" t="s">
        <v>7865</v>
      </c>
      <c r="D2861" s="75" t="s">
        <v>13</v>
      </c>
      <c r="E2861" s="75" t="s">
        <v>8</v>
      </c>
      <c r="F2861" s="75" t="s">
        <v>27</v>
      </c>
    </row>
    <row r="2862" spans="1:6" x14ac:dyDescent="0.3">
      <c r="A2862" s="75" t="s">
        <v>7866</v>
      </c>
      <c r="B2862" s="75" t="s">
        <v>7867</v>
      </c>
      <c r="C2862" s="75" t="s">
        <v>852</v>
      </c>
      <c r="D2862" s="75" t="s">
        <v>13</v>
      </c>
      <c r="E2862" s="75" t="s">
        <v>518</v>
      </c>
      <c r="F2862" s="75" t="s">
        <v>527</v>
      </c>
    </row>
    <row r="2863" spans="1:6" x14ac:dyDescent="0.3">
      <c r="A2863" s="75" t="s">
        <v>7868</v>
      </c>
      <c r="B2863" s="75" t="s">
        <v>7869</v>
      </c>
      <c r="C2863" s="75" t="s">
        <v>7870</v>
      </c>
      <c r="D2863" s="75">
        <v>2014</v>
      </c>
      <c r="E2863" s="75" t="s">
        <v>18</v>
      </c>
      <c r="F2863" s="75" t="s">
        <v>729</v>
      </c>
    </row>
    <row r="2864" spans="1:6" x14ac:dyDescent="0.3">
      <c r="A2864" s="75" t="s">
        <v>7871</v>
      </c>
      <c r="B2864" s="75" t="s">
        <v>7872</v>
      </c>
      <c r="C2864" s="75" t="s">
        <v>7873</v>
      </c>
      <c r="D2864" s="75" t="s">
        <v>13</v>
      </c>
      <c r="E2864" s="75" t="s">
        <v>18</v>
      </c>
      <c r="F2864" s="75" t="s">
        <v>1032</v>
      </c>
    </row>
    <row r="2865" spans="1:6" x14ac:dyDescent="0.3">
      <c r="A2865" s="75" t="s">
        <v>7874</v>
      </c>
      <c r="B2865" s="75" t="s">
        <v>7875</v>
      </c>
      <c r="C2865" s="75" t="s">
        <v>7876</v>
      </c>
      <c r="D2865" s="75" t="s">
        <v>13</v>
      </c>
      <c r="E2865" s="75" t="s">
        <v>348</v>
      </c>
      <c r="F2865" s="75" t="s">
        <v>1219</v>
      </c>
    </row>
    <row r="2866" spans="1:6" x14ac:dyDescent="0.3">
      <c r="A2866" s="75" t="s">
        <v>7877</v>
      </c>
      <c r="B2866" s="75" t="s">
        <v>7878</v>
      </c>
      <c r="C2866" s="75" t="s">
        <v>7879</v>
      </c>
      <c r="D2866" s="75" t="s">
        <v>13</v>
      </c>
      <c r="E2866" s="75" t="s">
        <v>13</v>
      </c>
      <c r="F2866" s="75" t="s">
        <v>13</v>
      </c>
    </row>
    <row r="2867" spans="1:6" x14ac:dyDescent="0.3">
      <c r="A2867" s="75" t="s">
        <v>7880</v>
      </c>
      <c r="B2867" s="75" t="s">
        <v>7881</v>
      </c>
      <c r="C2867" s="75" t="s">
        <v>7882</v>
      </c>
      <c r="D2867" s="75" t="s">
        <v>13</v>
      </c>
      <c r="E2867" s="75" t="s">
        <v>13</v>
      </c>
      <c r="F2867" s="75" t="s">
        <v>13</v>
      </c>
    </row>
    <row r="2868" spans="1:6" x14ac:dyDescent="0.3">
      <c r="A2868" s="75" t="s">
        <v>7883</v>
      </c>
      <c r="B2868" s="75" t="s">
        <v>7884</v>
      </c>
      <c r="C2868" s="75" t="s">
        <v>7885</v>
      </c>
      <c r="D2868" s="75" t="s">
        <v>13</v>
      </c>
      <c r="E2868" s="75" t="s">
        <v>18</v>
      </c>
      <c r="F2868" s="75" t="s">
        <v>2588</v>
      </c>
    </row>
    <row r="2869" spans="1:6" x14ac:dyDescent="0.3">
      <c r="A2869" s="75" t="s">
        <v>7886</v>
      </c>
      <c r="B2869" s="75" t="s">
        <v>7887</v>
      </c>
      <c r="C2869" s="75" t="s">
        <v>7888</v>
      </c>
      <c r="D2869" s="75">
        <v>2014</v>
      </c>
      <c r="E2869" s="75" t="s">
        <v>96</v>
      </c>
      <c r="F2869" s="75" t="s">
        <v>97</v>
      </c>
    </row>
    <row r="2870" spans="1:6" x14ac:dyDescent="0.3">
      <c r="A2870" s="75" t="s">
        <v>7889</v>
      </c>
      <c r="B2870" s="75" t="s">
        <v>7890</v>
      </c>
      <c r="C2870" s="75" t="s">
        <v>7891</v>
      </c>
      <c r="D2870" s="75">
        <v>2010</v>
      </c>
      <c r="E2870" s="75" t="s">
        <v>31</v>
      </c>
      <c r="F2870" s="75" t="s">
        <v>161</v>
      </c>
    </row>
    <row r="2871" spans="1:6" x14ac:dyDescent="0.3">
      <c r="A2871" s="75" t="s">
        <v>7892</v>
      </c>
      <c r="B2871" s="75" t="s">
        <v>7893</v>
      </c>
      <c r="C2871" s="75" t="s">
        <v>7894</v>
      </c>
      <c r="D2871" s="75" t="s">
        <v>13</v>
      </c>
      <c r="E2871" s="75" t="s">
        <v>348</v>
      </c>
      <c r="F2871" s="75" t="s">
        <v>1219</v>
      </c>
    </row>
    <row r="2872" spans="1:6" x14ac:dyDescent="0.3">
      <c r="A2872" s="75" t="s">
        <v>7895</v>
      </c>
      <c r="B2872" s="75" t="s">
        <v>7896</v>
      </c>
      <c r="C2872" s="75" t="s">
        <v>7897</v>
      </c>
      <c r="D2872" s="75" t="s">
        <v>13</v>
      </c>
      <c r="E2872" s="75" t="s">
        <v>13</v>
      </c>
      <c r="F2872" s="75" t="s">
        <v>13</v>
      </c>
    </row>
    <row r="2873" spans="1:6" x14ac:dyDescent="0.3">
      <c r="A2873" s="75" t="s">
        <v>7898</v>
      </c>
      <c r="B2873" s="75" t="s">
        <v>7899</v>
      </c>
      <c r="C2873" s="75" t="s">
        <v>6220</v>
      </c>
      <c r="D2873" s="75">
        <v>2000</v>
      </c>
      <c r="E2873" s="75" t="s">
        <v>70</v>
      </c>
      <c r="F2873" s="75" t="s">
        <v>71</v>
      </c>
    </row>
    <row r="2874" spans="1:6" x14ac:dyDescent="0.3">
      <c r="A2874" s="75" t="s">
        <v>7900</v>
      </c>
      <c r="B2874" s="75" t="s">
        <v>7901</v>
      </c>
      <c r="C2874" s="75" t="s">
        <v>7902</v>
      </c>
      <c r="D2874" s="75" t="s">
        <v>13</v>
      </c>
      <c r="E2874" s="75" t="s">
        <v>18</v>
      </c>
      <c r="F2874" s="75" t="s">
        <v>295</v>
      </c>
    </row>
    <row r="2875" spans="1:6" x14ac:dyDescent="0.3">
      <c r="A2875" s="75" t="s">
        <v>7903</v>
      </c>
      <c r="B2875" s="75" t="s">
        <v>7904</v>
      </c>
      <c r="C2875" s="75" t="s">
        <v>3694</v>
      </c>
      <c r="D2875" s="75">
        <v>2014</v>
      </c>
      <c r="E2875" s="75" t="s">
        <v>18</v>
      </c>
      <c r="F2875" s="75" t="s">
        <v>1183</v>
      </c>
    </row>
    <row r="2876" spans="1:6" x14ac:dyDescent="0.3">
      <c r="A2876" s="75" t="s">
        <v>7905</v>
      </c>
      <c r="B2876" s="75" t="s">
        <v>7906</v>
      </c>
      <c r="C2876" s="75" t="s">
        <v>5769</v>
      </c>
      <c r="D2876" s="75" t="s">
        <v>13</v>
      </c>
      <c r="E2876" s="75" t="s">
        <v>31</v>
      </c>
      <c r="F2876" s="75" t="s">
        <v>63</v>
      </c>
    </row>
    <row r="2877" spans="1:6" x14ac:dyDescent="0.3">
      <c r="A2877" s="75" t="s">
        <v>7907</v>
      </c>
      <c r="B2877" s="75" t="s">
        <v>7908</v>
      </c>
      <c r="C2877" s="75" t="s">
        <v>6076</v>
      </c>
      <c r="D2877" s="75">
        <v>1986</v>
      </c>
      <c r="E2877" s="75" t="s">
        <v>8</v>
      </c>
      <c r="F2877" s="75" t="s">
        <v>9</v>
      </c>
    </row>
    <row r="2878" spans="1:6" x14ac:dyDescent="0.3">
      <c r="A2878" s="75" t="s">
        <v>7909</v>
      </c>
      <c r="B2878" s="75" t="s">
        <v>7910</v>
      </c>
      <c r="C2878" s="75" t="s">
        <v>3179</v>
      </c>
      <c r="D2878" s="75" t="s">
        <v>13</v>
      </c>
      <c r="E2878" s="75" t="s">
        <v>13</v>
      </c>
      <c r="F2878" s="75" t="s">
        <v>13</v>
      </c>
    </row>
    <row r="2879" spans="1:6" x14ac:dyDescent="0.3">
      <c r="A2879" s="75" t="s">
        <v>7911</v>
      </c>
      <c r="B2879" s="75" t="s">
        <v>7912</v>
      </c>
      <c r="C2879" s="75" t="s">
        <v>7913</v>
      </c>
      <c r="D2879" s="75" t="s">
        <v>13</v>
      </c>
      <c r="E2879" s="75" t="s">
        <v>18</v>
      </c>
      <c r="F2879" s="75" t="s">
        <v>729</v>
      </c>
    </row>
    <row r="2880" spans="1:6" x14ac:dyDescent="0.3">
      <c r="A2880" s="75" t="s">
        <v>7914</v>
      </c>
      <c r="B2880" s="75" t="s">
        <v>7915</v>
      </c>
      <c r="C2880" s="75" t="s">
        <v>13</v>
      </c>
      <c r="D2880" s="75" t="s">
        <v>13</v>
      </c>
      <c r="E2880" s="75" t="s">
        <v>13</v>
      </c>
      <c r="F2880" s="75" t="s">
        <v>13</v>
      </c>
    </row>
    <row r="2881" spans="1:6" x14ac:dyDescent="0.3">
      <c r="A2881" s="75" t="s">
        <v>7916</v>
      </c>
      <c r="B2881" s="75" t="s">
        <v>7917</v>
      </c>
      <c r="C2881" s="75" t="s">
        <v>7918</v>
      </c>
      <c r="D2881" s="75">
        <v>1999</v>
      </c>
      <c r="E2881" s="75" t="s">
        <v>96</v>
      </c>
      <c r="F2881" s="75" t="s">
        <v>76</v>
      </c>
    </row>
    <row r="2882" spans="1:6" x14ac:dyDescent="0.3">
      <c r="A2882" s="75" t="s">
        <v>7919</v>
      </c>
      <c r="B2882" s="75" t="s">
        <v>7920</v>
      </c>
      <c r="C2882" s="75" t="s">
        <v>7921</v>
      </c>
      <c r="D2882" s="75">
        <v>2003</v>
      </c>
      <c r="E2882" s="75" t="s">
        <v>18</v>
      </c>
      <c r="F2882" s="75" t="s">
        <v>845</v>
      </c>
    </row>
    <row r="2883" spans="1:6" x14ac:dyDescent="0.3">
      <c r="A2883" s="75" t="s">
        <v>7922</v>
      </c>
      <c r="B2883" s="75" t="s">
        <v>7923</v>
      </c>
      <c r="C2883" s="75" t="s">
        <v>1615</v>
      </c>
      <c r="D2883" s="75" t="s">
        <v>13</v>
      </c>
      <c r="E2883" s="75" t="s">
        <v>18</v>
      </c>
      <c r="F2883" s="75" t="s">
        <v>1032</v>
      </c>
    </row>
    <row r="2884" spans="1:6" x14ac:dyDescent="0.3">
      <c r="A2884" s="75" t="s">
        <v>7924</v>
      </c>
      <c r="B2884" s="75" t="s">
        <v>7925</v>
      </c>
      <c r="C2884" s="75" t="s">
        <v>7926</v>
      </c>
      <c r="D2884" s="75" t="s">
        <v>13</v>
      </c>
      <c r="E2884" s="75" t="s">
        <v>348</v>
      </c>
      <c r="F2884" s="75" t="s">
        <v>1219</v>
      </c>
    </row>
    <row r="2885" spans="1:6" x14ac:dyDescent="0.3">
      <c r="A2885" s="75" t="s">
        <v>7927</v>
      </c>
      <c r="B2885" s="75" t="s">
        <v>7925</v>
      </c>
      <c r="C2885" s="75" t="s">
        <v>13</v>
      </c>
      <c r="D2885" s="75" t="s">
        <v>13</v>
      </c>
      <c r="E2885" s="75" t="s">
        <v>348</v>
      </c>
      <c r="F2885" s="75" t="s">
        <v>1219</v>
      </c>
    </row>
    <row r="2886" spans="1:6" x14ac:dyDescent="0.3">
      <c r="A2886" s="75" t="s">
        <v>7928</v>
      </c>
      <c r="B2886" s="75" t="s">
        <v>7929</v>
      </c>
      <c r="C2886" s="75" t="s">
        <v>7930</v>
      </c>
      <c r="D2886" s="75">
        <v>1992</v>
      </c>
      <c r="E2886" s="75" t="s">
        <v>70</v>
      </c>
      <c r="F2886" s="75" t="s">
        <v>671</v>
      </c>
    </row>
    <row r="2887" spans="1:6" x14ac:dyDescent="0.3">
      <c r="A2887" s="75" t="s">
        <v>7931</v>
      </c>
      <c r="B2887" s="75" t="s">
        <v>7932</v>
      </c>
      <c r="C2887" s="75" t="s">
        <v>7933</v>
      </c>
      <c r="D2887" s="75" t="s">
        <v>13</v>
      </c>
      <c r="E2887" s="75" t="s">
        <v>31</v>
      </c>
      <c r="F2887" s="75" t="s">
        <v>32</v>
      </c>
    </row>
    <row r="2888" spans="1:6" x14ac:dyDescent="0.3">
      <c r="A2888" s="75" t="s">
        <v>7934</v>
      </c>
      <c r="B2888" s="75" t="s">
        <v>7935</v>
      </c>
      <c r="C2888" s="75" t="s">
        <v>2324</v>
      </c>
      <c r="D2888" s="75">
        <v>2016</v>
      </c>
      <c r="E2888" s="75" t="s">
        <v>31</v>
      </c>
      <c r="F2888" s="75" t="s">
        <v>32</v>
      </c>
    </row>
    <row r="2889" spans="1:6" x14ac:dyDescent="0.3">
      <c r="A2889" s="75" t="s">
        <v>7936</v>
      </c>
      <c r="B2889" s="75" t="s">
        <v>7937</v>
      </c>
      <c r="C2889" s="75" t="s">
        <v>5008</v>
      </c>
      <c r="D2889" s="75">
        <v>1998</v>
      </c>
      <c r="E2889" s="75" t="s">
        <v>31</v>
      </c>
      <c r="F2889" s="75" t="s">
        <v>36</v>
      </c>
    </row>
    <row r="2890" spans="1:6" x14ac:dyDescent="0.3">
      <c r="A2890" s="75" t="s">
        <v>7938</v>
      </c>
      <c r="B2890" s="75" t="s">
        <v>7939</v>
      </c>
      <c r="C2890" s="75" t="s">
        <v>7940</v>
      </c>
      <c r="D2890" s="75" t="s">
        <v>13</v>
      </c>
      <c r="E2890" s="75" t="s">
        <v>44</v>
      </c>
      <c r="F2890" s="75" t="s">
        <v>222</v>
      </c>
    </row>
    <row r="2891" spans="1:6" x14ac:dyDescent="0.3">
      <c r="A2891" s="75" t="s">
        <v>7941</v>
      </c>
      <c r="B2891" s="75" t="s">
        <v>7942</v>
      </c>
      <c r="C2891" s="75" t="s">
        <v>7943</v>
      </c>
      <c r="D2891" s="75">
        <v>2004</v>
      </c>
      <c r="E2891" s="75" t="s">
        <v>96</v>
      </c>
      <c r="F2891" s="75" t="s">
        <v>76</v>
      </c>
    </row>
    <row r="2892" spans="1:6" x14ac:dyDescent="0.3">
      <c r="A2892" s="75" t="s">
        <v>7944</v>
      </c>
      <c r="B2892" s="75" t="s">
        <v>7945</v>
      </c>
      <c r="C2892" s="75" t="s">
        <v>7946</v>
      </c>
      <c r="D2892" s="75">
        <v>2017</v>
      </c>
      <c r="E2892" s="75" t="s">
        <v>70</v>
      </c>
      <c r="F2892" s="75" t="s">
        <v>71</v>
      </c>
    </row>
    <row r="2893" spans="1:6" x14ac:dyDescent="0.3">
      <c r="A2893" s="75" t="s">
        <v>7947</v>
      </c>
      <c r="B2893" s="75" t="s">
        <v>7948</v>
      </c>
      <c r="C2893" s="75" t="s">
        <v>4917</v>
      </c>
      <c r="D2893" s="75" t="s">
        <v>13</v>
      </c>
      <c r="E2893" s="75" t="s">
        <v>70</v>
      </c>
      <c r="F2893" s="75" t="s">
        <v>71</v>
      </c>
    </row>
    <row r="2894" spans="1:6" x14ac:dyDescent="0.3">
      <c r="A2894" s="75" t="s">
        <v>7949</v>
      </c>
      <c r="B2894" s="75" t="s">
        <v>7950</v>
      </c>
      <c r="C2894" s="75" t="s">
        <v>7951</v>
      </c>
      <c r="D2894" s="75" t="s">
        <v>13</v>
      </c>
      <c r="E2894" s="75" t="s">
        <v>18</v>
      </c>
      <c r="F2894" s="75" t="s">
        <v>2283</v>
      </c>
    </row>
    <row r="2895" spans="1:6" x14ac:dyDescent="0.3">
      <c r="A2895" s="75" t="s">
        <v>7952</v>
      </c>
      <c r="B2895" s="75" t="s">
        <v>7953</v>
      </c>
      <c r="C2895" s="75" t="s">
        <v>7954</v>
      </c>
      <c r="D2895" s="75">
        <v>2010</v>
      </c>
      <c r="E2895" s="75" t="s">
        <v>13</v>
      </c>
      <c r="F2895" s="75" t="s">
        <v>13</v>
      </c>
    </row>
    <row r="2896" spans="1:6" x14ac:dyDescent="0.3">
      <c r="A2896" s="75" t="s">
        <v>7955</v>
      </c>
      <c r="B2896" s="75" t="s">
        <v>7956</v>
      </c>
      <c r="C2896" s="75" t="s">
        <v>7957</v>
      </c>
      <c r="D2896" s="75">
        <v>2003</v>
      </c>
      <c r="E2896" s="75" t="s">
        <v>13</v>
      </c>
      <c r="F2896" s="75" t="s">
        <v>13</v>
      </c>
    </row>
    <row r="2897" spans="1:6" x14ac:dyDescent="0.3">
      <c r="A2897" s="75" t="s">
        <v>7958</v>
      </c>
      <c r="B2897" s="75" t="s">
        <v>7956</v>
      </c>
      <c r="C2897" s="75" t="s">
        <v>13</v>
      </c>
      <c r="D2897" s="75" t="s">
        <v>13</v>
      </c>
      <c r="E2897" s="75" t="s">
        <v>13</v>
      </c>
      <c r="F2897" s="75" t="s">
        <v>13</v>
      </c>
    </row>
    <row r="2898" spans="1:6" x14ac:dyDescent="0.3">
      <c r="A2898" s="75" t="s">
        <v>7959</v>
      </c>
      <c r="B2898" s="75" t="s">
        <v>7960</v>
      </c>
      <c r="C2898" s="75" t="s">
        <v>7961</v>
      </c>
      <c r="D2898" s="75">
        <v>2016</v>
      </c>
      <c r="E2898" s="75" t="s">
        <v>70</v>
      </c>
      <c r="F2898" s="75" t="s">
        <v>71</v>
      </c>
    </row>
    <row r="2899" spans="1:6" x14ac:dyDescent="0.3">
      <c r="A2899" s="75" t="s">
        <v>7962</v>
      </c>
      <c r="B2899" s="75" t="s">
        <v>7963</v>
      </c>
      <c r="C2899" s="75" t="s">
        <v>7964</v>
      </c>
      <c r="D2899" s="75" t="s">
        <v>13</v>
      </c>
      <c r="E2899" s="75" t="s">
        <v>18</v>
      </c>
      <c r="F2899" s="75" t="s">
        <v>630</v>
      </c>
    </row>
    <row r="2900" spans="1:6" x14ac:dyDescent="0.3">
      <c r="A2900" s="75" t="s">
        <v>7965</v>
      </c>
      <c r="B2900" s="75" t="s">
        <v>7966</v>
      </c>
      <c r="C2900" s="75" t="s">
        <v>7967</v>
      </c>
      <c r="D2900" s="75" t="s">
        <v>13</v>
      </c>
      <c r="E2900" s="75" t="s">
        <v>8</v>
      </c>
      <c r="F2900" s="75" t="s">
        <v>9</v>
      </c>
    </row>
    <row r="2901" spans="1:6" x14ac:dyDescent="0.3">
      <c r="A2901" s="75" t="s">
        <v>7968</v>
      </c>
      <c r="B2901" s="75" t="s">
        <v>7969</v>
      </c>
      <c r="C2901" s="75" t="s">
        <v>7970</v>
      </c>
      <c r="D2901" s="75" t="s">
        <v>13</v>
      </c>
      <c r="E2901" s="75" t="s">
        <v>8</v>
      </c>
      <c r="F2901" s="75" t="s">
        <v>579</v>
      </c>
    </row>
    <row r="2902" spans="1:6" x14ac:dyDescent="0.3">
      <c r="A2902" s="75" t="s">
        <v>7971</v>
      </c>
      <c r="B2902" s="75" t="s">
        <v>7972</v>
      </c>
      <c r="C2902" s="75" t="s">
        <v>7973</v>
      </c>
      <c r="D2902" s="75">
        <v>2017</v>
      </c>
      <c r="E2902" s="75" t="s">
        <v>31</v>
      </c>
      <c r="F2902" s="75" t="s">
        <v>161</v>
      </c>
    </row>
    <row r="2903" spans="1:6" x14ac:dyDescent="0.3">
      <c r="A2903" s="75" t="s">
        <v>7974</v>
      </c>
      <c r="B2903" s="75" t="s">
        <v>7975</v>
      </c>
      <c r="C2903" s="75" t="s">
        <v>7976</v>
      </c>
      <c r="D2903" s="75" t="s">
        <v>13</v>
      </c>
      <c r="E2903" s="75" t="s">
        <v>8</v>
      </c>
      <c r="F2903" s="75" t="s">
        <v>9</v>
      </c>
    </row>
    <row r="2904" spans="1:6" x14ac:dyDescent="0.3">
      <c r="A2904" s="75" t="s">
        <v>7977</v>
      </c>
      <c r="B2904" s="75" t="s">
        <v>7978</v>
      </c>
      <c r="C2904" s="75" t="s">
        <v>7979</v>
      </c>
      <c r="D2904" s="75">
        <v>2007</v>
      </c>
      <c r="E2904" s="75" t="s">
        <v>18</v>
      </c>
      <c r="F2904" s="75" t="s">
        <v>19</v>
      </c>
    </row>
    <row r="2905" spans="1:6" x14ac:dyDescent="0.3">
      <c r="A2905" s="75" t="s">
        <v>7980</v>
      </c>
      <c r="B2905" s="75" t="s">
        <v>7981</v>
      </c>
      <c r="C2905" s="75" t="s">
        <v>421</v>
      </c>
      <c r="D2905" s="75" t="s">
        <v>13</v>
      </c>
      <c r="E2905" s="75" t="s">
        <v>70</v>
      </c>
      <c r="F2905" s="75" t="s">
        <v>118</v>
      </c>
    </row>
    <row r="2906" spans="1:6" x14ac:dyDescent="0.3">
      <c r="A2906" s="75" t="s">
        <v>7982</v>
      </c>
      <c r="B2906" s="75" t="s">
        <v>7983</v>
      </c>
      <c r="C2906" s="75" t="s">
        <v>1615</v>
      </c>
      <c r="D2906" s="75" t="s">
        <v>13</v>
      </c>
      <c r="E2906" s="75" t="s">
        <v>70</v>
      </c>
      <c r="F2906" s="75" t="s">
        <v>1375</v>
      </c>
    </row>
    <row r="2907" spans="1:6" x14ac:dyDescent="0.3">
      <c r="A2907" s="75" t="s">
        <v>7984</v>
      </c>
      <c r="B2907" s="75" t="s">
        <v>7985</v>
      </c>
      <c r="C2907" s="75" t="s">
        <v>5930</v>
      </c>
      <c r="D2907" s="75" t="s">
        <v>13</v>
      </c>
      <c r="E2907" s="75" t="s">
        <v>96</v>
      </c>
      <c r="F2907" s="75" t="s">
        <v>97</v>
      </c>
    </row>
    <row r="2908" spans="1:6" x14ac:dyDescent="0.3">
      <c r="A2908" s="75" t="s">
        <v>7986</v>
      </c>
      <c r="B2908" s="75" t="s">
        <v>7987</v>
      </c>
      <c r="C2908" s="75" t="s">
        <v>7988</v>
      </c>
      <c r="D2908" s="75" t="s">
        <v>13</v>
      </c>
      <c r="E2908" s="75" t="s">
        <v>44</v>
      </c>
      <c r="F2908" s="75" t="s">
        <v>49</v>
      </c>
    </row>
    <row r="2909" spans="1:6" x14ac:dyDescent="0.3">
      <c r="A2909" s="75" t="s">
        <v>7989</v>
      </c>
      <c r="B2909" s="75" t="s">
        <v>7987</v>
      </c>
      <c r="C2909" s="75" t="s">
        <v>13</v>
      </c>
      <c r="D2909" s="75" t="s">
        <v>13</v>
      </c>
      <c r="E2909" s="75" t="s">
        <v>44</v>
      </c>
      <c r="F2909" s="75" t="s">
        <v>49</v>
      </c>
    </row>
    <row r="2910" spans="1:6" x14ac:dyDescent="0.3">
      <c r="A2910" s="75" t="s">
        <v>7990</v>
      </c>
      <c r="B2910" s="75" t="s">
        <v>7991</v>
      </c>
      <c r="C2910" s="75" t="s">
        <v>7992</v>
      </c>
      <c r="D2910" s="75">
        <v>2017</v>
      </c>
      <c r="E2910" s="75" t="s">
        <v>70</v>
      </c>
      <c r="F2910" s="75" t="s">
        <v>71</v>
      </c>
    </row>
    <row r="2911" spans="1:6" x14ac:dyDescent="0.3">
      <c r="A2911" s="75" t="s">
        <v>7993</v>
      </c>
      <c r="B2911" s="75" t="s">
        <v>7994</v>
      </c>
      <c r="C2911" s="75" t="s">
        <v>3636</v>
      </c>
      <c r="D2911" s="75" t="s">
        <v>13</v>
      </c>
      <c r="E2911" s="75" t="s">
        <v>70</v>
      </c>
      <c r="F2911" s="75" t="s">
        <v>71</v>
      </c>
    </row>
    <row r="2912" spans="1:6" x14ac:dyDescent="0.3">
      <c r="A2912" s="75" t="s">
        <v>7995</v>
      </c>
      <c r="B2912" s="75" t="s">
        <v>7996</v>
      </c>
      <c r="C2912" s="75" t="s">
        <v>7997</v>
      </c>
      <c r="D2912" s="75">
        <v>1996</v>
      </c>
      <c r="E2912" s="75" t="s">
        <v>31</v>
      </c>
      <c r="F2912" s="75" t="s">
        <v>798</v>
      </c>
    </row>
    <row r="2913" spans="1:6" x14ac:dyDescent="0.3">
      <c r="A2913" s="75" t="s">
        <v>7998</v>
      </c>
      <c r="B2913" s="75" t="s">
        <v>7999</v>
      </c>
      <c r="C2913" s="76">
        <v>1864.2</v>
      </c>
      <c r="D2913" s="75" t="s">
        <v>13</v>
      </c>
      <c r="E2913" s="75" t="s">
        <v>283</v>
      </c>
      <c r="F2913" s="75" t="s">
        <v>1449</v>
      </c>
    </row>
    <row r="2914" spans="1:6" x14ac:dyDescent="0.3">
      <c r="A2914" s="75" t="s">
        <v>8000</v>
      </c>
      <c r="B2914" s="75" t="s">
        <v>8001</v>
      </c>
      <c r="C2914" s="75" t="s">
        <v>8002</v>
      </c>
      <c r="D2914" s="75">
        <v>1988</v>
      </c>
      <c r="E2914" s="75" t="s">
        <v>58</v>
      </c>
      <c r="F2914" s="75" t="s">
        <v>59</v>
      </c>
    </row>
    <row r="2915" spans="1:6" x14ac:dyDescent="0.3">
      <c r="A2915" s="75" t="s">
        <v>8003</v>
      </c>
      <c r="B2915" s="75" t="s">
        <v>8004</v>
      </c>
      <c r="C2915" s="75" t="s">
        <v>8005</v>
      </c>
      <c r="D2915" s="75" t="s">
        <v>13</v>
      </c>
      <c r="E2915" s="75" t="s">
        <v>84</v>
      </c>
      <c r="F2915" s="75" t="s">
        <v>85</v>
      </c>
    </row>
    <row r="2916" spans="1:6" x14ac:dyDescent="0.3">
      <c r="A2916" s="75" t="s">
        <v>8006</v>
      </c>
      <c r="B2916" s="75" t="s">
        <v>8007</v>
      </c>
      <c r="C2916" s="75" t="s">
        <v>8008</v>
      </c>
      <c r="D2916" s="75">
        <v>1994</v>
      </c>
      <c r="E2916" s="75" t="s">
        <v>31</v>
      </c>
      <c r="F2916" s="75" t="s">
        <v>92</v>
      </c>
    </row>
    <row r="2917" spans="1:6" x14ac:dyDescent="0.3">
      <c r="A2917" s="75" t="s">
        <v>8009</v>
      </c>
      <c r="B2917" s="75" t="s">
        <v>8010</v>
      </c>
      <c r="C2917" s="75" t="s">
        <v>8011</v>
      </c>
      <c r="D2917" s="75">
        <v>2006</v>
      </c>
      <c r="E2917" s="75" t="s">
        <v>18</v>
      </c>
      <c r="F2917" s="75" t="s">
        <v>1361</v>
      </c>
    </row>
    <row r="2918" spans="1:6" x14ac:dyDescent="0.3">
      <c r="A2918" s="75" t="s">
        <v>8012</v>
      </c>
      <c r="B2918" s="75" t="s">
        <v>8013</v>
      </c>
      <c r="C2918" s="75" t="s">
        <v>3992</v>
      </c>
      <c r="D2918" s="75" t="s">
        <v>13</v>
      </c>
      <c r="E2918" s="75" t="s">
        <v>13</v>
      </c>
      <c r="F2918" s="75" t="s">
        <v>13</v>
      </c>
    </row>
    <row r="2919" spans="1:6" x14ac:dyDescent="0.3">
      <c r="A2919" s="75" t="s">
        <v>8014</v>
      </c>
      <c r="B2919" s="75" t="s">
        <v>8015</v>
      </c>
      <c r="C2919" s="75" t="s">
        <v>8016</v>
      </c>
      <c r="D2919" s="75">
        <v>2016</v>
      </c>
      <c r="E2919" s="75" t="s">
        <v>84</v>
      </c>
      <c r="F2919" s="75" t="s">
        <v>63</v>
      </c>
    </row>
    <row r="2920" spans="1:6" x14ac:dyDescent="0.3">
      <c r="A2920" s="75" t="s">
        <v>8017</v>
      </c>
      <c r="B2920" s="75" t="s">
        <v>8018</v>
      </c>
      <c r="C2920" s="75" t="s">
        <v>8019</v>
      </c>
      <c r="D2920" s="75">
        <v>2015</v>
      </c>
      <c r="E2920" s="75" t="s">
        <v>70</v>
      </c>
      <c r="F2920" s="75" t="s">
        <v>118</v>
      </c>
    </row>
    <row r="2921" spans="1:6" x14ac:dyDescent="0.3">
      <c r="A2921" s="75" t="s">
        <v>8020</v>
      </c>
      <c r="B2921" s="75" t="s">
        <v>8021</v>
      </c>
      <c r="C2921" s="75" t="s">
        <v>8022</v>
      </c>
      <c r="D2921" s="75">
        <v>1994</v>
      </c>
      <c r="E2921" s="75" t="s">
        <v>18</v>
      </c>
      <c r="F2921" s="75" t="s">
        <v>1048</v>
      </c>
    </row>
    <row r="2922" spans="1:6" x14ac:dyDescent="0.3">
      <c r="A2922" s="75" t="s">
        <v>8023</v>
      </c>
      <c r="B2922" s="75" t="s">
        <v>8024</v>
      </c>
      <c r="C2922" s="75" t="s">
        <v>8025</v>
      </c>
      <c r="D2922" s="75" t="s">
        <v>13</v>
      </c>
      <c r="E2922" s="75" t="s">
        <v>18</v>
      </c>
      <c r="F2922" s="75" t="s">
        <v>1825</v>
      </c>
    </row>
    <row r="2923" spans="1:6" x14ac:dyDescent="0.3">
      <c r="A2923" s="75" t="s">
        <v>8026</v>
      </c>
      <c r="B2923" s="75" t="s">
        <v>8027</v>
      </c>
      <c r="C2923" s="75" t="s">
        <v>8028</v>
      </c>
      <c r="D2923" s="75">
        <v>1996</v>
      </c>
      <c r="E2923" s="75" t="s">
        <v>31</v>
      </c>
      <c r="F2923" s="75" t="s">
        <v>798</v>
      </c>
    </row>
    <row r="2924" spans="1:6" x14ac:dyDescent="0.3">
      <c r="A2924" s="75" t="s">
        <v>8029</v>
      </c>
      <c r="B2924" s="75" t="s">
        <v>8030</v>
      </c>
      <c r="C2924" s="75" t="s">
        <v>8031</v>
      </c>
      <c r="D2924" s="75" t="s">
        <v>13</v>
      </c>
      <c r="E2924" s="75" t="s">
        <v>53</v>
      </c>
      <c r="F2924" s="75" t="s">
        <v>229</v>
      </c>
    </row>
    <row r="2925" spans="1:6" x14ac:dyDescent="0.3">
      <c r="A2925" s="75" t="s">
        <v>8032</v>
      </c>
      <c r="B2925" s="75" t="s">
        <v>8033</v>
      </c>
      <c r="C2925" s="75" t="s">
        <v>8034</v>
      </c>
      <c r="D2925" s="75" t="s">
        <v>13</v>
      </c>
      <c r="E2925" s="75" t="s">
        <v>84</v>
      </c>
      <c r="F2925" s="75" t="s">
        <v>85</v>
      </c>
    </row>
    <row r="2926" spans="1:6" x14ac:dyDescent="0.3">
      <c r="A2926" s="75" t="s">
        <v>8035</v>
      </c>
      <c r="B2926" s="75" t="s">
        <v>8036</v>
      </c>
      <c r="C2926" s="75" t="s">
        <v>8037</v>
      </c>
      <c r="D2926" s="75" t="s">
        <v>13</v>
      </c>
      <c r="E2926" s="75" t="s">
        <v>518</v>
      </c>
      <c r="F2926" s="75" t="s">
        <v>527</v>
      </c>
    </row>
    <row r="2927" spans="1:6" x14ac:dyDescent="0.3">
      <c r="A2927" s="75" t="s">
        <v>8038</v>
      </c>
      <c r="B2927" s="75" t="s">
        <v>8036</v>
      </c>
      <c r="C2927" s="75" t="s">
        <v>13</v>
      </c>
      <c r="D2927" s="75" t="s">
        <v>13</v>
      </c>
      <c r="E2927" s="75" t="s">
        <v>518</v>
      </c>
      <c r="F2927" s="75" t="s">
        <v>527</v>
      </c>
    </row>
    <row r="2928" spans="1:6" x14ac:dyDescent="0.3">
      <c r="A2928" s="75" t="s">
        <v>8039</v>
      </c>
      <c r="B2928" s="75" t="s">
        <v>8036</v>
      </c>
      <c r="C2928" s="75" t="s">
        <v>13</v>
      </c>
      <c r="D2928" s="75" t="s">
        <v>13</v>
      </c>
      <c r="E2928" s="75" t="s">
        <v>518</v>
      </c>
      <c r="F2928" s="75" t="s">
        <v>527</v>
      </c>
    </row>
    <row r="2929" spans="1:6" x14ac:dyDescent="0.3">
      <c r="A2929" s="75" t="s">
        <v>8040</v>
      </c>
      <c r="B2929" s="75" t="s">
        <v>8036</v>
      </c>
      <c r="C2929" s="75" t="s">
        <v>13</v>
      </c>
      <c r="D2929" s="75" t="s">
        <v>13</v>
      </c>
      <c r="E2929" s="75" t="s">
        <v>518</v>
      </c>
      <c r="F2929" s="75" t="s">
        <v>527</v>
      </c>
    </row>
    <row r="2930" spans="1:6" x14ac:dyDescent="0.3">
      <c r="A2930" s="75" t="s">
        <v>8041</v>
      </c>
      <c r="B2930" s="75" t="s">
        <v>8042</v>
      </c>
      <c r="C2930" s="75" t="s">
        <v>8043</v>
      </c>
      <c r="D2930" s="75" t="s">
        <v>13</v>
      </c>
      <c r="E2930" s="75" t="s">
        <v>31</v>
      </c>
      <c r="F2930" s="75" t="s">
        <v>161</v>
      </c>
    </row>
    <row r="2931" spans="1:6" x14ac:dyDescent="0.3">
      <c r="A2931" s="75" t="s">
        <v>8044</v>
      </c>
      <c r="B2931" s="75" t="s">
        <v>8045</v>
      </c>
      <c r="C2931" s="75" t="s">
        <v>8046</v>
      </c>
      <c r="D2931" s="75">
        <v>2014</v>
      </c>
      <c r="E2931" s="75" t="s">
        <v>70</v>
      </c>
      <c r="F2931" s="75" t="s">
        <v>71</v>
      </c>
    </row>
    <row r="2932" spans="1:6" x14ac:dyDescent="0.3">
      <c r="A2932" s="75" t="s">
        <v>8047</v>
      </c>
      <c r="B2932" s="75" t="s">
        <v>8048</v>
      </c>
      <c r="C2932" s="75" t="s">
        <v>8049</v>
      </c>
      <c r="D2932" s="75" t="s">
        <v>13</v>
      </c>
      <c r="E2932" s="75" t="s">
        <v>8</v>
      </c>
      <c r="F2932" s="75" t="s">
        <v>27</v>
      </c>
    </row>
    <row r="2933" spans="1:6" x14ac:dyDescent="0.3">
      <c r="A2933" s="75" t="s">
        <v>8050</v>
      </c>
      <c r="B2933" s="75" t="s">
        <v>8051</v>
      </c>
      <c r="C2933" s="75" t="s">
        <v>8052</v>
      </c>
      <c r="D2933" s="75" t="s">
        <v>13</v>
      </c>
      <c r="E2933" s="75" t="s">
        <v>70</v>
      </c>
      <c r="F2933" s="75" t="s">
        <v>71</v>
      </c>
    </row>
    <row r="2934" spans="1:6" x14ac:dyDescent="0.3">
      <c r="A2934" s="75" t="s">
        <v>8053</v>
      </c>
      <c r="B2934" s="75" t="s">
        <v>8054</v>
      </c>
      <c r="C2934" s="75" t="s">
        <v>8055</v>
      </c>
      <c r="D2934" s="75">
        <v>2007</v>
      </c>
      <c r="E2934" s="75" t="s">
        <v>53</v>
      </c>
      <c r="F2934" s="75" t="s">
        <v>353</v>
      </c>
    </row>
    <row r="2935" spans="1:6" x14ac:dyDescent="0.3">
      <c r="A2935" s="75" t="s">
        <v>8056</v>
      </c>
      <c r="B2935" s="75" t="s">
        <v>8057</v>
      </c>
      <c r="C2935" s="75" t="s">
        <v>8058</v>
      </c>
      <c r="D2935" s="75">
        <v>1990</v>
      </c>
      <c r="E2935" s="75" t="s">
        <v>53</v>
      </c>
      <c r="F2935" s="75" t="s">
        <v>63</v>
      </c>
    </row>
    <row r="2936" spans="1:6" x14ac:dyDescent="0.3">
      <c r="A2936" s="75" t="s">
        <v>8059</v>
      </c>
      <c r="B2936" s="75" t="s">
        <v>8060</v>
      </c>
      <c r="C2936" s="75" t="s">
        <v>8061</v>
      </c>
      <c r="D2936" s="75">
        <v>1992</v>
      </c>
      <c r="E2936" s="75" t="s">
        <v>70</v>
      </c>
      <c r="F2936" s="75" t="s">
        <v>137</v>
      </c>
    </row>
    <row r="2937" spans="1:6" x14ac:dyDescent="0.3">
      <c r="A2937" s="75" t="s">
        <v>8062</v>
      </c>
      <c r="B2937" s="75" t="s">
        <v>8063</v>
      </c>
      <c r="C2937" s="75" t="s">
        <v>8064</v>
      </c>
      <c r="D2937" s="75" t="s">
        <v>13</v>
      </c>
      <c r="E2937" s="75" t="s">
        <v>31</v>
      </c>
      <c r="F2937" s="75" t="s">
        <v>32</v>
      </c>
    </row>
    <row r="2938" spans="1:6" x14ac:dyDescent="0.3">
      <c r="A2938" s="75" t="s">
        <v>8065</v>
      </c>
      <c r="B2938" s="75" t="s">
        <v>8066</v>
      </c>
      <c r="C2938" s="75" t="s">
        <v>8067</v>
      </c>
      <c r="D2938" s="75">
        <v>2013</v>
      </c>
      <c r="E2938" s="75" t="s">
        <v>8</v>
      </c>
      <c r="F2938" s="75" t="s">
        <v>27</v>
      </c>
    </row>
    <row r="2939" spans="1:6" x14ac:dyDescent="0.3">
      <c r="A2939" s="75" t="s">
        <v>8068</v>
      </c>
      <c r="B2939" s="75" t="s">
        <v>8069</v>
      </c>
      <c r="C2939" s="75" t="s">
        <v>8070</v>
      </c>
      <c r="D2939" s="75">
        <v>2014</v>
      </c>
      <c r="E2939" s="75" t="s">
        <v>8</v>
      </c>
      <c r="F2939" s="75" t="s">
        <v>27</v>
      </c>
    </row>
    <row r="2940" spans="1:6" x14ac:dyDescent="0.3">
      <c r="A2940" s="75" t="s">
        <v>8071</v>
      </c>
      <c r="B2940" s="75" t="s">
        <v>8072</v>
      </c>
      <c r="C2940" s="75" t="s">
        <v>460</v>
      </c>
      <c r="D2940" s="75">
        <v>2016</v>
      </c>
      <c r="E2940" s="75" t="s">
        <v>31</v>
      </c>
      <c r="F2940" s="75" t="s">
        <v>161</v>
      </c>
    </row>
    <row r="2941" spans="1:6" x14ac:dyDescent="0.3">
      <c r="A2941" s="75" t="s">
        <v>8073</v>
      </c>
      <c r="B2941" s="75" t="s">
        <v>8074</v>
      </c>
      <c r="C2941" s="75" t="s">
        <v>8075</v>
      </c>
      <c r="D2941" s="75" t="s">
        <v>13</v>
      </c>
      <c r="E2941" s="75" t="s">
        <v>18</v>
      </c>
      <c r="F2941" s="75" t="s">
        <v>2283</v>
      </c>
    </row>
    <row r="2942" spans="1:6" x14ac:dyDescent="0.3">
      <c r="A2942" s="75" t="s">
        <v>8076</v>
      </c>
      <c r="B2942" s="75" t="s">
        <v>8077</v>
      </c>
      <c r="C2942" s="75" t="s">
        <v>8078</v>
      </c>
      <c r="D2942" s="75" t="s">
        <v>13</v>
      </c>
      <c r="E2942" s="75" t="s">
        <v>70</v>
      </c>
      <c r="F2942" s="75" t="s">
        <v>118</v>
      </c>
    </row>
    <row r="2943" spans="1:6" x14ac:dyDescent="0.3">
      <c r="A2943" s="75" t="b">
        <v>1</v>
      </c>
      <c r="B2943" s="75" t="s">
        <v>8079</v>
      </c>
      <c r="C2943" s="75" t="s">
        <v>8080</v>
      </c>
      <c r="D2943" s="75">
        <v>2014</v>
      </c>
      <c r="E2943" s="75" t="s">
        <v>31</v>
      </c>
      <c r="F2943" s="75" t="s">
        <v>32</v>
      </c>
    </row>
    <row r="2944" spans="1:6" x14ac:dyDescent="0.3">
      <c r="A2944" s="75" t="s">
        <v>8081</v>
      </c>
      <c r="B2944" s="75" t="s">
        <v>8082</v>
      </c>
      <c r="C2944" s="75" t="s">
        <v>8083</v>
      </c>
      <c r="D2944" s="75">
        <v>2013</v>
      </c>
      <c r="E2944" s="75" t="s">
        <v>348</v>
      </c>
      <c r="F2944" s="75" t="s">
        <v>1598</v>
      </c>
    </row>
    <row r="2945" spans="1:6" x14ac:dyDescent="0.3">
      <c r="A2945" s="75" t="s">
        <v>8084</v>
      </c>
      <c r="B2945" s="75" t="s">
        <v>8085</v>
      </c>
      <c r="C2945" s="75" t="s">
        <v>8086</v>
      </c>
      <c r="D2945" s="75" t="s">
        <v>13</v>
      </c>
      <c r="E2945" s="75" t="s">
        <v>70</v>
      </c>
      <c r="F2945" s="75" t="s">
        <v>101</v>
      </c>
    </row>
    <row r="2946" spans="1:6" x14ac:dyDescent="0.3">
      <c r="A2946" s="75" t="s">
        <v>8087</v>
      </c>
      <c r="B2946" s="75" t="s">
        <v>8088</v>
      </c>
      <c r="C2946" s="75" t="s">
        <v>8089</v>
      </c>
      <c r="D2946" s="75" t="s">
        <v>13</v>
      </c>
      <c r="E2946" s="75" t="s">
        <v>8</v>
      </c>
      <c r="F2946" s="75" t="s">
        <v>27</v>
      </c>
    </row>
    <row r="2947" spans="1:6" x14ac:dyDescent="0.3">
      <c r="A2947" s="75" t="s">
        <v>8090</v>
      </c>
      <c r="B2947" s="75" t="s">
        <v>8091</v>
      </c>
      <c r="C2947" s="75" t="s">
        <v>202</v>
      </c>
      <c r="D2947" s="75" t="s">
        <v>13</v>
      </c>
      <c r="E2947" s="75" t="s">
        <v>8</v>
      </c>
      <c r="F2947" s="75" t="s">
        <v>27</v>
      </c>
    </row>
    <row r="2948" spans="1:6" x14ac:dyDescent="0.3">
      <c r="A2948" s="75" t="s">
        <v>8092</v>
      </c>
      <c r="B2948" s="75" t="s">
        <v>8093</v>
      </c>
      <c r="C2948" s="75" t="s">
        <v>424</v>
      </c>
      <c r="D2948" s="75" t="s">
        <v>13</v>
      </c>
      <c r="E2948" s="75" t="s">
        <v>31</v>
      </c>
      <c r="F2948" s="75" t="s">
        <v>161</v>
      </c>
    </row>
    <row r="2949" spans="1:6" x14ac:dyDescent="0.3">
      <c r="A2949" s="75" t="s">
        <v>8094</v>
      </c>
      <c r="B2949" s="75" t="s">
        <v>8095</v>
      </c>
      <c r="C2949" s="75" t="s">
        <v>1492</v>
      </c>
      <c r="D2949" s="75">
        <v>2000</v>
      </c>
      <c r="E2949" s="75" t="s">
        <v>31</v>
      </c>
      <c r="F2949" s="75" t="s">
        <v>229</v>
      </c>
    </row>
    <row r="2950" spans="1:6" x14ac:dyDescent="0.3">
      <c r="A2950" s="75" t="s">
        <v>8096</v>
      </c>
      <c r="B2950" s="75" t="s">
        <v>8097</v>
      </c>
      <c r="C2950" s="75" t="s">
        <v>8098</v>
      </c>
      <c r="D2950" s="75" t="s">
        <v>13</v>
      </c>
      <c r="E2950" s="75" t="s">
        <v>31</v>
      </c>
      <c r="F2950" s="75" t="s">
        <v>161</v>
      </c>
    </row>
    <row r="2951" spans="1:6" x14ac:dyDescent="0.3">
      <c r="A2951" s="75" t="s">
        <v>8099</v>
      </c>
      <c r="B2951" s="75" t="s">
        <v>8100</v>
      </c>
      <c r="C2951" s="75" t="s">
        <v>8101</v>
      </c>
      <c r="D2951" s="75">
        <v>1999</v>
      </c>
      <c r="E2951" s="75" t="s">
        <v>18</v>
      </c>
      <c r="F2951" s="75" t="s">
        <v>2123</v>
      </c>
    </row>
    <row r="2952" spans="1:6" x14ac:dyDescent="0.3">
      <c r="A2952" s="75" t="s">
        <v>8102</v>
      </c>
      <c r="B2952" s="75" t="s">
        <v>8103</v>
      </c>
      <c r="C2952" s="75" t="s">
        <v>279</v>
      </c>
      <c r="D2952" s="75">
        <v>2014</v>
      </c>
      <c r="E2952" s="75" t="s">
        <v>18</v>
      </c>
      <c r="F2952" s="75" t="s">
        <v>845</v>
      </c>
    </row>
    <row r="2953" spans="1:6" x14ac:dyDescent="0.3">
      <c r="A2953" s="75" t="s">
        <v>8104</v>
      </c>
      <c r="B2953" s="75" t="s">
        <v>8105</v>
      </c>
      <c r="C2953" s="75" t="s">
        <v>8106</v>
      </c>
      <c r="D2953" s="75" t="s">
        <v>13</v>
      </c>
      <c r="E2953" s="75" t="s">
        <v>518</v>
      </c>
      <c r="F2953" s="75" t="s">
        <v>49</v>
      </c>
    </row>
    <row r="2954" spans="1:6" x14ac:dyDescent="0.3">
      <c r="A2954" s="75" t="s">
        <v>8107</v>
      </c>
      <c r="B2954" s="75" t="s">
        <v>8108</v>
      </c>
      <c r="C2954" s="75" t="s">
        <v>8109</v>
      </c>
      <c r="D2954" s="75" t="s">
        <v>13</v>
      </c>
      <c r="E2954" s="75" t="s">
        <v>13</v>
      </c>
      <c r="F2954" s="75" t="s">
        <v>13</v>
      </c>
    </row>
    <row r="2955" spans="1:6" x14ac:dyDescent="0.3">
      <c r="A2955" s="75" t="s">
        <v>8110</v>
      </c>
      <c r="B2955" s="75" t="s">
        <v>8111</v>
      </c>
      <c r="C2955" s="75" t="s">
        <v>7888</v>
      </c>
      <c r="D2955" s="75" t="s">
        <v>13</v>
      </c>
      <c r="E2955" s="75" t="s">
        <v>13</v>
      </c>
      <c r="F2955" s="75" t="s">
        <v>13</v>
      </c>
    </row>
    <row r="2956" spans="1:6" x14ac:dyDescent="0.3">
      <c r="A2956" s="75" t="s">
        <v>8112</v>
      </c>
      <c r="B2956" s="75" t="s">
        <v>8113</v>
      </c>
      <c r="C2956" s="75" t="s">
        <v>8114</v>
      </c>
      <c r="D2956" s="75" t="s">
        <v>13</v>
      </c>
      <c r="E2956" s="75" t="s">
        <v>18</v>
      </c>
      <c r="F2956" s="75" t="s">
        <v>461</v>
      </c>
    </row>
    <row r="2957" spans="1:6" x14ac:dyDescent="0.3">
      <c r="A2957" s="75" t="s">
        <v>8115</v>
      </c>
      <c r="B2957" s="75" t="s">
        <v>8113</v>
      </c>
      <c r="C2957" s="75" t="s">
        <v>8116</v>
      </c>
      <c r="D2957" s="75" t="s">
        <v>13</v>
      </c>
      <c r="E2957" s="75" t="s">
        <v>18</v>
      </c>
      <c r="F2957" s="75" t="s">
        <v>461</v>
      </c>
    </row>
    <row r="2958" spans="1:6" x14ac:dyDescent="0.3">
      <c r="A2958" s="75" t="s">
        <v>8117</v>
      </c>
      <c r="B2958" s="75" t="s">
        <v>8118</v>
      </c>
      <c r="C2958" s="75" t="s">
        <v>8119</v>
      </c>
      <c r="D2958" s="75" t="s">
        <v>13</v>
      </c>
      <c r="E2958" s="75" t="s">
        <v>31</v>
      </c>
      <c r="F2958" s="75" t="s">
        <v>63</v>
      </c>
    </row>
    <row r="2959" spans="1:6" x14ac:dyDescent="0.3">
      <c r="A2959" s="75" t="s">
        <v>8120</v>
      </c>
      <c r="B2959" s="75" t="s">
        <v>8121</v>
      </c>
      <c r="C2959" s="75" t="s">
        <v>8122</v>
      </c>
      <c r="D2959" s="75" t="s">
        <v>13</v>
      </c>
      <c r="E2959" s="75" t="s">
        <v>8</v>
      </c>
      <c r="F2959" s="75" t="s">
        <v>27</v>
      </c>
    </row>
    <row r="2960" spans="1:6" x14ac:dyDescent="0.3">
      <c r="A2960" s="75" t="s">
        <v>8123</v>
      </c>
      <c r="B2960" s="75" t="s">
        <v>8124</v>
      </c>
      <c r="C2960" s="75" t="s">
        <v>8125</v>
      </c>
      <c r="D2960" s="75" t="s">
        <v>13</v>
      </c>
      <c r="E2960" s="75" t="s">
        <v>70</v>
      </c>
      <c r="F2960" s="75" t="s">
        <v>71</v>
      </c>
    </row>
    <row r="2961" spans="1:6" x14ac:dyDescent="0.3">
      <c r="A2961" s="75" t="s">
        <v>8126</v>
      </c>
      <c r="B2961" s="75" t="s">
        <v>8127</v>
      </c>
      <c r="C2961" s="75" t="s">
        <v>1398</v>
      </c>
      <c r="D2961" s="75" t="s">
        <v>13</v>
      </c>
      <c r="E2961" s="75" t="s">
        <v>53</v>
      </c>
      <c r="F2961" s="75" t="s">
        <v>1368</v>
      </c>
    </row>
    <row r="2962" spans="1:6" x14ac:dyDescent="0.3">
      <c r="A2962" s="75" t="s">
        <v>8128</v>
      </c>
      <c r="B2962" s="75" t="s">
        <v>8129</v>
      </c>
      <c r="C2962" s="75" t="s">
        <v>8130</v>
      </c>
      <c r="D2962" s="75">
        <v>2007</v>
      </c>
      <c r="E2962" s="75" t="s">
        <v>18</v>
      </c>
      <c r="F2962" s="75" t="s">
        <v>19</v>
      </c>
    </row>
    <row r="2963" spans="1:6" x14ac:dyDescent="0.3">
      <c r="A2963" s="75" t="s">
        <v>8131</v>
      </c>
      <c r="B2963" s="75" t="s">
        <v>8132</v>
      </c>
      <c r="C2963" s="75" t="s">
        <v>8133</v>
      </c>
      <c r="D2963" s="75" t="s">
        <v>13</v>
      </c>
      <c r="E2963" s="75" t="s">
        <v>84</v>
      </c>
      <c r="F2963" s="75" t="s">
        <v>85</v>
      </c>
    </row>
    <row r="2964" spans="1:6" x14ac:dyDescent="0.3">
      <c r="A2964" s="75" t="s">
        <v>8134</v>
      </c>
      <c r="B2964" s="75" t="s">
        <v>8135</v>
      </c>
      <c r="C2964" s="75" t="s">
        <v>3434</v>
      </c>
      <c r="D2964" s="75" t="s">
        <v>13</v>
      </c>
      <c r="E2964" s="75" t="s">
        <v>8</v>
      </c>
      <c r="F2964" s="75" t="s">
        <v>2382</v>
      </c>
    </row>
    <row r="2965" spans="1:6" x14ac:dyDescent="0.3">
      <c r="A2965" s="75" t="s">
        <v>8136</v>
      </c>
      <c r="B2965" s="75" t="s">
        <v>8137</v>
      </c>
      <c r="C2965" s="75" t="s">
        <v>8138</v>
      </c>
      <c r="D2965" s="75" t="s">
        <v>13</v>
      </c>
      <c r="E2965" s="75" t="s">
        <v>13</v>
      </c>
      <c r="F2965" s="75" t="s">
        <v>13</v>
      </c>
    </row>
    <row r="2966" spans="1:6" x14ac:dyDescent="0.3">
      <c r="A2966" s="75" t="s">
        <v>8139</v>
      </c>
      <c r="B2966" s="75" t="s">
        <v>8140</v>
      </c>
      <c r="C2966" s="75" t="s">
        <v>8141</v>
      </c>
      <c r="D2966" s="75">
        <v>2011</v>
      </c>
      <c r="E2966" s="75" t="s">
        <v>31</v>
      </c>
      <c r="F2966" s="75" t="s">
        <v>291</v>
      </c>
    </row>
    <row r="2967" spans="1:6" x14ac:dyDescent="0.3">
      <c r="A2967" s="75" t="s">
        <v>8142</v>
      </c>
      <c r="B2967" s="75" t="s">
        <v>8143</v>
      </c>
      <c r="C2967" s="75" t="s">
        <v>8144</v>
      </c>
      <c r="D2967" s="75">
        <v>1993</v>
      </c>
      <c r="E2967" s="75" t="s">
        <v>53</v>
      </c>
      <c r="F2967" s="75" t="s">
        <v>1642</v>
      </c>
    </row>
    <row r="2968" spans="1:6" x14ac:dyDescent="0.3">
      <c r="A2968" s="75" t="s">
        <v>8145</v>
      </c>
      <c r="B2968" s="75" t="s">
        <v>8146</v>
      </c>
      <c r="C2968" s="75" t="s">
        <v>8147</v>
      </c>
      <c r="D2968" s="75">
        <v>2007</v>
      </c>
      <c r="E2968" s="75" t="s">
        <v>18</v>
      </c>
      <c r="F2968" s="75" t="s">
        <v>19</v>
      </c>
    </row>
    <row r="2969" spans="1:6" x14ac:dyDescent="0.3">
      <c r="A2969" s="75" t="s">
        <v>8148</v>
      </c>
      <c r="B2969" s="75" t="s">
        <v>8149</v>
      </c>
      <c r="C2969" s="75" t="s">
        <v>8150</v>
      </c>
      <c r="D2969" s="75">
        <v>2004</v>
      </c>
      <c r="E2969" s="75" t="s">
        <v>31</v>
      </c>
      <c r="F2969" s="75" t="s">
        <v>92</v>
      </c>
    </row>
    <row r="2970" spans="1:6" x14ac:dyDescent="0.3">
      <c r="A2970" s="75" t="s">
        <v>8151</v>
      </c>
      <c r="B2970" s="75" t="s">
        <v>8152</v>
      </c>
      <c r="C2970" s="75" t="s">
        <v>1019</v>
      </c>
      <c r="D2970" s="75" t="s">
        <v>13</v>
      </c>
      <c r="E2970" s="75" t="s">
        <v>84</v>
      </c>
      <c r="F2970" s="75" t="s">
        <v>85</v>
      </c>
    </row>
    <row r="2971" spans="1:6" x14ac:dyDescent="0.3">
      <c r="A2971" s="75" t="s">
        <v>8153</v>
      </c>
      <c r="B2971" s="75" t="s">
        <v>8154</v>
      </c>
      <c r="C2971" s="75" t="s">
        <v>8155</v>
      </c>
      <c r="D2971" s="75">
        <v>2014</v>
      </c>
      <c r="E2971" s="75" t="s">
        <v>70</v>
      </c>
      <c r="F2971" s="75" t="s">
        <v>71</v>
      </c>
    </row>
    <row r="2972" spans="1:6" x14ac:dyDescent="0.3">
      <c r="A2972" s="75" t="s">
        <v>8156</v>
      </c>
      <c r="B2972" s="75" t="s">
        <v>8157</v>
      </c>
      <c r="C2972" s="75" t="s">
        <v>8158</v>
      </c>
      <c r="D2972" s="75">
        <v>1992</v>
      </c>
      <c r="E2972" s="75" t="s">
        <v>96</v>
      </c>
      <c r="F2972" s="75" t="s">
        <v>63</v>
      </c>
    </row>
    <row r="2973" spans="1:6" x14ac:dyDescent="0.3">
      <c r="A2973" s="75" t="s">
        <v>8159</v>
      </c>
      <c r="B2973" s="75" t="s">
        <v>8160</v>
      </c>
      <c r="C2973" s="75" t="s">
        <v>8161</v>
      </c>
      <c r="D2973" s="75" t="s">
        <v>13</v>
      </c>
      <c r="E2973" s="75" t="s">
        <v>8</v>
      </c>
      <c r="F2973" s="75" t="s">
        <v>27</v>
      </c>
    </row>
    <row r="2974" spans="1:6" x14ac:dyDescent="0.3">
      <c r="A2974" s="75" t="s">
        <v>8162</v>
      </c>
      <c r="B2974" s="75" t="s">
        <v>8163</v>
      </c>
      <c r="C2974" s="75" t="s">
        <v>8164</v>
      </c>
      <c r="D2974" s="75" t="s">
        <v>13</v>
      </c>
      <c r="E2974" s="75" t="s">
        <v>8</v>
      </c>
      <c r="F2974" s="75" t="s">
        <v>23</v>
      </c>
    </row>
    <row r="2975" spans="1:6" x14ac:dyDescent="0.3">
      <c r="A2975" s="75" t="s">
        <v>8165</v>
      </c>
      <c r="B2975" s="75" t="s">
        <v>8166</v>
      </c>
      <c r="C2975" s="75" t="s">
        <v>8167</v>
      </c>
      <c r="D2975" s="75" t="s">
        <v>13</v>
      </c>
      <c r="E2975" s="75" t="s">
        <v>8</v>
      </c>
      <c r="F2975" s="75" t="s">
        <v>9</v>
      </c>
    </row>
    <row r="2976" spans="1:6" x14ac:dyDescent="0.3">
      <c r="A2976" s="75" t="s">
        <v>8168</v>
      </c>
      <c r="B2976" s="75" t="s">
        <v>8169</v>
      </c>
      <c r="C2976" s="75" t="s">
        <v>8170</v>
      </c>
      <c r="D2976" s="75" t="s">
        <v>13</v>
      </c>
      <c r="E2976" s="75" t="s">
        <v>8</v>
      </c>
      <c r="F2976" s="75" t="s">
        <v>27</v>
      </c>
    </row>
    <row r="2977" spans="1:6" x14ac:dyDescent="0.3">
      <c r="A2977" s="75" t="s">
        <v>8171</v>
      </c>
      <c r="B2977" s="75" t="s">
        <v>8172</v>
      </c>
      <c r="C2977" s="75" t="s">
        <v>8173</v>
      </c>
      <c r="D2977" s="75" t="s">
        <v>13</v>
      </c>
      <c r="E2977" s="75" t="s">
        <v>8</v>
      </c>
      <c r="F2977" s="75" t="s">
        <v>27</v>
      </c>
    </row>
    <row r="2978" spans="1:6" x14ac:dyDescent="0.3">
      <c r="A2978" s="75" t="s">
        <v>8174</v>
      </c>
      <c r="B2978" s="75" t="s">
        <v>8175</v>
      </c>
      <c r="C2978" s="75" t="s">
        <v>8176</v>
      </c>
      <c r="D2978" s="75" t="s">
        <v>13</v>
      </c>
      <c r="E2978" s="75" t="s">
        <v>53</v>
      </c>
      <c r="F2978" s="75" t="s">
        <v>63</v>
      </c>
    </row>
    <row r="2979" spans="1:6" x14ac:dyDescent="0.3">
      <c r="A2979" s="75" t="s">
        <v>8177</v>
      </c>
      <c r="B2979" s="75" t="s">
        <v>8178</v>
      </c>
      <c r="C2979" s="75" t="s">
        <v>8179</v>
      </c>
      <c r="D2979" s="75">
        <v>2014</v>
      </c>
      <c r="E2979" s="75" t="s">
        <v>70</v>
      </c>
      <c r="F2979" s="75" t="s">
        <v>71</v>
      </c>
    </row>
    <row r="2980" spans="1:6" x14ac:dyDescent="0.3">
      <c r="A2980" s="75" t="s">
        <v>8180</v>
      </c>
      <c r="B2980" s="75" t="s">
        <v>8181</v>
      </c>
      <c r="C2980" s="75" t="s">
        <v>8182</v>
      </c>
      <c r="D2980" s="75" t="s">
        <v>13</v>
      </c>
      <c r="E2980" s="75" t="s">
        <v>8</v>
      </c>
      <c r="F2980" s="75" t="s">
        <v>27</v>
      </c>
    </row>
    <row r="2981" spans="1:6" x14ac:dyDescent="0.3">
      <c r="A2981" s="75" t="s">
        <v>8183</v>
      </c>
      <c r="B2981" s="75" t="s">
        <v>8184</v>
      </c>
      <c r="C2981" s="75" t="s">
        <v>2865</v>
      </c>
      <c r="D2981" s="75" t="s">
        <v>13</v>
      </c>
      <c r="E2981" s="75" t="s">
        <v>8</v>
      </c>
      <c r="F2981" s="75" t="s">
        <v>27</v>
      </c>
    </row>
    <row r="2982" spans="1:6" x14ac:dyDescent="0.3">
      <c r="A2982" s="75" t="s">
        <v>8185</v>
      </c>
      <c r="B2982" s="75" t="s">
        <v>8186</v>
      </c>
      <c r="C2982" s="75" t="s">
        <v>8187</v>
      </c>
      <c r="D2982" s="75" t="s">
        <v>13</v>
      </c>
      <c r="E2982" s="75" t="s">
        <v>8</v>
      </c>
      <c r="F2982" s="75" t="s">
        <v>27</v>
      </c>
    </row>
    <row r="2983" spans="1:6" x14ac:dyDescent="0.3">
      <c r="A2983" s="75" t="s">
        <v>8188</v>
      </c>
      <c r="B2983" s="75" t="s">
        <v>8189</v>
      </c>
      <c r="C2983" s="75" t="s">
        <v>3935</v>
      </c>
      <c r="D2983" s="75" t="s">
        <v>13</v>
      </c>
      <c r="E2983" s="75" t="s">
        <v>8</v>
      </c>
      <c r="F2983" s="75" t="s">
        <v>23</v>
      </c>
    </row>
    <row r="2984" spans="1:6" x14ac:dyDescent="0.3">
      <c r="A2984" s="75" t="s">
        <v>8190</v>
      </c>
      <c r="B2984" s="75" t="s">
        <v>8191</v>
      </c>
      <c r="C2984" s="75" t="s">
        <v>1233</v>
      </c>
      <c r="D2984" s="75" t="s">
        <v>13</v>
      </c>
      <c r="E2984" s="75" t="s">
        <v>8</v>
      </c>
      <c r="F2984" s="75" t="s">
        <v>27</v>
      </c>
    </row>
    <row r="2985" spans="1:6" x14ac:dyDescent="0.3">
      <c r="A2985" s="75" t="s">
        <v>8192</v>
      </c>
      <c r="B2985" s="75" t="s">
        <v>8193</v>
      </c>
      <c r="C2985" s="75" t="s">
        <v>8194</v>
      </c>
      <c r="D2985" s="75" t="s">
        <v>13</v>
      </c>
      <c r="E2985" s="75" t="s">
        <v>8</v>
      </c>
      <c r="F2985" s="75" t="s">
        <v>579</v>
      </c>
    </row>
    <row r="2986" spans="1:6" x14ac:dyDescent="0.3">
      <c r="A2986" s="75" t="s">
        <v>8195</v>
      </c>
      <c r="B2986" s="75" t="s">
        <v>8196</v>
      </c>
      <c r="C2986" s="75" t="s">
        <v>8197</v>
      </c>
      <c r="D2986" s="75" t="s">
        <v>13</v>
      </c>
      <c r="E2986" s="75" t="s">
        <v>8</v>
      </c>
      <c r="F2986" s="75" t="s">
        <v>579</v>
      </c>
    </row>
    <row r="2987" spans="1:6" x14ac:dyDescent="0.3">
      <c r="A2987" s="75" t="s">
        <v>8198</v>
      </c>
      <c r="B2987" s="75" t="s">
        <v>8199</v>
      </c>
      <c r="C2987" s="75" t="s">
        <v>8055</v>
      </c>
      <c r="D2987" s="75" t="s">
        <v>13</v>
      </c>
      <c r="E2987" s="75" t="s">
        <v>8</v>
      </c>
      <c r="F2987" s="75" t="s">
        <v>9</v>
      </c>
    </row>
    <row r="2988" spans="1:6" x14ac:dyDescent="0.3">
      <c r="A2988" s="75" t="s">
        <v>8200</v>
      </c>
      <c r="B2988" s="75" t="s">
        <v>8201</v>
      </c>
      <c r="C2988" s="75" t="s">
        <v>8202</v>
      </c>
      <c r="D2988" s="75" t="s">
        <v>13</v>
      </c>
      <c r="E2988" s="75" t="s">
        <v>8</v>
      </c>
      <c r="F2988" s="75" t="s">
        <v>9</v>
      </c>
    </row>
    <row r="2989" spans="1:6" x14ac:dyDescent="0.3">
      <c r="A2989" s="75" t="s">
        <v>8203</v>
      </c>
      <c r="B2989" s="75" t="s">
        <v>8204</v>
      </c>
      <c r="C2989" s="75" t="s">
        <v>3399</v>
      </c>
      <c r="D2989" s="75">
        <v>1996</v>
      </c>
      <c r="E2989" s="75" t="s">
        <v>348</v>
      </c>
      <c r="F2989" s="75" t="s">
        <v>1936</v>
      </c>
    </row>
    <row r="2990" spans="1:6" x14ac:dyDescent="0.3">
      <c r="A2990" s="75" t="s">
        <v>8205</v>
      </c>
      <c r="B2990" s="75" t="s">
        <v>8206</v>
      </c>
      <c r="C2990" s="75" t="s">
        <v>8207</v>
      </c>
      <c r="D2990" s="75" t="s">
        <v>13</v>
      </c>
      <c r="E2990" s="75" t="s">
        <v>8</v>
      </c>
      <c r="F2990" s="75" t="s">
        <v>27</v>
      </c>
    </row>
    <row r="2991" spans="1:6" x14ac:dyDescent="0.3">
      <c r="A2991" s="75" t="s">
        <v>8208</v>
      </c>
      <c r="B2991" s="75" t="s">
        <v>8209</v>
      </c>
      <c r="C2991" s="75" t="s">
        <v>8210</v>
      </c>
      <c r="D2991" s="75" t="s">
        <v>13</v>
      </c>
      <c r="E2991" s="75" t="s">
        <v>58</v>
      </c>
      <c r="F2991" s="75" t="s">
        <v>7347</v>
      </c>
    </row>
    <row r="2992" spans="1:6" x14ac:dyDescent="0.3">
      <c r="A2992" s="75" t="s">
        <v>8211</v>
      </c>
      <c r="B2992" s="75" t="s">
        <v>8212</v>
      </c>
      <c r="C2992" s="75" t="s">
        <v>8213</v>
      </c>
      <c r="D2992" s="75">
        <v>1999</v>
      </c>
      <c r="E2992" s="75" t="s">
        <v>70</v>
      </c>
      <c r="F2992" s="75" t="s">
        <v>71</v>
      </c>
    </row>
    <row r="2993" spans="1:6" x14ac:dyDescent="0.3">
      <c r="A2993" s="75" t="s">
        <v>8214</v>
      </c>
      <c r="B2993" s="75" t="s">
        <v>8215</v>
      </c>
      <c r="C2993" s="75" t="s">
        <v>8216</v>
      </c>
      <c r="D2993" s="75" t="s">
        <v>13</v>
      </c>
      <c r="E2993" s="75" t="s">
        <v>348</v>
      </c>
      <c r="F2993" s="75" t="s">
        <v>4265</v>
      </c>
    </row>
    <row r="2994" spans="1:6" x14ac:dyDescent="0.3">
      <c r="A2994" s="75" t="s">
        <v>8217</v>
      </c>
      <c r="B2994" s="75" t="s">
        <v>8218</v>
      </c>
      <c r="C2994" s="75" t="s">
        <v>460</v>
      </c>
      <c r="D2994" s="75" t="s">
        <v>13</v>
      </c>
      <c r="E2994" s="75" t="s">
        <v>18</v>
      </c>
      <c r="F2994" s="75" t="s">
        <v>266</v>
      </c>
    </row>
    <row r="2995" spans="1:6" x14ac:dyDescent="0.3">
      <c r="A2995" s="75" t="s">
        <v>8219</v>
      </c>
      <c r="B2995" s="75" t="s">
        <v>8220</v>
      </c>
      <c r="C2995" s="75" t="s">
        <v>8221</v>
      </c>
      <c r="D2995" s="75" t="s">
        <v>13</v>
      </c>
      <c r="E2995" s="75" t="s">
        <v>8</v>
      </c>
      <c r="F2995" s="75" t="s">
        <v>27</v>
      </c>
    </row>
    <row r="2996" spans="1:6" x14ac:dyDescent="0.3">
      <c r="A2996" s="75" t="s">
        <v>8222</v>
      </c>
      <c r="B2996" s="75" t="s">
        <v>8223</v>
      </c>
      <c r="C2996" s="75" t="s">
        <v>8224</v>
      </c>
      <c r="D2996" s="75" t="s">
        <v>13</v>
      </c>
      <c r="E2996" s="75" t="s">
        <v>53</v>
      </c>
      <c r="F2996" s="75" t="s">
        <v>229</v>
      </c>
    </row>
    <row r="2997" spans="1:6" x14ac:dyDescent="0.3">
      <c r="A2997" s="75" t="s">
        <v>8225</v>
      </c>
      <c r="B2997" s="75" t="s">
        <v>8226</v>
      </c>
      <c r="C2997" s="75" t="s">
        <v>8227</v>
      </c>
      <c r="D2997" s="75">
        <v>1993</v>
      </c>
      <c r="E2997" s="75" t="s">
        <v>348</v>
      </c>
      <c r="F2997" s="75" t="s">
        <v>4402</v>
      </c>
    </row>
    <row r="2998" spans="1:6" x14ac:dyDescent="0.3">
      <c r="A2998" s="75" t="s">
        <v>8228</v>
      </c>
      <c r="B2998" s="75" t="s">
        <v>8229</v>
      </c>
      <c r="C2998" s="75" t="s">
        <v>530</v>
      </c>
      <c r="D2998" s="75">
        <v>1993</v>
      </c>
      <c r="E2998" s="75" t="s">
        <v>58</v>
      </c>
      <c r="F2998" s="75" t="s">
        <v>523</v>
      </c>
    </row>
    <row r="2999" spans="1:6" x14ac:dyDescent="0.3">
      <c r="A2999" s="75" t="s">
        <v>8230</v>
      </c>
      <c r="B2999" s="75" t="s">
        <v>8231</v>
      </c>
      <c r="C2999" s="75" t="s">
        <v>8232</v>
      </c>
      <c r="D2999" s="75" t="s">
        <v>13</v>
      </c>
      <c r="E2999" s="75" t="s">
        <v>283</v>
      </c>
      <c r="F2999" s="75" t="s">
        <v>694</v>
      </c>
    </row>
    <row r="3000" spans="1:6" x14ac:dyDescent="0.3">
      <c r="A3000" s="75" t="s">
        <v>8233</v>
      </c>
      <c r="B3000" s="75" t="s">
        <v>8234</v>
      </c>
      <c r="C3000" s="75" t="s">
        <v>8235</v>
      </c>
      <c r="D3000" s="75">
        <v>1994</v>
      </c>
      <c r="E3000" s="75" t="s">
        <v>58</v>
      </c>
      <c r="F3000" s="75" t="s">
        <v>3547</v>
      </c>
    </row>
    <row r="3001" spans="1:6" x14ac:dyDescent="0.3">
      <c r="A3001" s="75" t="s">
        <v>8236</v>
      </c>
      <c r="B3001" s="75" t="s">
        <v>8237</v>
      </c>
      <c r="C3001" s="75" t="s">
        <v>8238</v>
      </c>
      <c r="D3001" s="75" t="s">
        <v>13</v>
      </c>
      <c r="E3001" s="75" t="s">
        <v>8</v>
      </c>
      <c r="F3001" s="75" t="s">
        <v>27</v>
      </c>
    </row>
    <row r="3002" spans="1:6" x14ac:dyDescent="0.3">
      <c r="A3002" s="75" t="s">
        <v>8239</v>
      </c>
      <c r="B3002" s="75" t="s">
        <v>8240</v>
      </c>
      <c r="C3002" s="75" t="s">
        <v>8241</v>
      </c>
      <c r="D3002" s="75">
        <v>2014</v>
      </c>
      <c r="E3002" s="75" t="s">
        <v>31</v>
      </c>
      <c r="F3002" s="75" t="s">
        <v>36</v>
      </c>
    </row>
    <row r="3003" spans="1:6" x14ac:dyDescent="0.3">
      <c r="A3003" s="75" t="s">
        <v>8242</v>
      </c>
      <c r="B3003" s="75" t="s">
        <v>8243</v>
      </c>
      <c r="C3003" s="75" t="s">
        <v>8244</v>
      </c>
      <c r="D3003" s="75" t="s">
        <v>13</v>
      </c>
      <c r="E3003" s="75" t="s">
        <v>58</v>
      </c>
      <c r="F3003" s="75" t="s">
        <v>1773</v>
      </c>
    </row>
    <row r="3004" spans="1:6" x14ac:dyDescent="0.3">
      <c r="A3004" s="75" t="s">
        <v>8245</v>
      </c>
      <c r="B3004" s="75" t="s">
        <v>8246</v>
      </c>
      <c r="C3004" s="75" t="s">
        <v>8247</v>
      </c>
      <c r="D3004" s="75" t="s">
        <v>13</v>
      </c>
      <c r="E3004" s="75" t="s">
        <v>18</v>
      </c>
      <c r="F3004" s="75" t="s">
        <v>1055</v>
      </c>
    </row>
    <row r="3005" spans="1:6" x14ac:dyDescent="0.3">
      <c r="A3005" s="75" t="s">
        <v>8248</v>
      </c>
      <c r="B3005" s="75" t="s">
        <v>8246</v>
      </c>
      <c r="C3005" s="75" t="s">
        <v>8249</v>
      </c>
      <c r="D3005" s="75" t="s">
        <v>13</v>
      </c>
      <c r="E3005" s="75" t="s">
        <v>18</v>
      </c>
      <c r="F3005" s="75" t="s">
        <v>1055</v>
      </c>
    </row>
    <row r="3006" spans="1:6" x14ac:dyDescent="0.3">
      <c r="A3006" s="75" t="s">
        <v>8250</v>
      </c>
      <c r="B3006" s="75" t="s">
        <v>8251</v>
      </c>
      <c r="C3006" s="75" t="s">
        <v>546</v>
      </c>
      <c r="D3006" s="75">
        <v>1993</v>
      </c>
      <c r="E3006" s="75" t="s">
        <v>18</v>
      </c>
      <c r="F3006" s="75" t="s">
        <v>762</v>
      </c>
    </row>
    <row r="3007" spans="1:6" x14ac:dyDescent="0.3">
      <c r="A3007" s="75" t="s">
        <v>8252</v>
      </c>
      <c r="B3007" s="75" t="s">
        <v>8253</v>
      </c>
      <c r="C3007" s="75" t="s">
        <v>8254</v>
      </c>
      <c r="D3007" s="75">
        <v>2017</v>
      </c>
      <c r="E3007" s="75" t="s">
        <v>70</v>
      </c>
      <c r="F3007" s="75" t="s">
        <v>71</v>
      </c>
    </row>
    <row r="3008" spans="1:6" x14ac:dyDescent="0.3">
      <c r="A3008" s="75" t="s">
        <v>8255</v>
      </c>
      <c r="B3008" s="75" t="s">
        <v>8256</v>
      </c>
      <c r="C3008" s="75" t="s">
        <v>1313</v>
      </c>
      <c r="D3008" s="75" t="s">
        <v>13</v>
      </c>
      <c r="E3008" s="75" t="s">
        <v>44</v>
      </c>
      <c r="F3008" s="75" t="s">
        <v>1520</v>
      </c>
    </row>
    <row r="3009" spans="1:6" x14ac:dyDescent="0.3">
      <c r="A3009" s="75" t="s">
        <v>8257</v>
      </c>
      <c r="B3009" s="75" t="s">
        <v>8258</v>
      </c>
      <c r="C3009" s="75" t="s">
        <v>8259</v>
      </c>
      <c r="D3009" s="75" t="s">
        <v>13</v>
      </c>
      <c r="E3009" s="75" t="s">
        <v>96</v>
      </c>
      <c r="F3009" s="75" t="s">
        <v>180</v>
      </c>
    </row>
    <row r="3010" spans="1:6" x14ac:dyDescent="0.3">
      <c r="A3010" s="75" t="s">
        <v>8260</v>
      </c>
      <c r="B3010" s="75" t="s">
        <v>8258</v>
      </c>
      <c r="C3010" s="75" t="s">
        <v>8261</v>
      </c>
      <c r="D3010" s="75" t="s">
        <v>13</v>
      </c>
      <c r="E3010" s="75" t="s">
        <v>96</v>
      </c>
      <c r="F3010" s="75" t="s">
        <v>180</v>
      </c>
    </row>
    <row r="3011" spans="1:6" x14ac:dyDescent="0.3">
      <c r="A3011" s="75" t="s">
        <v>8262</v>
      </c>
      <c r="B3011" s="75" t="s">
        <v>8263</v>
      </c>
      <c r="C3011" s="75" t="s">
        <v>8264</v>
      </c>
      <c r="D3011" s="75">
        <v>1992</v>
      </c>
      <c r="E3011" s="75" t="s">
        <v>283</v>
      </c>
      <c r="F3011" s="75" t="s">
        <v>694</v>
      </c>
    </row>
    <row r="3012" spans="1:6" x14ac:dyDescent="0.3">
      <c r="A3012" s="75" t="s">
        <v>8265</v>
      </c>
      <c r="B3012" s="75" t="s">
        <v>8266</v>
      </c>
      <c r="C3012" s="75" t="s">
        <v>8267</v>
      </c>
      <c r="D3012" s="75" t="s">
        <v>13</v>
      </c>
      <c r="E3012" s="75" t="s">
        <v>70</v>
      </c>
      <c r="F3012" s="75" t="s">
        <v>80</v>
      </c>
    </row>
    <row r="3013" spans="1:6" x14ac:dyDescent="0.3">
      <c r="A3013" s="75" t="s">
        <v>8268</v>
      </c>
      <c r="B3013" s="75" t="s">
        <v>8269</v>
      </c>
      <c r="C3013" s="75" t="s">
        <v>8270</v>
      </c>
      <c r="D3013" s="75">
        <v>2000</v>
      </c>
      <c r="E3013" s="75" t="s">
        <v>518</v>
      </c>
      <c r="F3013" s="75" t="s">
        <v>49</v>
      </c>
    </row>
    <row r="3014" spans="1:6" x14ac:dyDescent="0.3">
      <c r="A3014" s="75" t="s">
        <v>8271</v>
      </c>
      <c r="B3014" s="75" t="s">
        <v>8272</v>
      </c>
      <c r="C3014" s="75" t="s">
        <v>8273</v>
      </c>
      <c r="D3014" s="75" t="s">
        <v>13</v>
      </c>
      <c r="E3014" s="75" t="s">
        <v>70</v>
      </c>
      <c r="F3014" s="75" t="s">
        <v>80</v>
      </c>
    </row>
    <row r="3015" spans="1:6" x14ac:dyDescent="0.3">
      <c r="A3015" s="75" t="s">
        <v>8274</v>
      </c>
      <c r="B3015" s="75" t="s">
        <v>8275</v>
      </c>
      <c r="C3015" s="75" t="s">
        <v>8276</v>
      </c>
      <c r="D3015" s="75" t="s">
        <v>13</v>
      </c>
      <c r="E3015" s="75" t="s">
        <v>13</v>
      </c>
      <c r="F3015" s="75" t="s">
        <v>13</v>
      </c>
    </row>
    <row r="3016" spans="1:6" x14ac:dyDescent="0.3">
      <c r="A3016" s="75" t="s">
        <v>8277</v>
      </c>
      <c r="B3016" s="75" t="s">
        <v>8278</v>
      </c>
      <c r="C3016" s="75" t="s">
        <v>8279</v>
      </c>
      <c r="D3016" s="75">
        <v>1983</v>
      </c>
      <c r="E3016" s="75" t="s">
        <v>8</v>
      </c>
      <c r="F3016" s="75" t="s">
        <v>2382</v>
      </c>
    </row>
    <row r="3017" spans="1:6" x14ac:dyDescent="0.3">
      <c r="A3017" s="75" t="s">
        <v>8280</v>
      </c>
      <c r="B3017" s="75" t="s">
        <v>8281</v>
      </c>
      <c r="C3017" s="75" t="s">
        <v>8282</v>
      </c>
      <c r="D3017" s="75">
        <v>2006</v>
      </c>
      <c r="E3017" s="75" t="s">
        <v>70</v>
      </c>
      <c r="F3017" s="75" t="s">
        <v>71</v>
      </c>
    </row>
    <row r="3018" spans="1:6" x14ac:dyDescent="0.3">
      <c r="A3018" s="75" t="s">
        <v>8283</v>
      </c>
      <c r="B3018" s="75" t="s">
        <v>8284</v>
      </c>
      <c r="C3018" s="75" t="s">
        <v>8285</v>
      </c>
      <c r="D3018" s="75" t="s">
        <v>13</v>
      </c>
      <c r="E3018" s="75" t="s">
        <v>13</v>
      </c>
      <c r="F3018" s="75" t="s">
        <v>13</v>
      </c>
    </row>
    <row r="3019" spans="1:6" x14ac:dyDescent="0.3">
      <c r="A3019" s="75" t="s">
        <v>8286</v>
      </c>
      <c r="B3019" s="75" t="s">
        <v>8287</v>
      </c>
      <c r="C3019" s="75" t="s">
        <v>8288</v>
      </c>
      <c r="D3019" s="75" t="s">
        <v>13</v>
      </c>
      <c r="E3019" s="75" t="s">
        <v>13</v>
      </c>
      <c r="F3019" s="75" t="s">
        <v>13</v>
      </c>
    </row>
    <row r="3020" spans="1:6" x14ac:dyDescent="0.3">
      <c r="A3020" s="75" t="s">
        <v>8289</v>
      </c>
      <c r="B3020" s="75" t="s">
        <v>8290</v>
      </c>
      <c r="C3020" s="75" t="s">
        <v>8291</v>
      </c>
      <c r="D3020" s="75" t="s">
        <v>13</v>
      </c>
      <c r="E3020" s="75" t="s">
        <v>13</v>
      </c>
      <c r="F3020" s="75" t="s">
        <v>13</v>
      </c>
    </row>
    <row r="3021" spans="1:6" x14ac:dyDescent="0.3">
      <c r="A3021" s="75" t="s">
        <v>8292</v>
      </c>
      <c r="B3021" s="75" t="s">
        <v>8293</v>
      </c>
      <c r="C3021" s="75" t="s">
        <v>1430</v>
      </c>
      <c r="D3021" s="75" t="s">
        <v>13</v>
      </c>
      <c r="E3021" s="75" t="s">
        <v>13</v>
      </c>
      <c r="F3021" s="75" t="s">
        <v>13</v>
      </c>
    </row>
    <row r="3022" spans="1:6" x14ac:dyDescent="0.3">
      <c r="A3022" s="75" t="s">
        <v>8294</v>
      </c>
      <c r="B3022" s="75" t="s">
        <v>8295</v>
      </c>
      <c r="C3022" s="75" t="s">
        <v>8296</v>
      </c>
      <c r="D3022" s="75" t="s">
        <v>13</v>
      </c>
      <c r="E3022" s="75" t="s">
        <v>13</v>
      </c>
      <c r="F3022" s="75" t="s">
        <v>13</v>
      </c>
    </row>
    <row r="3023" spans="1:6" x14ac:dyDescent="0.3">
      <c r="A3023" s="75" t="s">
        <v>8297</v>
      </c>
      <c r="B3023" s="75" t="s">
        <v>8298</v>
      </c>
      <c r="C3023" s="75" t="s">
        <v>7030</v>
      </c>
      <c r="D3023" s="75" t="s">
        <v>13</v>
      </c>
      <c r="E3023" s="75" t="s">
        <v>13</v>
      </c>
      <c r="F3023" s="75" t="s">
        <v>13</v>
      </c>
    </row>
    <row r="3024" spans="1:6" x14ac:dyDescent="0.3">
      <c r="A3024" s="75" t="s">
        <v>8299</v>
      </c>
      <c r="B3024" s="75" t="s">
        <v>8300</v>
      </c>
      <c r="C3024" s="75" t="s">
        <v>8301</v>
      </c>
      <c r="D3024" s="75" t="s">
        <v>13</v>
      </c>
      <c r="E3024" s="75" t="s">
        <v>13</v>
      </c>
      <c r="F3024" s="75" t="s">
        <v>13</v>
      </c>
    </row>
    <row r="3025" spans="1:6" x14ac:dyDescent="0.3">
      <c r="A3025" s="75" t="s">
        <v>8302</v>
      </c>
      <c r="B3025" s="75" t="s">
        <v>8303</v>
      </c>
      <c r="C3025" s="75" t="s">
        <v>8304</v>
      </c>
      <c r="D3025" s="75" t="s">
        <v>13</v>
      </c>
      <c r="E3025" s="75" t="s">
        <v>13</v>
      </c>
      <c r="F3025" s="75" t="s">
        <v>13</v>
      </c>
    </row>
    <row r="3026" spans="1:6" x14ac:dyDescent="0.3">
      <c r="A3026" s="75" t="s">
        <v>8305</v>
      </c>
      <c r="B3026" s="75" t="s">
        <v>8306</v>
      </c>
      <c r="C3026" s="75" t="s">
        <v>8307</v>
      </c>
      <c r="D3026" s="75" t="s">
        <v>13</v>
      </c>
      <c r="E3026" s="75" t="s">
        <v>13</v>
      </c>
      <c r="F3026" s="75" t="s">
        <v>13</v>
      </c>
    </row>
    <row r="3027" spans="1:6" x14ac:dyDescent="0.3">
      <c r="A3027" s="75" t="s">
        <v>8308</v>
      </c>
      <c r="B3027" s="75" t="s">
        <v>8309</v>
      </c>
      <c r="C3027" s="75" t="s">
        <v>8310</v>
      </c>
      <c r="D3027" s="75" t="s">
        <v>13</v>
      </c>
      <c r="E3027" s="75" t="s">
        <v>13</v>
      </c>
      <c r="F3027" s="75" t="s">
        <v>13</v>
      </c>
    </row>
    <row r="3028" spans="1:6" x14ac:dyDescent="0.3">
      <c r="A3028" s="75" t="s">
        <v>8311</v>
      </c>
      <c r="B3028" s="75" t="s">
        <v>8312</v>
      </c>
      <c r="C3028" s="75" t="s">
        <v>8313</v>
      </c>
      <c r="D3028" s="75" t="s">
        <v>13</v>
      </c>
      <c r="E3028" s="75" t="s">
        <v>13</v>
      </c>
      <c r="F3028" s="75" t="s">
        <v>13</v>
      </c>
    </row>
    <row r="3029" spans="1:6" x14ac:dyDescent="0.3">
      <c r="A3029" s="75" t="s">
        <v>8314</v>
      </c>
      <c r="B3029" s="75" t="s">
        <v>8315</v>
      </c>
      <c r="C3029" s="75" t="s">
        <v>8316</v>
      </c>
      <c r="D3029" s="75" t="s">
        <v>13</v>
      </c>
      <c r="E3029" s="75" t="s">
        <v>13</v>
      </c>
      <c r="F3029" s="75" t="s">
        <v>13</v>
      </c>
    </row>
    <row r="3030" spans="1:6" x14ac:dyDescent="0.3">
      <c r="A3030" s="75" t="s">
        <v>8317</v>
      </c>
      <c r="B3030" s="75" t="s">
        <v>8318</v>
      </c>
      <c r="C3030" s="75" t="s">
        <v>8319</v>
      </c>
      <c r="D3030" s="75" t="s">
        <v>13</v>
      </c>
      <c r="E3030" s="75" t="s">
        <v>13</v>
      </c>
      <c r="F3030" s="75" t="s">
        <v>13</v>
      </c>
    </row>
    <row r="3031" spans="1:6" x14ac:dyDescent="0.3">
      <c r="A3031" s="75" t="s">
        <v>8320</v>
      </c>
      <c r="B3031" s="75" t="s">
        <v>8321</v>
      </c>
      <c r="C3031" s="75" t="s">
        <v>1398</v>
      </c>
      <c r="D3031" s="75" t="s">
        <v>13</v>
      </c>
      <c r="E3031" s="75" t="s">
        <v>13</v>
      </c>
      <c r="F3031" s="75" t="s">
        <v>13</v>
      </c>
    </row>
    <row r="3032" spans="1:6" x14ac:dyDescent="0.3">
      <c r="A3032" s="75" t="s">
        <v>8322</v>
      </c>
      <c r="B3032" s="75" t="s">
        <v>8323</v>
      </c>
      <c r="C3032" s="75" t="s">
        <v>43</v>
      </c>
      <c r="D3032" s="75" t="s">
        <v>13</v>
      </c>
      <c r="E3032" s="75" t="s">
        <v>13</v>
      </c>
      <c r="F3032" s="75" t="s">
        <v>13</v>
      </c>
    </row>
    <row r="3033" spans="1:6" x14ac:dyDescent="0.3">
      <c r="A3033" s="75" t="s">
        <v>8324</v>
      </c>
      <c r="B3033" s="75" t="s">
        <v>8325</v>
      </c>
      <c r="C3033" s="75" t="s">
        <v>196</v>
      </c>
      <c r="D3033" s="75" t="s">
        <v>13</v>
      </c>
      <c r="E3033" s="75" t="s">
        <v>13</v>
      </c>
      <c r="F3033" s="75" t="s">
        <v>13</v>
      </c>
    </row>
    <row r="3034" spans="1:6" x14ac:dyDescent="0.3">
      <c r="A3034" s="75" t="s">
        <v>8326</v>
      </c>
      <c r="B3034" s="75" t="s">
        <v>8327</v>
      </c>
      <c r="C3034" s="75" t="s">
        <v>8328</v>
      </c>
      <c r="D3034" s="75" t="s">
        <v>13</v>
      </c>
      <c r="E3034" s="75" t="s">
        <v>13</v>
      </c>
      <c r="F3034" s="75" t="s">
        <v>13</v>
      </c>
    </row>
    <row r="3035" spans="1:6" x14ac:dyDescent="0.3">
      <c r="A3035" s="75" t="s">
        <v>8329</v>
      </c>
      <c r="B3035" s="75" t="s">
        <v>8330</v>
      </c>
      <c r="C3035" s="75" t="s">
        <v>8331</v>
      </c>
      <c r="D3035" s="75" t="s">
        <v>13</v>
      </c>
      <c r="E3035" s="75" t="s">
        <v>13</v>
      </c>
      <c r="F3035" s="75" t="s">
        <v>13</v>
      </c>
    </row>
    <row r="3036" spans="1:6" x14ac:dyDescent="0.3">
      <c r="A3036" s="75" t="s">
        <v>8332</v>
      </c>
      <c r="B3036" s="75" t="s">
        <v>8333</v>
      </c>
      <c r="C3036" s="75" t="s">
        <v>8334</v>
      </c>
      <c r="D3036" s="75" t="s">
        <v>13</v>
      </c>
      <c r="E3036" s="75" t="s">
        <v>13</v>
      </c>
      <c r="F3036" s="75" t="s">
        <v>13</v>
      </c>
    </row>
    <row r="3037" spans="1:6" x14ac:dyDescent="0.3">
      <c r="A3037" s="75" t="s">
        <v>8335</v>
      </c>
      <c r="B3037" s="75" t="s">
        <v>8336</v>
      </c>
      <c r="C3037" s="75" t="s">
        <v>8337</v>
      </c>
      <c r="D3037" s="75" t="s">
        <v>13</v>
      </c>
      <c r="E3037" s="75" t="s">
        <v>13</v>
      </c>
      <c r="F3037" s="75" t="s">
        <v>13</v>
      </c>
    </row>
    <row r="3038" spans="1:6" x14ac:dyDescent="0.3">
      <c r="A3038" s="75" t="s">
        <v>8338</v>
      </c>
      <c r="B3038" s="75" t="s">
        <v>8339</v>
      </c>
      <c r="C3038" s="75" t="s">
        <v>7930</v>
      </c>
      <c r="D3038" s="75" t="s">
        <v>13</v>
      </c>
      <c r="E3038" s="75" t="s">
        <v>13</v>
      </c>
      <c r="F3038" s="75" t="s">
        <v>13</v>
      </c>
    </row>
    <row r="3039" spans="1:6" x14ac:dyDescent="0.3">
      <c r="A3039" s="75" t="s">
        <v>8340</v>
      </c>
      <c r="B3039" s="75" t="s">
        <v>8341</v>
      </c>
      <c r="C3039" s="75" t="s">
        <v>8342</v>
      </c>
      <c r="D3039" s="75" t="s">
        <v>13</v>
      </c>
      <c r="E3039" s="75" t="s">
        <v>13</v>
      </c>
      <c r="F3039" s="75" t="s">
        <v>13</v>
      </c>
    </row>
    <row r="3040" spans="1:6" x14ac:dyDescent="0.3">
      <c r="A3040" s="75" t="s">
        <v>8343</v>
      </c>
      <c r="B3040" s="75" t="s">
        <v>8344</v>
      </c>
      <c r="C3040" s="75" t="s">
        <v>8345</v>
      </c>
      <c r="D3040" s="75" t="s">
        <v>13</v>
      </c>
      <c r="E3040" s="75" t="s">
        <v>13</v>
      </c>
      <c r="F3040" s="75" t="s">
        <v>13</v>
      </c>
    </row>
    <row r="3041" spans="1:6" x14ac:dyDescent="0.3">
      <c r="A3041" s="75" t="s">
        <v>8346</v>
      </c>
      <c r="B3041" s="75" t="s">
        <v>8347</v>
      </c>
      <c r="C3041" s="75" t="s">
        <v>8348</v>
      </c>
      <c r="D3041" s="75" t="s">
        <v>13</v>
      </c>
      <c r="E3041" s="75" t="s">
        <v>13</v>
      </c>
      <c r="F3041" s="75" t="s">
        <v>13</v>
      </c>
    </row>
    <row r="3042" spans="1:6" x14ac:dyDescent="0.3">
      <c r="A3042" s="75" t="s">
        <v>8349</v>
      </c>
      <c r="B3042" s="75" t="s">
        <v>8350</v>
      </c>
      <c r="C3042" s="75" t="s">
        <v>8351</v>
      </c>
      <c r="D3042" s="75">
        <v>2017</v>
      </c>
      <c r="E3042" s="75" t="s">
        <v>8</v>
      </c>
      <c r="F3042" s="75" t="s">
        <v>76</v>
      </c>
    </row>
    <row r="3043" spans="1:6" x14ac:dyDescent="0.3">
      <c r="A3043" s="75" t="s">
        <v>8352</v>
      </c>
      <c r="B3043" s="75" t="s">
        <v>8350</v>
      </c>
      <c r="C3043" s="75" t="s">
        <v>13</v>
      </c>
      <c r="D3043" s="75">
        <v>2017</v>
      </c>
      <c r="E3043" s="75" t="s">
        <v>8</v>
      </c>
      <c r="F3043" s="75" t="s">
        <v>76</v>
      </c>
    </row>
    <row r="3044" spans="1:6" x14ac:dyDescent="0.3">
      <c r="A3044" s="75" t="s">
        <v>8353</v>
      </c>
      <c r="B3044" s="75" t="s">
        <v>8350</v>
      </c>
      <c r="C3044" s="75" t="s">
        <v>13</v>
      </c>
      <c r="D3044" s="75">
        <v>2017</v>
      </c>
      <c r="E3044" s="75" t="s">
        <v>8</v>
      </c>
      <c r="F3044" s="75" t="s">
        <v>76</v>
      </c>
    </row>
    <row r="3045" spans="1:6" x14ac:dyDescent="0.3">
      <c r="A3045" s="75" t="s">
        <v>8354</v>
      </c>
      <c r="B3045" s="75" t="s">
        <v>8355</v>
      </c>
      <c r="C3045" s="75" t="s">
        <v>8055</v>
      </c>
      <c r="D3045" s="75" t="s">
        <v>13</v>
      </c>
      <c r="E3045" s="75" t="s">
        <v>53</v>
      </c>
      <c r="F3045" s="75" t="s">
        <v>63</v>
      </c>
    </row>
    <row r="3046" spans="1:6" x14ac:dyDescent="0.3">
      <c r="A3046" s="75" t="s">
        <v>8356</v>
      </c>
      <c r="B3046" s="75" t="s">
        <v>8357</v>
      </c>
      <c r="C3046" s="75" t="s">
        <v>279</v>
      </c>
      <c r="D3046" s="75">
        <v>2014</v>
      </c>
      <c r="E3046" s="75" t="s">
        <v>31</v>
      </c>
      <c r="F3046" s="75" t="s">
        <v>36</v>
      </c>
    </row>
    <row r="3047" spans="1:6" x14ac:dyDescent="0.3">
      <c r="A3047" s="75" t="s">
        <v>8358</v>
      </c>
      <c r="B3047" s="75" t="s">
        <v>8359</v>
      </c>
      <c r="C3047" s="75" t="s">
        <v>8360</v>
      </c>
      <c r="D3047" s="75" t="s">
        <v>13</v>
      </c>
      <c r="E3047" s="75" t="s">
        <v>31</v>
      </c>
      <c r="F3047" s="75" t="s">
        <v>161</v>
      </c>
    </row>
    <row r="3048" spans="1:6" x14ac:dyDescent="0.3">
      <c r="A3048" s="75" t="s">
        <v>8361</v>
      </c>
      <c r="B3048" s="75" t="s">
        <v>8362</v>
      </c>
      <c r="C3048" s="75" t="s">
        <v>8363</v>
      </c>
      <c r="D3048" s="75">
        <v>2014</v>
      </c>
      <c r="E3048" s="75" t="s">
        <v>70</v>
      </c>
      <c r="F3048" s="75" t="s">
        <v>71</v>
      </c>
    </row>
    <row r="3049" spans="1:6" x14ac:dyDescent="0.3">
      <c r="A3049" s="75" t="s">
        <v>8364</v>
      </c>
      <c r="B3049" s="75" t="s">
        <v>8365</v>
      </c>
      <c r="C3049" s="75" t="s">
        <v>8366</v>
      </c>
      <c r="D3049" s="75" t="s">
        <v>13</v>
      </c>
      <c r="E3049" s="75" t="s">
        <v>70</v>
      </c>
      <c r="F3049" s="75" t="s">
        <v>118</v>
      </c>
    </row>
    <row r="3050" spans="1:6" x14ac:dyDescent="0.3">
      <c r="A3050" s="75" t="s">
        <v>8367</v>
      </c>
      <c r="B3050" s="75" t="s">
        <v>8368</v>
      </c>
      <c r="C3050" s="75" t="s">
        <v>8369</v>
      </c>
      <c r="D3050" s="75">
        <v>2001</v>
      </c>
      <c r="E3050" s="75" t="s">
        <v>348</v>
      </c>
      <c r="F3050" s="75" t="s">
        <v>349</v>
      </c>
    </row>
    <row r="3051" spans="1:6" x14ac:dyDescent="0.3">
      <c r="A3051" s="75" t="s">
        <v>8370</v>
      </c>
      <c r="B3051" s="75" t="s">
        <v>8371</v>
      </c>
      <c r="C3051" s="75" t="s">
        <v>500</v>
      </c>
      <c r="D3051" s="75">
        <v>1994</v>
      </c>
      <c r="E3051" s="75" t="s">
        <v>31</v>
      </c>
      <c r="F3051" s="75" t="s">
        <v>63</v>
      </c>
    </row>
    <row r="3052" spans="1:6" x14ac:dyDescent="0.3">
      <c r="A3052" s="75" t="s">
        <v>8372</v>
      </c>
      <c r="B3052" s="75" t="s">
        <v>8373</v>
      </c>
      <c r="C3052" s="75" t="s">
        <v>1099</v>
      </c>
      <c r="D3052" s="75" t="s">
        <v>13</v>
      </c>
      <c r="E3052" s="75" t="s">
        <v>8</v>
      </c>
      <c r="F3052" s="75" t="s">
        <v>1093</v>
      </c>
    </row>
    <row r="3053" spans="1:6" x14ac:dyDescent="0.3">
      <c r="A3053" s="75" t="s">
        <v>8374</v>
      </c>
      <c r="B3053" s="75" t="s">
        <v>8375</v>
      </c>
      <c r="C3053" s="75" t="s">
        <v>8376</v>
      </c>
      <c r="D3053" s="75" t="s">
        <v>13</v>
      </c>
      <c r="E3053" s="75" t="s">
        <v>8</v>
      </c>
      <c r="F3053" s="75" t="s">
        <v>1093</v>
      </c>
    </row>
    <row r="3054" spans="1:6" x14ac:dyDescent="0.3">
      <c r="A3054" s="75" t="s">
        <v>8377</v>
      </c>
      <c r="B3054" s="75" t="s">
        <v>8378</v>
      </c>
      <c r="C3054" s="75" t="s">
        <v>8379</v>
      </c>
      <c r="D3054" s="75" t="s">
        <v>13</v>
      </c>
      <c r="E3054" s="75" t="s">
        <v>8</v>
      </c>
      <c r="F3054" s="75" t="s">
        <v>1093</v>
      </c>
    </row>
    <row r="3055" spans="1:6" x14ac:dyDescent="0.3">
      <c r="A3055" s="75" t="s">
        <v>8380</v>
      </c>
      <c r="B3055" s="75" t="s">
        <v>8381</v>
      </c>
      <c r="C3055" s="75" t="s">
        <v>8382</v>
      </c>
      <c r="D3055" s="75" t="s">
        <v>13</v>
      </c>
      <c r="E3055" s="75" t="s">
        <v>8</v>
      </c>
      <c r="F3055" s="75" t="s">
        <v>1093</v>
      </c>
    </row>
    <row r="3056" spans="1:6" x14ac:dyDescent="0.3">
      <c r="A3056" s="75" t="s">
        <v>8383</v>
      </c>
      <c r="B3056" s="75" t="s">
        <v>8384</v>
      </c>
      <c r="C3056" s="75" t="s">
        <v>8385</v>
      </c>
      <c r="D3056" s="75" t="s">
        <v>13</v>
      </c>
      <c r="E3056" s="75" t="s">
        <v>8</v>
      </c>
      <c r="F3056" s="75" t="s">
        <v>1093</v>
      </c>
    </row>
    <row r="3057" spans="1:6" x14ac:dyDescent="0.3">
      <c r="A3057" s="75" t="s">
        <v>8386</v>
      </c>
      <c r="B3057" s="75" t="s">
        <v>8387</v>
      </c>
      <c r="C3057" s="75" t="s">
        <v>8388</v>
      </c>
      <c r="D3057" s="75" t="s">
        <v>13</v>
      </c>
      <c r="E3057" s="75" t="s">
        <v>8</v>
      </c>
      <c r="F3057" s="75" t="s">
        <v>1093</v>
      </c>
    </row>
    <row r="3058" spans="1:6" x14ac:dyDescent="0.3">
      <c r="A3058" s="75" t="s">
        <v>8389</v>
      </c>
      <c r="B3058" s="75" t="s">
        <v>8390</v>
      </c>
      <c r="C3058" s="75" t="s">
        <v>8391</v>
      </c>
      <c r="D3058" s="75" t="s">
        <v>13</v>
      </c>
      <c r="E3058" s="75" t="s">
        <v>8</v>
      </c>
      <c r="F3058" s="75" t="s">
        <v>1093</v>
      </c>
    </row>
    <row r="3059" spans="1:6" x14ac:dyDescent="0.3">
      <c r="A3059" s="75" t="s">
        <v>8392</v>
      </c>
      <c r="B3059" s="75" t="s">
        <v>8393</v>
      </c>
      <c r="C3059" s="75" t="s">
        <v>8394</v>
      </c>
      <c r="D3059" s="75" t="s">
        <v>13</v>
      </c>
      <c r="E3059" s="75" t="s">
        <v>8</v>
      </c>
      <c r="F3059" s="75" t="s">
        <v>1093</v>
      </c>
    </row>
    <row r="3060" spans="1:6" x14ac:dyDescent="0.3">
      <c r="A3060" s="75" t="s">
        <v>8395</v>
      </c>
      <c r="B3060" s="75" t="s">
        <v>8396</v>
      </c>
      <c r="C3060" s="75" t="s">
        <v>8397</v>
      </c>
      <c r="D3060" s="75" t="s">
        <v>13</v>
      </c>
      <c r="E3060" s="75" t="s">
        <v>8</v>
      </c>
      <c r="F3060" s="75" t="s">
        <v>1093</v>
      </c>
    </row>
    <row r="3061" spans="1:6" x14ac:dyDescent="0.3">
      <c r="A3061" s="75" t="s">
        <v>8398</v>
      </c>
      <c r="B3061" s="75" t="s">
        <v>8399</v>
      </c>
      <c r="C3061" s="75" t="s">
        <v>1840</v>
      </c>
      <c r="D3061" s="75" t="s">
        <v>13</v>
      </c>
      <c r="E3061" s="75" t="s">
        <v>8</v>
      </c>
      <c r="F3061" s="75" t="s">
        <v>1093</v>
      </c>
    </row>
    <row r="3062" spans="1:6" x14ac:dyDescent="0.3">
      <c r="A3062" s="75" t="s">
        <v>8400</v>
      </c>
      <c r="B3062" s="75" t="s">
        <v>8401</v>
      </c>
      <c r="C3062" s="75" t="s">
        <v>4477</v>
      </c>
      <c r="D3062" s="75" t="s">
        <v>13</v>
      </c>
      <c r="E3062" s="75" t="s">
        <v>44</v>
      </c>
      <c r="F3062" s="75" t="s">
        <v>49</v>
      </c>
    </row>
    <row r="3063" spans="1:6" x14ac:dyDescent="0.3">
      <c r="A3063" s="75" t="s">
        <v>8402</v>
      </c>
      <c r="B3063" s="75" t="s">
        <v>8403</v>
      </c>
      <c r="C3063" s="75" t="s">
        <v>8404</v>
      </c>
      <c r="D3063" s="75">
        <v>2010</v>
      </c>
      <c r="E3063" s="75" t="s">
        <v>348</v>
      </c>
      <c r="F3063" s="75" t="s">
        <v>1059</v>
      </c>
    </row>
    <row r="3064" spans="1:6" x14ac:dyDescent="0.3">
      <c r="A3064" s="75" t="s">
        <v>8405</v>
      </c>
      <c r="B3064" s="75" t="s">
        <v>8406</v>
      </c>
      <c r="C3064" s="75" t="s">
        <v>8407</v>
      </c>
      <c r="D3064" s="75">
        <v>2013</v>
      </c>
      <c r="E3064" s="75" t="s">
        <v>70</v>
      </c>
      <c r="F3064" s="75" t="s">
        <v>101</v>
      </c>
    </row>
    <row r="3065" spans="1:6" x14ac:dyDescent="0.3">
      <c r="A3065" s="75" t="s">
        <v>8408</v>
      </c>
      <c r="B3065" s="75" t="s">
        <v>8409</v>
      </c>
      <c r="C3065" s="75" t="s">
        <v>8410</v>
      </c>
      <c r="D3065" s="75">
        <v>2012</v>
      </c>
      <c r="E3065" s="75" t="s">
        <v>70</v>
      </c>
      <c r="F3065" s="75" t="s">
        <v>71</v>
      </c>
    </row>
    <row r="3066" spans="1:6" x14ac:dyDescent="0.3">
      <c r="A3066" s="75" t="s">
        <v>8411</v>
      </c>
      <c r="B3066" s="75" t="s">
        <v>8412</v>
      </c>
      <c r="C3066" s="75" t="s">
        <v>8413</v>
      </c>
      <c r="D3066" s="75" t="s">
        <v>13</v>
      </c>
      <c r="E3066" s="75" t="s">
        <v>70</v>
      </c>
      <c r="F3066" s="75" t="s">
        <v>118</v>
      </c>
    </row>
    <row r="3067" spans="1:6" x14ac:dyDescent="0.3">
      <c r="A3067" s="75" t="s">
        <v>8414</v>
      </c>
      <c r="B3067" s="75" t="s">
        <v>8415</v>
      </c>
      <c r="C3067" s="75" t="s">
        <v>2907</v>
      </c>
      <c r="D3067" s="75">
        <v>2002</v>
      </c>
      <c r="E3067" s="75" t="s">
        <v>31</v>
      </c>
      <c r="F3067" s="75" t="s">
        <v>161</v>
      </c>
    </row>
    <row r="3068" spans="1:6" x14ac:dyDescent="0.3">
      <c r="A3068" s="75" t="s">
        <v>8416</v>
      </c>
      <c r="B3068" s="75" t="s">
        <v>8417</v>
      </c>
      <c r="C3068" s="75" t="s">
        <v>8418</v>
      </c>
      <c r="D3068" s="75">
        <v>1998</v>
      </c>
      <c r="E3068" s="75" t="s">
        <v>31</v>
      </c>
      <c r="F3068" s="75" t="s">
        <v>161</v>
      </c>
    </row>
    <row r="3069" spans="1:6" x14ac:dyDescent="0.3">
      <c r="A3069" s="75" t="s">
        <v>8419</v>
      </c>
      <c r="B3069" s="75" t="s">
        <v>8420</v>
      </c>
      <c r="C3069" s="75" t="s">
        <v>8421</v>
      </c>
      <c r="D3069" s="75">
        <v>2009</v>
      </c>
      <c r="E3069" s="75" t="s">
        <v>31</v>
      </c>
      <c r="F3069" s="75" t="s">
        <v>161</v>
      </c>
    </row>
    <row r="3070" spans="1:6" x14ac:dyDescent="0.3">
      <c r="A3070" s="75" t="s">
        <v>8422</v>
      </c>
      <c r="B3070" s="75" t="s">
        <v>8423</v>
      </c>
      <c r="C3070" s="75" t="s">
        <v>8424</v>
      </c>
      <c r="D3070" s="75">
        <v>2014</v>
      </c>
      <c r="E3070" s="75" t="s">
        <v>8</v>
      </c>
      <c r="F3070" s="75" t="s">
        <v>27</v>
      </c>
    </row>
    <row r="3071" spans="1:6" x14ac:dyDescent="0.3">
      <c r="A3071" s="75" t="s">
        <v>8425</v>
      </c>
      <c r="B3071" s="75" t="s">
        <v>8426</v>
      </c>
      <c r="C3071" s="75" t="s">
        <v>8427</v>
      </c>
      <c r="D3071" s="75">
        <v>2017</v>
      </c>
      <c r="E3071" s="75" t="s">
        <v>31</v>
      </c>
      <c r="F3071" s="75" t="s">
        <v>161</v>
      </c>
    </row>
    <row r="3072" spans="1:6" x14ac:dyDescent="0.3">
      <c r="A3072" s="75" t="s">
        <v>8428</v>
      </c>
      <c r="B3072" s="75" t="s">
        <v>8429</v>
      </c>
      <c r="C3072" s="75" t="s">
        <v>8430</v>
      </c>
      <c r="D3072" s="75" t="s">
        <v>13</v>
      </c>
      <c r="E3072" s="75" t="s">
        <v>70</v>
      </c>
      <c r="F3072" s="75" t="s">
        <v>137</v>
      </c>
    </row>
    <row r="3073" spans="1:6" x14ac:dyDescent="0.3">
      <c r="A3073" s="75" t="s">
        <v>8431</v>
      </c>
      <c r="B3073" s="75" t="s">
        <v>8432</v>
      </c>
      <c r="C3073" s="75" t="s">
        <v>8433</v>
      </c>
      <c r="D3073" s="75">
        <v>2017</v>
      </c>
      <c r="E3073" s="75" t="s">
        <v>70</v>
      </c>
      <c r="F3073" s="75" t="s">
        <v>71</v>
      </c>
    </row>
    <row r="3074" spans="1:6" x14ac:dyDescent="0.3">
      <c r="A3074" s="75" t="s">
        <v>8434</v>
      </c>
      <c r="B3074" s="75" t="s">
        <v>8435</v>
      </c>
      <c r="C3074" s="75" t="s">
        <v>8436</v>
      </c>
      <c r="D3074" s="75">
        <v>2014</v>
      </c>
      <c r="E3074" s="75" t="s">
        <v>70</v>
      </c>
      <c r="F3074" s="75" t="s">
        <v>71</v>
      </c>
    </row>
    <row r="3075" spans="1:6" x14ac:dyDescent="0.3">
      <c r="A3075" s="75" t="s">
        <v>8437</v>
      </c>
      <c r="B3075" s="75" t="s">
        <v>8438</v>
      </c>
      <c r="C3075" s="75" t="s">
        <v>8439</v>
      </c>
      <c r="D3075" s="75" t="s">
        <v>13</v>
      </c>
      <c r="E3075" s="75" t="s">
        <v>84</v>
      </c>
      <c r="F3075" s="75" t="s">
        <v>1413</v>
      </c>
    </row>
    <row r="3076" spans="1:6" x14ac:dyDescent="0.3">
      <c r="A3076" s="75" t="s">
        <v>8440</v>
      </c>
      <c r="B3076" s="75" t="s">
        <v>8441</v>
      </c>
      <c r="C3076" s="75" t="s">
        <v>8442</v>
      </c>
      <c r="D3076" s="75">
        <v>1991</v>
      </c>
      <c r="E3076" s="75" t="s">
        <v>70</v>
      </c>
      <c r="F3076" s="75" t="s">
        <v>71</v>
      </c>
    </row>
    <row r="3077" spans="1:6" x14ac:dyDescent="0.3">
      <c r="A3077" s="75" t="s">
        <v>8443</v>
      </c>
      <c r="B3077" s="75" t="s">
        <v>8444</v>
      </c>
      <c r="C3077" s="75" t="s">
        <v>8445</v>
      </c>
      <c r="D3077" s="75" t="s">
        <v>13</v>
      </c>
      <c r="E3077" s="75" t="s">
        <v>58</v>
      </c>
      <c r="F3077" s="75" t="s">
        <v>1762</v>
      </c>
    </row>
    <row r="3078" spans="1:6" x14ac:dyDescent="0.3">
      <c r="A3078" s="75" t="s">
        <v>8446</v>
      </c>
      <c r="B3078" s="75" t="s">
        <v>8447</v>
      </c>
      <c r="C3078" s="75" t="s">
        <v>8448</v>
      </c>
      <c r="D3078" s="75" t="s">
        <v>13</v>
      </c>
      <c r="E3078" s="75" t="s">
        <v>18</v>
      </c>
      <c r="F3078" s="75" t="s">
        <v>461</v>
      </c>
    </row>
    <row r="3079" spans="1:6" x14ac:dyDescent="0.3">
      <c r="A3079" s="75" t="s">
        <v>8449</v>
      </c>
      <c r="B3079" s="75" t="s">
        <v>8447</v>
      </c>
      <c r="C3079" s="75" t="s">
        <v>8450</v>
      </c>
      <c r="D3079" s="75" t="s">
        <v>13</v>
      </c>
      <c r="E3079" s="75" t="s">
        <v>18</v>
      </c>
      <c r="F3079" s="75" t="s">
        <v>461</v>
      </c>
    </row>
    <row r="3080" spans="1:6" x14ac:dyDescent="0.3">
      <c r="A3080" s="75" t="s">
        <v>8451</v>
      </c>
      <c r="B3080" s="75" t="s">
        <v>8452</v>
      </c>
      <c r="C3080" s="75" t="s">
        <v>8453</v>
      </c>
      <c r="D3080" s="75">
        <v>1996</v>
      </c>
      <c r="E3080" s="75" t="s">
        <v>31</v>
      </c>
      <c r="F3080" s="75" t="s">
        <v>291</v>
      </c>
    </row>
    <row r="3081" spans="1:6" x14ac:dyDescent="0.3">
      <c r="A3081" s="75" t="s">
        <v>8454</v>
      </c>
      <c r="B3081" s="75" t="s">
        <v>8455</v>
      </c>
      <c r="C3081" s="75" t="s">
        <v>7556</v>
      </c>
      <c r="D3081" s="75" t="s">
        <v>13</v>
      </c>
      <c r="E3081" s="75" t="s">
        <v>31</v>
      </c>
      <c r="F3081" s="75" t="s">
        <v>92</v>
      </c>
    </row>
    <row r="3082" spans="1:6" x14ac:dyDescent="0.3">
      <c r="A3082" s="75" t="s">
        <v>8456</v>
      </c>
      <c r="B3082" s="75" t="s">
        <v>8457</v>
      </c>
      <c r="C3082" s="75" t="s">
        <v>8458</v>
      </c>
      <c r="D3082" s="75">
        <v>1993</v>
      </c>
      <c r="E3082" s="75" t="s">
        <v>70</v>
      </c>
      <c r="F3082" s="75" t="s">
        <v>118</v>
      </c>
    </row>
    <row r="3083" spans="1:6" x14ac:dyDescent="0.3">
      <c r="A3083" s="75" t="s">
        <v>8459</v>
      </c>
      <c r="B3083" s="75" t="s">
        <v>8460</v>
      </c>
      <c r="C3083" s="75" t="s">
        <v>8461</v>
      </c>
      <c r="D3083" s="75" t="s">
        <v>13</v>
      </c>
      <c r="E3083" s="75" t="s">
        <v>53</v>
      </c>
      <c r="F3083" s="75" t="s">
        <v>63</v>
      </c>
    </row>
    <row r="3084" spans="1:6" x14ac:dyDescent="0.3">
      <c r="A3084" s="75" t="s">
        <v>8462</v>
      </c>
      <c r="B3084" s="75" t="s">
        <v>8463</v>
      </c>
      <c r="C3084" s="75" t="s">
        <v>13</v>
      </c>
      <c r="D3084" s="75" t="s">
        <v>13</v>
      </c>
      <c r="E3084" s="75" t="s">
        <v>13</v>
      </c>
      <c r="F3084" s="75" t="s">
        <v>13</v>
      </c>
    </row>
    <row r="3085" spans="1:6" x14ac:dyDescent="0.3">
      <c r="A3085" s="75" t="s">
        <v>8464</v>
      </c>
      <c r="B3085" s="75" t="s">
        <v>8465</v>
      </c>
      <c r="C3085" s="75" t="s">
        <v>13</v>
      </c>
      <c r="D3085" s="75" t="s">
        <v>13</v>
      </c>
      <c r="E3085" s="75" t="s">
        <v>13</v>
      </c>
      <c r="F3085" s="75" t="s">
        <v>13</v>
      </c>
    </row>
    <row r="3086" spans="1:6" x14ac:dyDescent="0.3">
      <c r="A3086" s="75" t="s">
        <v>8466</v>
      </c>
      <c r="B3086" s="75" t="s">
        <v>8467</v>
      </c>
      <c r="C3086" s="75" t="s">
        <v>13</v>
      </c>
      <c r="D3086" s="75" t="s">
        <v>13</v>
      </c>
      <c r="E3086" s="75" t="s">
        <v>13</v>
      </c>
      <c r="F3086" s="75" t="s">
        <v>13</v>
      </c>
    </row>
    <row r="3087" spans="1:6" x14ac:dyDescent="0.3">
      <c r="A3087" s="75" t="s">
        <v>8468</v>
      </c>
      <c r="B3087" s="75" t="s">
        <v>8469</v>
      </c>
      <c r="C3087" s="75" t="s">
        <v>13</v>
      </c>
      <c r="D3087" s="75" t="s">
        <v>13</v>
      </c>
      <c r="E3087" s="75" t="s">
        <v>13</v>
      </c>
      <c r="F3087" s="75" t="s">
        <v>13</v>
      </c>
    </row>
    <row r="3088" spans="1:6" x14ac:dyDescent="0.3">
      <c r="A3088" s="75" t="s">
        <v>8470</v>
      </c>
      <c r="B3088" s="75" t="s">
        <v>8471</v>
      </c>
      <c r="C3088" s="75" t="s">
        <v>13</v>
      </c>
      <c r="D3088" s="75" t="s">
        <v>13</v>
      </c>
      <c r="E3088" s="75" t="s">
        <v>13</v>
      </c>
      <c r="F3088" s="75" t="s">
        <v>13</v>
      </c>
    </row>
    <row r="3089" spans="1:6" x14ac:dyDescent="0.3">
      <c r="A3089" s="75" t="s">
        <v>8472</v>
      </c>
      <c r="B3089" s="75" t="s">
        <v>8473</v>
      </c>
      <c r="C3089" s="75" t="s">
        <v>8474</v>
      </c>
      <c r="D3089" s="75" t="s">
        <v>13</v>
      </c>
      <c r="E3089" s="75" t="s">
        <v>13</v>
      </c>
      <c r="F3089" s="75" t="s">
        <v>13</v>
      </c>
    </row>
    <row r="3090" spans="1:6" x14ac:dyDescent="0.3">
      <c r="A3090" s="75" t="s">
        <v>8475</v>
      </c>
      <c r="B3090" s="75" t="s">
        <v>8476</v>
      </c>
      <c r="C3090" s="75" t="s">
        <v>7500</v>
      </c>
      <c r="D3090" s="75" t="s">
        <v>13</v>
      </c>
      <c r="E3090" s="75" t="s">
        <v>13</v>
      </c>
      <c r="F3090" s="75" t="s">
        <v>13</v>
      </c>
    </row>
    <row r="3091" spans="1:6" x14ac:dyDescent="0.3">
      <c r="A3091" s="75" t="s">
        <v>8477</v>
      </c>
      <c r="B3091" s="75" t="s">
        <v>8478</v>
      </c>
      <c r="C3091" s="75" t="s">
        <v>8479</v>
      </c>
      <c r="D3091" s="75" t="s">
        <v>13</v>
      </c>
      <c r="E3091" s="75" t="s">
        <v>13</v>
      </c>
      <c r="F3091" s="75" t="s">
        <v>13</v>
      </c>
    </row>
    <row r="3092" spans="1:6" x14ac:dyDescent="0.3">
      <c r="A3092" s="75" t="s">
        <v>8480</v>
      </c>
      <c r="B3092" s="75" t="s">
        <v>8481</v>
      </c>
      <c r="C3092" s="75" t="s">
        <v>1532</v>
      </c>
      <c r="D3092" s="75" t="s">
        <v>13</v>
      </c>
      <c r="E3092" s="75" t="s">
        <v>13</v>
      </c>
      <c r="F3092" s="75" t="s">
        <v>13</v>
      </c>
    </row>
    <row r="3093" spans="1:6" x14ac:dyDescent="0.3">
      <c r="A3093" s="75" t="s">
        <v>8482</v>
      </c>
      <c r="B3093" s="75" t="s">
        <v>8483</v>
      </c>
      <c r="C3093" s="75" t="s">
        <v>13</v>
      </c>
      <c r="D3093" s="75" t="s">
        <v>13</v>
      </c>
      <c r="E3093" s="75" t="s">
        <v>13</v>
      </c>
      <c r="F3093" s="75" t="s">
        <v>13</v>
      </c>
    </row>
    <row r="3094" spans="1:6" x14ac:dyDescent="0.3">
      <c r="A3094" s="75" t="s">
        <v>8484</v>
      </c>
      <c r="B3094" s="75" t="s">
        <v>8485</v>
      </c>
      <c r="C3094" s="75" t="s">
        <v>13</v>
      </c>
      <c r="D3094" s="75" t="s">
        <v>13</v>
      </c>
      <c r="E3094" s="75" t="s">
        <v>13</v>
      </c>
      <c r="F3094" s="75" t="s">
        <v>13</v>
      </c>
    </row>
    <row r="3095" spans="1:6" x14ac:dyDescent="0.3">
      <c r="A3095" s="75" t="s">
        <v>8486</v>
      </c>
      <c r="B3095" s="75" t="s">
        <v>8487</v>
      </c>
      <c r="C3095" s="75" t="s">
        <v>13</v>
      </c>
      <c r="D3095" s="75" t="s">
        <v>13</v>
      </c>
      <c r="E3095" s="75" t="s">
        <v>13</v>
      </c>
      <c r="F3095" s="75" t="s">
        <v>13</v>
      </c>
    </row>
    <row r="3096" spans="1:6" x14ac:dyDescent="0.3">
      <c r="A3096" s="75" t="s">
        <v>8488</v>
      </c>
      <c r="B3096" s="75" t="s">
        <v>8489</v>
      </c>
      <c r="C3096" s="75" t="s">
        <v>8490</v>
      </c>
      <c r="D3096" s="75" t="s">
        <v>13</v>
      </c>
      <c r="E3096" s="75" t="s">
        <v>13</v>
      </c>
      <c r="F3096" s="75" t="s">
        <v>13</v>
      </c>
    </row>
    <row r="3097" spans="1:6" x14ac:dyDescent="0.3">
      <c r="A3097" s="75" t="s">
        <v>8491</v>
      </c>
      <c r="B3097" s="75" t="s">
        <v>8492</v>
      </c>
      <c r="C3097" s="75" t="s">
        <v>8493</v>
      </c>
      <c r="D3097" s="75" t="s">
        <v>13</v>
      </c>
      <c r="E3097" s="75" t="s">
        <v>13</v>
      </c>
      <c r="F3097" s="75" t="s">
        <v>13</v>
      </c>
    </row>
    <row r="3098" spans="1:6" x14ac:dyDescent="0.3">
      <c r="A3098" s="75" t="s">
        <v>8494</v>
      </c>
      <c r="B3098" s="75" t="s">
        <v>8495</v>
      </c>
      <c r="C3098" s="75" t="s">
        <v>8496</v>
      </c>
      <c r="D3098" s="75" t="s">
        <v>13</v>
      </c>
      <c r="E3098" s="75" t="s">
        <v>13</v>
      </c>
      <c r="F3098" s="75" t="s">
        <v>13</v>
      </c>
    </row>
    <row r="3099" spans="1:6" x14ac:dyDescent="0.3">
      <c r="A3099" s="75" t="s">
        <v>8497</v>
      </c>
      <c r="B3099" s="75" t="s">
        <v>8498</v>
      </c>
      <c r="C3099" s="75" t="s">
        <v>13</v>
      </c>
      <c r="D3099" s="75" t="s">
        <v>13</v>
      </c>
      <c r="E3099" s="75" t="s">
        <v>13</v>
      </c>
      <c r="F3099" s="75" t="s">
        <v>13</v>
      </c>
    </row>
    <row r="3100" spans="1:6" x14ac:dyDescent="0.3">
      <c r="A3100" s="75" t="s">
        <v>8499</v>
      </c>
      <c r="B3100" s="75" t="s">
        <v>8500</v>
      </c>
      <c r="C3100" s="75" t="s">
        <v>8501</v>
      </c>
      <c r="D3100" s="75" t="s">
        <v>13</v>
      </c>
      <c r="E3100" s="75" t="s">
        <v>18</v>
      </c>
      <c r="F3100" s="75" t="s">
        <v>461</v>
      </c>
    </row>
    <row r="3101" spans="1:6" x14ac:dyDescent="0.3">
      <c r="A3101" s="75" t="s">
        <v>8502</v>
      </c>
      <c r="B3101" s="75" t="s">
        <v>8503</v>
      </c>
      <c r="C3101" s="75" t="s">
        <v>8504</v>
      </c>
      <c r="D3101" s="75" t="s">
        <v>13</v>
      </c>
      <c r="E3101" s="75" t="s">
        <v>70</v>
      </c>
      <c r="F3101" s="75" t="s">
        <v>671</v>
      </c>
    </row>
    <row r="3102" spans="1:6" x14ac:dyDescent="0.3">
      <c r="A3102" s="75" t="s">
        <v>8505</v>
      </c>
      <c r="B3102" s="75" t="s">
        <v>8506</v>
      </c>
      <c r="C3102" s="75" t="s">
        <v>8507</v>
      </c>
      <c r="D3102" s="75">
        <v>2015</v>
      </c>
      <c r="E3102" s="75" t="s">
        <v>70</v>
      </c>
      <c r="F3102" s="75" t="s">
        <v>71</v>
      </c>
    </row>
    <row r="3103" spans="1:6" x14ac:dyDescent="0.3">
      <c r="A3103" s="75" t="s">
        <v>8508</v>
      </c>
      <c r="B3103" s="75" t="s">
        <v>8506</v>
      </c>
      <c r="C3103" s="75" t="s">
        <v>13</v>
      </c>
      <c r="D3103" s="75" t="s">
        <v>13</v>
      </c>
      <c r="E3103" s="75" t="s">
        <v>70</v>
      </c>
      <c r="F3103" s="75" t="s">
        <v>71</v>
      </c>
    </row>
    <row r="3104" spans="1:6" x14ac:dyDescent="0.3">
      <c r="A3104" s="75" t="s">
        <v>8509</v>
      </c>
      <c r="B3104" s="75" t="s">
        <v>8510</v>
      </c>
      <c r="C3104" s="75" t="s">
        <v>8511</v>
      </c>
      <c r="D3104" s="75" t="s">
        <v>13</v>
      </c>
      <c r="E3104" s="75" t="s">
        <v>8</v>
      </c>
      <c r="F3104" s="75" t="s">
        <v>27</v>
      </c>
    </row>
    <row r="3105" spans="1:6" x14ac:dyDescent="0.3">
      <c r="A3105" s="75" t="s">
        <v>8512</v>
      </c>
      <c r="B3105" s="75" t="s">
        <v>8513</v>
      </c>
      <c r="C3105" s="75" t="s">
        <v>8514</v>
      </c>
      <c r="D3105" s="75" t="s">
        <v>13</v>
      </c>
      <c r="E3105" s="75" t="s">
        <v>18</v>
      </c>
      <c r="F3105" s="75" t="s">
        <v>2312</v>
      </c>
    </row>
    <row r="3106" spans="1:6" x14ac:dyDescent="0.3">
      <c r="A3106" s="75" t="s">
        <v>8515</v>
      </c>
      <c r="B3106" s="75" t="s">
        <v>8516</v>
      </c>
      <c r="C3106" s="75" t="s">
        <v>1939</v>
      </c>
      <c r="D3106" s="75">
        <v>2014</v>
      </c>
      <c r="E3106" s="75" t="s">
        <v>84</v>
      </c>
      <c r="F3106" s="75" t="s">
        <v>85</v>
      </c>
    </row>
    <row r="3107" spans="1:6" x14ac:dyDescent="0.3">
      <c r="A3107" s="75" t="s">
        <v>8517</v>
      </c>
      <c r="B3107" s="75" t="s">
        <v>8518</v>
      </c>
      <c r="C3107" s="75" t="s">
        <v>8519</v>
      </c>
      <c r="D3107" s="75" t="s">
        <v>13</v>
      </c>
      <c r="E3107" s="75" t="s">
        <v>518</v>
      </c>
      <c r="F3107" s="75" t="s">
        <v>353</v>
      </c>
    </row>
    <row r="3108" spans="1:6" x14ac:dyDescent="0.3">
      <c r="A3108" s="75" t="s">
        <v>8520</v>
      </c>
      <c r="B3108" s="75" t="s">
        <v>8521</v>
      </c>
      <c r="C3108" s="75" t="s">
        <v>8522</v>
      </c>
      <c r="D3108" s="75">
        <v>2015</v>
      </c>
      <c r="E3108" s="75" t="s">
        <v>8</v>
      </c>
      <c r="F3108" s="75" t="s">
        <v>1093</v>
      </c>
    </row>
    <row r="3109" spans="1:6" x14ac:dyDescent="0.3">
      <c r="A3109" s="75" t="s">
        <v>8523</v>
      </c>
      <c r="B3109" s="75" t="s">
        <v>8524</v>
      </c>
      <c r="C3109" s="75" t="s">
        <v>8525</v>
      </c>
      <c r="D3109" s="75" t="s">
        <v>13</v>
      </c>
      <c r="E3109" s="75" t="s">
        <v>8</v>
      </c>
      <c r="F3109" s="75" t="s">
        <v>2382</v>
      </c>
    </row>
    <row r="3110" spans="1:6" x14ac:dyDescent="0.3">
      <c r="A3110" s="75" t="s">
        <v>8526</v>
      </c>
      <c r="B3110" s="75" t="s">
        <v>8524</v>
      </c>
      <c r="C3110" s="75" t="s">
        <v>13</v>
      </c>
      <c r="D3110" s="75" t="s">
        <v>13</v>
      </c>
      <c r="E3110" s="75" t="s">
        <v>8</v>
      </c>
      <c r="F3110" s="75" t="s">
        <v>2382</v>
      </c>
    </row>
    <row r="3111" spans="1:6" x14ac:dyDescent="0.3">
      <c r="A3111" s="75" t="s">
        <v>8527</v>
      </c>
      <c r="B3111" s="75" t="s">
        <v>8528</v>
      </c>
      <c r="C3111" s="75" t="s">
        <v>8529</v>
      </c>
      <c r="D3111" s="75">
        <v>2007</v>
      </c>
      <c r="E3111" s="75" t="s">
        <v>31</v>
      </c>
      <c r="F3111" s="75" t="s">
        <v>161</v>
      </c>
    </row>
    <row r="3112" spans="1:6" x14ac:dyDescent="0.3">
      <c r="A3112" s="75" t="s">
        <v>8530</v>
      </c>
      <c r="B3112" s="75" t="s">
        <v>8531</v>
      </c>
      <c r="C3112" s="75" t="s">
        <v>8532</v>
      </c>
      <c r="D3112" s="75" t="s">
        <v>13</v>
      </c>
      <c r="E3112" s="75" t="s">
        <v>70</v>
      </c>
      <c r="F3112" s="75" t="s">
        <v>71</v>
      </c>
    </row>
    <row r="3113" spans="1:6" x14ac:dyDescent="0.3">
      <c r="A3113" s="75" t="s">
        <v>8533</v>
      </c>
      <c r="B3113" s="75" t="s">
        <v>8534</v>
      </c>
      <c r="C3113" s="75" t="s">
        <v>8535</v>
      </c>
      <c r="D3113" s="75">
        <v>2014</v>
      </c>
      <c r="E3113" s="75" t="s">
        <v>70</v>
      </c>
      <c r="F3113" s="75" t="s">
        <v>71</v>
      </c>
    </row>
    <row r="3114" spans="1:6" x14ac:dyDescent="0.3">
      <c r="A3114" s="75" t="s">
        <v>8536</v>
      </c>
      <c r="B3114" s="75" t="s">
        <v>8537</v>
      </c>
      <c r="C3114" s="75" t="s">
        <v>8538</v>
      </c>
      <c r="D3114" s="75" t="s">
        <v>13</v>
      </c>
      <c r="E3114" s="75" t="s">
        <v>70</v>
      </c>
      <c r="F3114" s="75" t="s">
        <v>671</v>
      </c>
    </row>
    <row r="3115" spans="1:6" x14ac:dyDescent="0.3">
      <c r="A3115" s="75" t="s">
        <v>8539</v>
      </c>
      <c r="B3115" s="75" t="s">
        <v>8540</v>
      </c>
      <c r="C3115" s="75" t="s">
        <v>8541</v>
      </c>
      <c r="D3115" s="75" t="s">
        <v>13</v>
      </c>
      <c r="E3115" s="75" t="s">
        <v>44</v>
      </c>
      <c r="F3115" s="75" t="s">
        <v>7443</v>
      </c>
    </row>
    <row r="3116" spans="1:6" x14ac:dyDescent="0.3">
      <c r="A3116" s="75" t="s">
        <v>8542</v>
      </c>
      <c r="B3116" s="75" t="s">
        <v>8543</v>
      </c>
      <c r="C3116" s="75" t="s">
        <v>8544</v>
      </c>
      <c r="D3116" s="75">
        <v>1994</v>
      </c>
      <c r="E3116" s="75" t="s">
        <v>70</v>
      </c>
      <c r="F3116" s="75" t="s">
        <v>71</v>
      </c>
    </row>
    <row r="3117" spans="1:6" x14ac:dyDescent="0.3">
      <c r="A3117" s="75" t="s">
        <v>8545</v>
      </c>
      <c r="B3117" s="75" t="s">
        <v>8546</v>
      </c>
      <c r="C3117" s="75" t="s">
        <v>8547</v>
      </c>
      <c r="D3117" s="75" t="s">
        <v>13</v>
      </c>
      <c r="E3117" s="75" t="s">
        <v>44</v>
      </c>
      <c r="F3117" s="75" t="s">
        <v>49</v>
      </c>
    </row>
    <row r="3118" spans="1:6" x14ac:dyDescent="0.3">
      <c r="A3118" s="75" t="s">
        <v>8548</v>
      </c>
      <c r="B3118" s="75" t="s">
        <v>8549</v>
      </c>
      <c r="C3118" s="75" t="s">
        <v>8550</v>
      </c>
      <c r="D3118" s="75" t="s">
        <v>13</v>
      </c>
      <c r="E3118" s="75" t="s">
        <v>348</v>
      </c>
      <c r="F3118" s="75" t="s">
        <v>1427</v>
      </c>
    </row>
    <row r="3119" spans="1:6" x14ac:dyDescent="0.3">
      <c r="A3119" s="75" t="s">
        <v>8551</v>
      </c>
      <c r="B3119" s="75" t="s">
        <v>8552</v>
      </c>
      <c r="C3119" s="75" t="s">
        <v>8553</v>
      </c>
      <c r="D3119" s="75">
        <v>2015</v>
      </c>
      <c r="E3119" s="75" t="s">
        <v>70</v>
      </c>
      <c r="F3119" s="75" t="s">
        <v>118</v>
      </c>
    </row>
    <row r="3120" spans="1:6" x14ac:dyDescent="0.3">
      <c r="A3120" s="75" t="s">
        <v>8554</v>
      </c>
      <c r="B3120" s="75" t="s">
        <v>8555</v>
      </c>
      <c r="C3120" s="75" t="s">
        <v>8556</v>
      </c>
      <c r="D3120" s="75" t="s">
        <v>13</v>
      </c>
      <c r="E3120" s="75" t="s">
        <v>18</v>
      </c>
      <c r="F3120" s="75" t="s">
        <v>794</v>
      </c>
    </row>
    <row r="3121" spans="1:6" x14ac:dyDescent="0.3">
      <c r="A3121" s="75" t="s">
        <v>8557</v>
      </c>
      <c r="B3121" s="75" t="s">
        <v>8558</v>
      </c>
      <c r="C3121" s="75" t="s">
        <v>8559</v>
      </c>
      <c r="D3121" s="75">
        <v>2015</v>
      </c>
      <c r="E3121" s="75" t="s">
        <v>70</v>
      </c>
      <c r="F3121" s="75" t="s">
        <v>71</v>
      </c>
    </row>
    <row r="3122" spans="1:6" x14ac:dyDescent="0.3">
      <c r="A3122" s="75" t="s">
        <v>8560</v>
      </c>
      <c r="B3122" s="75" t="s">
        <v>8561</v>
      </c>
      <c r="C3122" s="75" t="s">
        <v>8562</v>
      </c>
      <c r="D3122" s="75" t="s">
        <v>13</v>
      </c>
      <c r="E3122" s="75" t="s">
        <v>31</v>
      </c>
      <c r="F3122" s="75" t="s">
        <v>291</v>
      </c>
    </row>
    <row r="3123" spans="1:6" x14ac:dyDescent="0.3">
      <c r="A3123" s="75" t="s">
        <v>8563</v>
      </c>
      <c r="B3123" s="75" t="s">
        <v>8564</v>
      </c>
      <c r="C3123" s="75" t="s">
        <v>8565</v>
      </c>
      <c r="D3123" s="75">
        <v>2014</v>
      </c>
      <c r="E3123" s="75" t="s">
        <v>518</v>
      </c>
      <c r="F3123" s="75" t="s">
        <v>2749</v>
      </c>
    </row>
    <row r="3124" spans="1:6" x14ac:dyDescent="0.3">
      <c r="A3124" s="75" t="s">
        <v>8566</v>
      </c>
      <c r="B3124" s="75" t="s">
        <v>8567</v>
      </c>
      <c r="C3124" s="75" t="s">
        <v>8568</v>
      </c>
      <c r="D3124" s="75" t="s">
        <v>13</v>
      </c>
      <c r="E3124" s="75" t="s">
        <v>70</v>
      </c>
      <c r="F3124" s="75" t="s">
        <v>176</v>
      </c>
    </row>
    <row r="3125" spans="1:6" x14ac:dyDescent="0.3">
      <c r="A3125" s="75" t="s">
        <v>8569</v>
      </c>
      <c r="B3125" s="75" t="s">
        <v>8570</v>
      </c>
      <c r="C3125" s="75" t="s">
        <v>8571</v>
      </c>
      <c r="D3125" s="75" t="s">
        <v>13</v>
      </c>
      <c r="E3125" s="75" t="s">
        <v>8</v>
      </c>
      <c r="F3125" s="75" t="s">
        <v>27</v>
      </c>
    </row>
    <row r="3126" spans="1:6" x14ac:dyDescent="0.3">
      <c r="A3126" s="75" t="s">
        <v>8572</v>
      </c>
      <c r="B3126" s="75" t="s">
        <v>8570</v>
      </c>
      <c r="C3126" s="75" t="s">
        <v>13</v>
      </c>
      <c r="D3126" s="75" t="s">
        <v>13</v>
      </c>
      <c r="E3126" s="75" t="s">
        <v>8</v>
      </c>
      <c r="F3126" s="75" t="s">
        <v>27</v>
      </c>
    </row>
    <row r="3127" spans="1:6" x14ac:dyDescent="0.3">
      <c r="A3127" s="75" t="s">
        <v>8573</v>
      </c>
      <c r="B3127" s="75" t="s">
        <v>8574</v>
      </c>
      <c r="C3127" s="75" t="s">
        <v>8575</v>
      </c>
      <c r="D3127" s="75" t="s">
        <v>13</v>
      </c>
      <c r="E3127" s="75" t="s">
        <v>8</v>
      </c>
      <c r="F3127" s="75" t="s">
        <v>27</v>
      </c>
    </row>
    <row r="3128" spans="1:6" x14ac:dyDescent="0.3">
      <c r="A3128" s="75" t="s">
        <v>8576</v>
      </c>
      <c r="B3128" s="75" t="s">
        <v>8577</v>
      </c>
      <c r="C3128" s="75" t="s">
        <v>8578</v>
      </c>
      <c r="D3128" s="75" t="s">
        <v>13</v>
      </c>
      <c r="E3128" s="75" t="s">
        <v>8</v>
      </c>
      <c r="F3128" s="75" t="s">
        <v>27</v>
      </c>
    </row>
    <row r="3129" spans="1:6" x14ac:dyDescent="0.3">
      <c r="A3129" s="75" t="s">
        <v>8579</v>
      </c>
      <c r="B3129" s="75" t="s">
        <v>8580</v>
      </c>
      <c r="C3129" s="75" t="s">
        <v>8581</v>
      </c>
      <c r="D3129" s="75" t="s">
        <v>13</v>
      </c>
      <c r="E3129" s="75" t="s">
        <v>8</v>
      </c>
      <c r="F3129" s="75" t="s">
        <v>23</v>
      </c>
    </row>
    <row r="3130" spans="1:6" x14ac:dyDescent="0.3">
      <c r="A3130" s="75" t="s">
        <v>8582</v>
      </c>
      <c r="B3130" s="75" t="s">
        <v>8583</v>
      </c>
      <c r="C3130" s="75" t="s">
        <v>8584</v>
      </c>
      <c r="D3130" s="75">
        <v>2015</v>
      </c>
      <c r="E3130" s="75" t="s">
        <v>70</v>
      </c>
      <c r="F3130" s="75" t="s">
        <v>71</v>
      </c>
    </row>
    <row r="3131" spans="1:6" x14ac:dyDescent="0.3">
      <c r="A3131" s="75" t="s">
        <v>8585</v>
      </c>
      <c r="B3131" s="75" t="s">
        <v>8586</v>
      </c>
      <c r="C3131" s="75" t="s">
        <v>8587</v>
      </c>
      <c r="D3131" s="75" t="s">
        <v>13</v>
      </c>
      <c r="E3131" s="75" t="s">
        <v>8</v>
      </c>
      <c r="F3131" s="75" t="s">
        <v>23</v>
      </c>
    </row>
    <row r="3132" spans="1:6" x14ac:dyDescent="0.3">
      <c r="A3132" s="75" t="s">
        <v>8588</v>
      </c>
      <c r="B3132" s="75" t="s">
        <v>8589</v>
      </c>
      <c r="C3132" s="75" t="s">
        <v>8590</v>
      </c>
      <c r="D3132" s="75" t="s">
        <v>13</v>
      </c>
      <c r="E3132" s="75" t="s">
        <v>31</v>
      </c>
      <c r="F3132" s="75" t="s">
        <v>2709</v>
      </c>
    </row>
    <row r="3133" spans="1:6" x14ac:dyDescent="0.3">
      <c r="A3133" s="75" t="s">
        <v>8591</v>
      </c>
      <c r="B3133" s="75" t="s">
        <v>8592</v>
      </c>
      <c r="C3133" s="75" t="s">
        <v>8593</v>
      </c>
      <c r="D3133" s="75" t="s">
        <v>13</v>
      </c>
      <c r="E3133" s="75" t="s">
        <v>8</v>
      </c>
      <c r="F3133" s="75" t="s">
        <v>27</v>
      </c>
    </row>
    <row r="3134" spans="1:6" x14ac:dyDescent="0.3">
      <c r="A3134" s="75" t="s">
        <v>8594</v>
      </c>
      <c r="B3134" s="75" t="s">
        <v>8595</v>
      </c>
      <c r="C3134" s="75" t="s">
        <v>5676</v>
      </c>
      <c r="D3134" s="75">
        <v>1973</v>
      </c>
      <c r="E3134" s="75" t="s">
        <v>58</v>
      </c>
      <c r="F3134" s="75" t="s">
        <v>59</v>
      </c>
    </row>
    <row r="3135" spans="1:6" x14ac:dyDescent="0.3">
      <c r="A3135" s="75" t="s">
        <v>8596</v>
      </c>
      <c r="B3135" s="75" t="s">
        <v>8597</v>
      </c>
      <c r="C3135" s="75" t="s">
        <v>8598</v>
      </c>
      <c r="D3135" s="75" t="s">
        <v>13</v>
      </c>
      <c r="E3135" s="75" t="s">
        <v>13</v>
      </c>
      <c r="F3135" s="75" t="s">
        <v>13</v>
      </c>
    </row>
    <row r="3136" spans="1:6" x14ac:dyDescent="0.3">
      <c r="A3136" s="75" t="s">
        <v>8599</v>
      </c>
      <c r="B3136" s="75" t="s">
        <v>8600</v>
      </c>
      <c r="C3136" s="75" t="s">
        <v>4276</v>
      </c>
      <c r="D3136" s="75" t="s">
        <v>13</v>
      </c>
      <c r="E3136" s="75" t="s">
        <v>31</v>
      </c>
      <c r="F3136" s="75" t="s">
        <v>36</v>
      </c>
    </row>
    <row r="3137" spans="1:6" x14ac:dyDescent="0.3">
      <c r="A3137" s="75" t="s">
        <v>8601</v>
      </c>
      <c r="B3137" s="75" t="s">
        <v>8602</v>
      </c>
      <c r="C3137" s="75" t="s">
        <v>8603</v>
      </c>
      <c r="D3137" s="75">
        <v>2005</v>
      </c>
      <c r="E3137" s="75" t="s">
        <v>96</v>
      </c>
      <c r="F3137" s="75" t="s">
        <v>76</v>
      </c>
    </row>
    <row r="3138" spans="1:6" x14ac:dyDescent="0.3">
      <c r="A3138" s="75" t="s">
        <v>8604</v>
      </c>
      <c r="B3138" s="75" t="s">
        <v>8605</v>
      </c>
      <c r="C3138" s="75" t="s">
        <v>8606</v>
      </c>
      <c r="D3138" s="75">
        <v>2014</v>
      </c>
      <c r="E3138" s="75" t="s">
        <v>31</v>
      </c>
      <c r="F3138" s="75" t="s">
        <v>32</v>
      </c>
    </row>
    <row r="3139" spans="1:6" x14ac:dyDescent="0.3">
      <c r="A3139" s="75" t="s">
        <v>8607</v>
      </c>
      <c r="B3139" s="75" t="s">
        <v>8608</v>
      </c>
      <c r="C3139" s="75" t="s">
        <v>8609</v>
      </c>
      <c r="D3139" s="75">
        <v>2012</v>
      </c>
      <c r="E3139" s="75" t="s">
        <v>8</v>
      </c>
      <c r="F3139" s="75" t="s">
        <v>579</v>
      </c>
    </row>
    <row r="3140" spans="1:6" x14ac:dyDescent="0.3">
      <c r="A3140" s="75" t="s">
        <v>8610</v>
      </c>
      <c r="B3140" s="75" t="s">
        <v>8611</v>
      </c>
      <c r="C3140" s="75" t="s">
        <v>8612</v>
      </c>
      <c r="D3140" s="75" t="s">
        <v>13</v>
      </c>
      <c r="E3140" s="75" t="s">
        <v>18</v>
      </c>
      <c r="F3140" s="75" t="s">
        <v>729</v>
      </c>
    </row>
    <row r="3141" spans="1:6" x14ac:dyDescent="0.3">
      <c r="A3141" s="75" t="s">
        <v>8613</v>
      </c>
      <c r="B3141" s="75" t="s">
        <v>8614</v>
      </c>
      <c r="C3141" s="75" t="s">
        <v>549</v>
      </c>
      <c r="D3141" s="75">
        <v>1986</v>
      </c>
      <c r="E3141" s="75" t="s">
        <v>283</v>
      </c>
      <c r="F3141" s="75" t="s">
        <v>694</v>
      </c>
    </row>
    <row r="3142" spans="1:6" x14ac:dyDescent="0.3">
      <c r="A3142" s="75" t="s">
        <v>8615</v>
      </c>
      <c r="B3142" s="75" t="s">
        <v>8616</v>
      </c>
      <c r="C3142" s="75" t="s">
        <v>1407</v>
      </c>
      <c r="D3142" s="75" t="s">
        <v>13</v>
      </c>
      <c r="E3142" s="75" t="s">
        <v>8</v>
      </c>
      <c r="F3142" s="75" t="s">
        <v>27</v>
      </c>
    </row>
    <row r="3143" spans="1:6" x14ac:dyDescent="0.3">
      <c r="A3143" s="75" t="s">
        <v>8617</v>
      </c>
      <c r="B3143" s="75" t="s">
        <v>8618</v>
      </c>
      <c r="C3143" s="75" t="s">
        <v>8619</v>
      </c>
      <c r="D3143" s="75" t="s">
        <v>13</v>
      </c>
      <c r="E3143" s="75" t="s">
        <v>8</v>
      </c>
      <c r="F3143" s="75" t="s">
        <v>27</v>
      </c>
    </row>
    <row r="3144" spans="1:6" x14ac:dyDescent="0.3">
      <c r="A3144" s="75" t="s">
        <v>8620</v>
      </c>
      <c r="B3144" s="75" t="s">
        <v>8621</v>
      </c>
      <c r="C3144" s="75" t="s">
        <v>8622</v>
      </c>
      <c r="D3144" s="75">
        <v>2013</v>
      </c>
      <c r="E3144" s="75" t="s">
        <v>96</v>
      </c>
      <c r="F3144" s="75" t="s">
        <v>76</v>
      </c>
    </row>
    <row r="3145" spans="1:6" x14ac:dyDescent="0.3">
      <c r="A3145" s="75" t="s">
        <v>8623</v>
      </c>
      <c r="B3145" s="75" t="s">
        <v>8624</v>
      </c>
      <c r="C3145" s="75" t="s">
        <v>8625</v>
      </c>
      <c r="D3145" s="75">
        <v>1993</v>
      </c>
      <c r="E3145" s="75" t="s">
        <v>518</v>
      </c>
      <c r="F3145" s="75" t="s">
        <v>527</v>
      </c>
    </row>
    <row r="3146" spans="1:6" x14ac:dyDescent="0.3">
      <c r="A3146" s="75" t="s">
        <v>8626</v>
      </c>
      <c r="B3146" s="75" t="s">
        <v>8627</v>
      </c>
      <c r="C3146" s="75" t="s">
        <v>287</v>
      </c>
      <c r="D3146" s="75" t="s">
        <v>13</v>
      </c>
      <c r="E3146" s="75" t="s">
        <v>8</v>
      </c>
      <c r="F3146" s="75" t="s">
        <v>27</v>
      </c>
    </row>
    <row r="3147" spans="1:6" x14ac:dyDescent="0.3">
      <c r="A3147" s="75" t="s">
        <v>8628</v>
      </c>
      <c r="B3147" s="75" t="s">
        <v>8629</v>
      </c>
      <c r="C3147" s="75" t="s">
        <v>8630</v>
      </c>
      <c r="D3147" s="75">
        <v>2013</v>
      </c>
      <c r="E3147" s="75" t="s">
        <v>8</v>
      </c>
      <c r="F3147" s="75" t="s">
        <v>27</v>
      </c>
    </row>
    <row r="3148" spans="1:6" x14ac:dyDescent="0.3">
      <c r="A3148" s="75" t="s">
        <v>8631</v>
      </c>
      <c r="B3148" s="75" t="s">
        <v>8632</v>
      </c>
      <c r="C3148" s="75" t="s">
        <v>8633</v>
      </c>
      <c r="D3148" s="75">
        <v>1995</v>
      </c>
      <c r="E3148" s="75" t="s">
        <v>44</v>
      </c>
      <c r="F3148" s="75" t="s">
        <v>49</v>
      </c>
    </row>
    <row r="3149" spans="1:6" x14ac:dyDescent="0.3">
      <c r="A3149" s="75" t="s">
        <v>8634</v>
      </c>
      <c r="B3149" s="75" t="s">
        <v>8635</v>
      </c>
      <c r="C3149" s="75" t="s">
        <v>8636</v>
      </c>
      <c r="D3149" s="75" t="s">
        <v>13</v>
      </c>
      <c r="E3149" s="75" t="s">
        <v>31</v>
      </c>
      <c r="F3149" s="75" t="s">
        <v>1427</v>
      </c>
    </row>
    <row r="3150" spans="1:6" x14ac:dyDescent="0.3">
      <c r="A3150" s="75" t="s">
        <v>8637</v>
      </c>
      <c r="B3150" s="75" t="s">
        <v>8638</v>
      </c>
      <c r="C3150" s="75" t="s">
        <v>8639</v>
      </c>
      <c r="D3150" s="75" t="s">
        <v>13</v>
      </c>
      <c r="E3150" s="75" t="s">
        <v>8</v>
      </c>
      <c r="F3150" s="75" t="s">
        <v>23</v>
      </c>
    </row>
    <row r="3151" spans="1:6" x14ac:dyDescent="0.3">
      <c r="A3151" s="75" t="s">
        <v>8640</v>
      </c>
      <c r="B3151" s="75" t="s">
        <v>8641</v>
      </c>
      <c r="C3151" s="75" t="s">
        <v>8642</v>
      </c>
      <c r="D3151" s="75" t="s">
        <v>13</v>
      </c>
      <c r="E3151" s="75" t="s">
        <v>84</v>
      </c>
      <c r="F3151" s="75" t="s">
        <v>375</v>
      </c>
    </row>
    <row r="3152" spans="1:6" x14ac:dyDescent="0.3">
      <c r="A3152" s="75" t="s">
        <v>8643</v>
      </c>
      <c r="B3152" s="75" t="s">
        <v>8644</v>
      </c>
      <c r="C3152" s="75" t="s">
        <v>8645</v>
      </c>
      <c r="D3152" s="75" t="s">
        <v>13</v>
      </c>
      <c r="E3152" s="75" t="s">
        <v>84</v>
      </c>
      <c r="F3152" s="75" t="s">
        <v>63</v>
      </c>
    </row>
    <row r="3153" spans="1:6" x14ac:dyDescent="0.3">
      <c r="A3153" s="75" t="s">
        <v>8646</v>
      </c>
      <c r="B3153" s="75" t="s">
        <v>8647</v>
      </c>
      <c r="C3153" s="75" t="s">
        <v>2850</v>
      </c>
      <c r="D3153" s="75" t="s">
        <v>13</v>
      </c>
      <c r="E3153" s="75" t="s">
        <v>348</v>
      </c>
      <c r="F3153" s="75" t="s">
        <v>1059</v>
      </c>
    </row>
    <row r="3154" spans="1:6" x14ac:dyDescent="0.3">
      <c r="A3154" s="75" t="s">
        <v>8648</v>
      </c>
      <c r="B3154" s="75" t="s">
        <v>8649</v>
      </c>
      <c r="C3154" s="75" t="s">
        <v>8650</v>
      </c>
      <c r="D3154" s="75">
        <v>2012</v>
      </c>
      <c r="E3154" s="75" t="s">
        <v>18</v>
      </c>
      <c r="F3154" s="75" t="s">
        <v>266</v>
      </c>
    </row>
    <row r="3155" spans="1:6" x14ac:dyDescent="0.3">
      <c r="A3155" s="75" t="s">
        <v>8651</v>
      </c>
      <c r="B3155" s="75" t="s">
        <v>8649</v>
      </c>
      <c r="C3155" s="75" t="s">
        <v>13</v>
      </c>
      <c r="D3155" s="75" t="s">
        <v>13</v>
      </c>
      <c r="E3155" s="75" t="s">
        <v>18</v>
      </c>
      <c r="F3155" s="75" t="s">
        <v>266</v>
      </c>
    </row>
    <row r="3156" spans="1:6" x14ac:dyDescent="0.3">
      <c r="A3156" s="75" t="s">
        <v>8652</v>
      </c>
      <c r="B3156" s="75" t="s">
        <v>8649</v>
      </c>
      <c r="C3156" s="75" t="s">
        <v>8653</v>
      </c>
      <c r="D3156" s="75" t="s">
        <v>13</v>
      </c>
      <c r="E3156" s="75" t="s">
        <v>18</v>
      </c>
      <c r="F3156" s="75" t="s">
        <v>266</v>
      </c>
    </row>
    <row r="3157" spans="1:6" x14ac:dyDescent="0.3">
      <c r="A3157" s="75" t="s">
        <v>8654</v>
      </c>
      <c r="B3157" s="75" t="s">
        <v>8649</v>
      </c>
      <c r="C3157" s="75" t="s">
        <v>13</v>
      </c>
      <c r="D3157" s="75" t="s">
        <v>13</v>
      </c>
      <c r="E3157" s="75" t="s">
        <v>18</v>
      </c>
      <c r="F3157" s="75" t="s">
        <v>266</v>
      </c>
    </row>
    <row r="3158" spans="1:6" x14ac:dyDescent="0.3">
      <c r="A3158" s="75" t="s">
        <v>8655</v>
      </c>
      <c r="B3158" s="75" t="s">
        <v>8656</v>
      </c>
      <c r="C3158" s="75" t="s">
        <v>8657</v>
      </c>
      <c r="D3158" s="75" t="s">
        <v>13</v>
      </c>
      <c r="E3158" s="75" t="s">
        <v>13</v>
      </c>
      <c r="F3158" s="75" t="s">
        <v>13</v>
      </c>
    </row>
    <row r="3159" spans="1:6" x14ac:dyDescent="0.3">
      <c r="A3159" s="75" t="s">
        <v>8658</v>
      </c>
      <c r="B3159" s="75" t="s">
        <v>8656</v>
      </c>
      <c r="C3159" s="75" t="s">
        <v>13</v>
      </c>
      <c r="D3159" s="75" t="s">
        <v>13</v>
      </c>
      <c r="E3159" s="75" t="s">
        <v>13</v>
      </c>
      <c r="F3159" s="75" t="s">
        <v>13</v>
      </c>
    </row>
    <row r="3160" spans="1:6" x14ac:dyDescent="0.3">
      <c r="A3160" s="75" t="s">
        <v>8659</v>
      </c>
      <c r="B3160" s="75" t="s">
        <v>8660</v>
      </c>
      <c r="C3160" s="75" t="s">
        <v>8661</v>
      </c>
      <c r="D3160" s="75" t="s">
        <v>13</v>
      </c>
      <c r="E3160" s="75" t="s">
        <v>18</v>
      </c>
      <c r="F3160" s="75" t="s">
        <v>2312</v>
      </c>
    </row>
    <row r="3161" spans="1:6" x14ac:dyDescent="0.3">
      <c r="A3161" s="75" t="s">
        <v>8662</v>
      </c>
      <c r="B3161" s="75" t="s">
        <v>8663</v>
      </c>
      <c r="C3161" s="75" t="s">
        <v>8664</v>
      </c>
      <c r="D3161" s="75" t="s">
        <v>13</v>
      </c>
      <c r="E3161" s="75" t="s">
        <v>18</v>
      </c>
      <c r="F3161" s="75" t="s">
        <v>1032</v>
      </c>
    </row>
    <row r="3162" spans="1:6" x14ac:dyDescent="0.3">
      <c r="A3162" s="75" t="s">
        <v>8665</v>
      </c>
      <c r="B3162" s="75" t="s">
        <v>8666</v>
      </c>
      <c r="C3162" s="75" t="s">
        <v>8667</v>
      </c>
      <c r="D3162" s="75" t="s">
        <v>13</v>
      </c>
      <c r="E3162" s="75" t="s">
        <v>348</v>
      </c>
      <c r="F3162" s="75" t="s">
        <v>1598</v>
      </c>
    </row>
    <row r="3163" spans="1:6" x14ac:dyDescent="0.3">
      <c r="A3163" s="75" t="s">
        <v>8668</v>
      </c>
      <c r="B3163" s="75" t="s">
        <v>8666</v>
      </c>
      <c r="C3163" s="75" t="s">
        <v>13</v>
      </c>
      <c r="D3163" s="75" t="s">
        <v>13</v>
      </c>
      <c r="E3163" s="75" t="s">
        <v>348</v>
      </c>
      <c r="F3163" s="75" t="s">
        <v>1598</v>
      </c>
    </row>
    <row r="3164" spans="1:6" x14ac:dyDescent="0.3">
      <c r="A3164" s="75" t="s">
        <v>8669</v>
      </c>
      <c r="B3164" s="75" t="s">
        <v>8670</v>
      </c>
      <c r="C3164" s="75" t="s">
        <v>8671</v>
      </c>
      <c r="D3164" s="75">
        <v>2006</v>
      </c>
      <c r="E3164" s="75" t="s">
        <v>18</v>
      </c>
      <c r="F3164" s="75" t="s">
        <v>794</v>
      </c>
    </row>
    <row r="3165" spans="1:6" x14ac:dyDescent="0.3">
      <c r="A3165" s="75" t="s">
        <v>8672</v>
      </c>
      <c r="B3165" s="75" t="s">
        <v>8673</v>
      </c>
      <c r="C3165" s="75" t="s">
        <v>8674</v>
      </c>
      <c r="D3165" s="75">
        <v>1996</v>
      </c>
      <c r="E3165" s="75" t="s">
        <v>518</v>
      </c>
      <c r="F3165" s="75" t="s">
        <v>353</v>
      </c>
    </row>
    <row r="3166" spans="1:6" x14ac:dyDescent="0.3">
      <c r="A3166" s="75" t="s">
        <v>8675</v>
      </c>
      <c r="B3166" s="75" t="s">
        <v>8676</v>
      </c>
      <c r="C3166" s="75" t="s">
        <v>8677</v>
      </c>
      <c r="D3166" s="75" t="s">
        <v>13</v>
      </c>
      <c r="E3166" s="75" t="s">
        <v>8</v>
      </c>
      <c r="F3166" s="75" t="s">
        <v>718</v>
      </c>
    </row>
    <row r="3167" spans="1:6" x14ac:dyDescent="0.3">
      <c r="A3167" s="75" t="s">
        <v>8678</v>
      </c>
      <c r="B3167" s="75" t="s">
        <v>8679</v>
      </c>
      <c r="C3167" s="75" t="s">
        <v>8680</v>
      </c>
      <c r="D3167" s="75" t="s">
        <v>13</v>
      </c>
      <c r="E3167" s="75" t="s">
        <v>44</v>
      </c>
      <c r="F3167" s="75" t="s">
        <v>49</v>
      </c>
    </row>
    <row r="3168" spans="1:6" x14ac:dyDescent="0.3">
      <c r="A3168" s="75" t="s">
        <v>8681</v>
      </c>
      <c r="B3168" s="75" t="s">
        <v>8682</v>
      </c>
      <c r="C3168" s="75" t="s">
        <v>8683</v>
      </c>
      <c r="D3168" s="75">
        <v>2015</v>
      </c>
      <c r="E3168" s="75" t="s">
        <v>18</v>
      </c>
      <c r="F3168" s="75" t="s">
        <v>729</v>
      </c>
    </row>
    <row r="3169" spans="1:6" x14ac:dyDescent="0.3">
      <c r="A3169" s="75" t="s">
        <v>8684</v>
      </c>
      <c r="B3169" s="75" t="s">
        <v>8685</v>
      </c>
      <c r="C3169" s="75" t="s">
        <v>8686</v>
      </c>
      <c r="D3169" s="75" t="s">
        <v>13</v>
      </c>
      <c r="E3169" s="75" t="s">
        <v>18</v>
      </c>
      <c r="F3169" s="75" t="s">
        <v>19</v>
      </c>
    </row>
    <row r="3170" spans="1:6" x14ac:dyDescent="0.3">
      <c r="A3170" s="75" t="s">
        <v>8687</v>
      </c>
      <c r="B3170" s="75" t="s">
        <v>8688</v>
      </c>
      <c r="C3170" s="75" t="s">
        <v>8689</v>
      </c>
      <c r="D3170" s="75">
        <v>2014</v>
      </c>
      <c r="E3170" s="75" t="s">
        <v>8</v>
      </c>
      <c r="F3170" s="75" t="s">
        <v>478</v>
      </c>
    </row>
    <row r="3171" spans="1:6" x14ac:dyDescent="0.3">
      <c r="A3171" s="75" t="s">
        <v>8690</v>
      </c>
      <c r="B3171" s="75" t="s">
        <v>8691</v>
      </c>
      <c r="C3171" s="75" t="s">
        <v>1186</v>
      </c>
      <c r="D3171" s="75" t="s">
        <v>13</v>
      </c>
      <c r="E3171" s="75" t="s">
        <v>8</v>
      </c>
      <c r="F3171" s="75" t="s">
        <v>27</v>
      </c>
    </row>
    <row r="3172" spans="1:6" x14ac:dyDescent="0.3">
      <c r="A3172" s="75" t="s">
        <v>8692</v>
      </c>
      <c r="B3172" s="75" t="s">
        <v>8691</v>
      </c>
      <c r="C3172" s="75" t="s">
        <v>13</v>
      </c>
      <c r="D3172" s="75" t="s">
        <v>13</v>
      </c>
      <c r="E3172" s="75" t="s">
        <v>8</v>
      </c>
      <c r="F3172" s="75" t="s">
        <v>27</v>
      </c>
    </row>
    <row r="3173" spans="1:6" x14ac:dyDescent="0.3">
      <c r="A3173" s="75" t="s">
        <v>8693</v>
      </c>
      <c r="B3173" s="75" t="s">
        <v>8691</v>
      </c>
      <c r="C3173" s="75" t="s">
        <v>13</v>
      </c>
      <c r="D3173" s="75" t="s">
        <v>13</v>
      </c>
      <c r="E3173" s="75" t="s">
        <v>8</v>
      </c>
      <c r="F3173" s="75" t="s">
        <v>27</v>
      </c>
    </row>
    <row r="3174" spans="1:6" x14ac:dyDescent="0.3">
      <c r="A3174" s="75" t="s">
        <v>8694</v>
      </c>
      <c r="B3174" s="75" t="s">
        <v>8695</v>
      </c>
      <c r="C3174" s="75" t="s">
        <v>8696</v>
      </c>
      <c r="D3174" s="75" t="s">
        <v>13</v>
      </c>
      <c r="E3174" s="75" t="s">
        <v>13</v>
      </c>
      <c r="F3174" s="75" t="s">
        <v>13</v>
      </c>
    </row>
    <row r="3175" spans="1:6" x14ac:dyDescent="0.3">
      <c r="A3175" s="75" t="s">
        <v>8697</v>
      </c>
      <c r="B3175" s="75" t="s">
        <v>8698</v>
      </c>
      <c r="C3175" s="75" t="s">
        <v>8532</v>
      </c>
      <c r="D3175" s="75" t="s">
        <v>13</v>
      </c>
      <c r="E3175" s="75" t="s">
        <v>13</v>
      </c>
      <c r="F3175" s="75" t="s">
        <v>13</v>
      </c>
    </row>
    <row r="3176" spans="1:6" x14ac:dyDescent="0.3">
      <c r="A3176" s="75" t="s">
        <v>8699</v>
      </c>
      <c r="B3176" s="75" t="s">
        <v>8700</v>
      </c>
      <c r="C3176" s="75" t="s">
        <v>8701</v>
      </c>
      <c r="D3176" s="75" t="s">
        <v>13</v>
      </c>
      <c r="E3176" s="75" t="s">
        <v>13</v>
      </c>
      <c r="F3176" s="75" t="s">
        <v>13</v>
      </c>
    </row>
    <row r="3177" spans="1:6" x14ac:dyDescent="0.3">
      <c r="A3177" s="75" t="s">
        <v>8702</v>
      </c>
      <c r="B3177" s="75" t="s">
        <v>8703</v>
      </c>
      <c r="C3177" s="75" t="s">
        <v>8704</v>
      </c>
      <c r="D3177" s="75" t="s">
        <v>13</v>
      </c>
      <c r="E3177" s="75" t="s">
        <v>13</v>
      </c>
      <c r="F3177" s="75" t="s">
        <v>13</v>
      </c>
    </row>
    <row r="3178" spans="1:6" x14ac:dyDescent="0.3">
      <c r="A3178" s="75" t="s">
        <v>8705</v>
      </c>
      <c r="B3178" s="75" t="s">
        <v>8706</v>
      </c>
      <c r="C3178" s="75" t="s">
        <v>8707</v>
      </c>
      <c r="D3178" s="75" t="s">
        <v>13</v>
      </c>
      <c r="E3178" s="75" t="s">
        <v>13</v>
      </c>
      <c r="F3178" s="75" t="s">
        <v>13</v>
      </c>
    </row>
    <row r="3179" spans="1:6" x14ac:dyDescent="0.3">
      <c r="A3179" s="75" t="s">
        <v>8708</v>
      </c>
      <c r="B3179" s="75" t="s">
        <v>8709</v>
      </c>
      <c r="C3179" s="75" t="s">
        <v>8710</v>
      </c>
      <c r="D3179" s="75" t="s">
        <v>13</v>
      </c>
      <c r="E3179" s="75" t="s">
        <v>13</v>
      </c>
      <c r="F3179" s="75" t="s">
        <v>13</v>
      </c>
    </row>
    <row r="3180" spans="1:6" x14ac:dyDescent="0.3">
      <c r="A3180" s="75" t="s">
        <v>8711</v>
      </c>
      <c r="B3180" s="75" t="s">
        <v>8712</v>
      </c>
      <c r="C3180" s="75" t="s">
        <v>8713</v>
      </c>
      <c r="D3180" s="75" t="s">
        <v>13</v>
      </c>
      <c r="E3180" s="75" t="s">
        <v>13</v>
      </c>
      <c r="F3180" s="75" t="s">
        <v>13</v>
      </c>
    </row>
    <row r="3181" spans="1:6" x14ac:dyDescent="0.3">
      <c r="A3181" s="75" t="s">
        <v>8714</v>
      </c>
      <c r="B3181" s="75" t="s">
        <v>8715</v>
      </c>
      <c r="C3181" s="75" t="s">
        <v>8716</v>
      </c>
      <c r="D3181" s="75" t="s">
        <v>13</v>
      </c>
      <c r="E3181" s="75" t="s">
        <v>13</v>
      </c>
      <c r="F3181" s="75" t="s">
        <v>13</v>
      </c>
    </row>
    <row r="3182" spans="1:6" x14ac:dyDescent="0.3">
      <c r="A3182" s="75" t="s">
        <v>8717</v>
      </c>
      <c r="B3182" s="75" t="s">
        <v>8718</v>
      </c>
      <c r="C3182" s="75" t="s">
        <v>7294</v>
      </c>
      <c r="D3182" s="75" t="s">
        <v>13</v>
      </c>
      <c r="E3182" s="75" t="s">
        <v>8</v>
      </c>
      <c r="F3182" s="75" t="s">
        <v>1093</v>
      </c>
    </row>
    <row r="3183" spans="1:6" x14ac:dyDescent="0.3">
      <c r="A3183" s="75" t="s">
        <v>8719</v>
      </c>
      <c r="B3183" s="75" t="s">
        <v>8720</v>
      </c>
      <c r="C3183" s="75" t="s">
        <v>8721</v>
      </c>
      <c r="D3183" s="75" t="s">
        <v>13</v>
      </c>
      <c r="E3183" s="75" t="s">
        <v>13</v>
      </c>
      <c r="F3183" s="75" t="s">
        <v>13</v>
      </c>
    </row>
    <row r="3184" spans="1:6" x14ac:dyDescent="0.3">
      <c r="A3184" s="75" t="s">
        <v>8722</v>
      </c>
      <c r="B3184" s="75" t="s">
        <v>8723</v>
      </c>
      <c r="C3184" s="75" t="s">
        <v>8724</v>
      </c>
      <c r="D3184" s="75" t="s">
        <v>13</v>
      </c>
      <c r="E3184" s="75" t="s">
        <v>13</v>
      </c>
      <c r="F3184" s="75" t="s">
        <v>13</v>
      </c>
    </row>
    <row r="3185" spans="1:6" x14ac:dyDescent="0.3">
      <c r="A3185" s="75" t="s">
        <v>8725</v>
      </c>
      <c r="B3185" s="75" t="s">
        <v>8726</v>
      </c>
      <c r="C3185" s="75" t="s">
        <v>4298</v>
      </c>
      <c r="D3185" s="75" t="s">
        <v>13</v>
      </c>
      <c r="E3185" s="75" t="s">
        <v>13</v>
      </c>
      <c r="F3185" s="75" t="s">
        <v>13</v>
      </c>
    </row>
    <row r="3186" spans="1:6" x14ac:dyDescent="0.3">
      <c r="A3186" s="75" t="s">
        <v>8727</v>
      </c>
      <c r="B3186" s="75" t="s">
        <v>8728</v>
      </c>
      <c r="C3186" s="75" t="s">
        <v>8729</v>
      </c>
      <c r="D3186" s="75" t="s">
        <v>13</v>
      </c>
      <c r="E3186" s="75" t="s">
        <v>13</v>
      </c>
      <c r="F3186" s="75" t="s">
        <v>13</v>
      </c>
    </row>
    <row r="3187" spans="1:6" x14ac:dyDescent="0.3">
      <c r="A3187" s="75" t="s">
        <v>8730</v>
      </c>
      <c r="B3187" s="75" t="s">
        <v>8731</v>
      </c>
      <c r="C3187" s="75" t="s">
        <v>530</v>
      </c>
      <c r="D3187" s="75" t="s">
        <v>13</v>
      </c>
      <c r="E3187" s="75" t="s">
        <v>13</v>
      </c>
      <c r="F3187" s="75" t="s">
        <v>13</v>
      </c>
    </row>
    <row r="3188" spans="1:6" x14ac:dyDescent="0.3">
      <c r="A3188" s="75" t="s">
        <v>8732</v>
      </c>
      <c r="B3188" s="75" t="s">
        <v>8733</v>
      </c>
      <c r="C3188" s="75" t="s">
        <v>8734</v>
      </c>
      <c r="D3188" s="75" t="s">
        <v>13</v>
      </c>
      <c r="E3188" s="75" t="s">
        <v>13</v>
      </c>
      <c r="F3188" s="75" t="s">
        <v>13</v>
      </c>
    </row>
    <row r="3189" spans="1:6" x14ac:dyDescent="0.3">
      <c r="A3189" s="75" t="s">
        <v>8735</v>
      </c>
      <c r="B3189" s="75" t="s">
        <v>8736</v>
      </c>
      <c r="C3189" s="75" t="s">
        <v>8737</v>
      </c>
      <c r="D3189" s="75" t="s">
        <v>13</v>
      </c>
      <c r="E3189" s="75" t="s">
        <v>13</v>
      </c>
      <c r="F3189" s="75" t="s">
        <v>13</v>
      </c>
    </row>
    <row r="3190" spans="1:6" x14ac:dyDescent="0.3">
      <c r="A3190" s="75" t="s">
        <v>8738</v>
      </c>
      <c r="B3190" s="75" t="s">
        <v>8739</v>
      </c>
      <c r="C3190" s="75" t="s">
        <v>8740</v>
      </c>
      <c r="D3190" s="75" t="s">
        <v>13</v>
      </c>
      <c r="E3190" s="75" t="s">
        <v>13</v>
      </c>
      <c r="F3190" s="75" t="s">
        <v>13</v>
      </c>
    </row>
    <row r="3191" spans="1:6" x14ac:dyDescent="0.3">
      <c r="A3191" s="75" t="s">
        <v>8741</v>
      </c>
      <c r="B3191" s="75" t="s">
        <v>8742</v>
      </c>
      <c r="C3191" s="75" t="s">
        <v>7933</v>
      </c>
      <c r="D3191" s="75">
        <v>2013</v>
      </c>
      <c r="E3191" s="75" t="s">
        <v>31</v>
      </c>
      <c r="F3191" s="75" t="s">
        <v>32</v>
      </c>
    </row>
    <row r="3192" spans="1:6" x14ac:dyDescent="0.3">
      <c r="A3192" s="75" t="s">
        <v>8743</v>
      </c>
      <c r="B3192" s="75" t="s">
        <v>8744</v>
      </c>
      <c r="C3192" s="75" t="s">
        <v>8745</v>
      </c>
      <c r="D3192" s="75" t="s">
        <v>13</v>
      </c>
      <c r="E3192" s="75" t="s">
        <v>8</v>
      </c>
      <c r="F3192" s="75" t="s">
        <v>478</v>
      </c>
    </row>
    <row r="3193" spans="1:6" x14ac:dyDescent="0.3">
      <c r="A3193" s="75" t="s">
        <v>8746</v>
      </c>
      <c r="B3193" s="75" t="s">
        <v>8747</v>
      </c>
      <c r="C3193" s="75" t="s">
        <v>2551</v>
      </c>
      <c r="D3193" s="75">
        <v>2011</v>
      </c>
      <c r="E3193" s="75" t="s">
        <v>8</v>
      </c>
      <c r="F3193" s="75" t="s">
        <v>579</v>
      </c>
    </row>
    <row r="3194" spans="1:6" x14ac:dyDescent="0.3">
      <c r="A3194" s="75" t="s">
        <v>8748</v>
      </c>
      <c r="B3194" s="75" t="s">
        <v>8749</v>
      </c>
      <c r="C3194" s="75" t="s">
        <v>8565</v>
      </c>
      <c r="D3194" s="75" t="s">
        <v>13</v>
      </c>
      <c r="E3194" s="75" t="s">
        <v>84</v>
      </c>
      <c r="F3194" s="75" t="s">
        <v>63</v>
      </c>
    </row>
    <row r="3195" spans="1:6" x14ac:dyDescent="0.3">
      <c r="A3195" s="75" t="s">
        <v>8750</v>
      </c>
      <c r="B3195" s="75" t="s">
        <v>8751</v>
      </c>
      <c r="C3195" s="75" t="s">
        <v>8752</v>
      </c>
      <c r="D3195" s="75" t="s">
        <v>13</v>
      </c>
      <c r="E3195" s="75" t="s">
        <v>53</v>
      </c>
      <c r="F3195" s="75" t="s">
        <v>4704</v>
      </c>
    </row>
    <row r="3196" spans="1:6" x14ac:dyDescent="0.3">
      <c r="A3196" s="75" t="s">
        <v>8753</v>
      </c>
      <c r="B3196" s="75" t="s">
        <v>8754</v>
      </c>
      <c r="C3196" s="75" t="s">
        <v>8755</v>
      </c>
      <c r="D3196" s="75">
        <v>1991</v>
      </c>
      <c r="E3196" s="75" t="s">
        <v>8</v>
      </c>
      <c r="F3196" s="75" t="s">
        <v>478</v>
      </c>
    </row>
    <row r="3197" spans="1:6" x14ac:dyDescent="0.3">
      <c r="A3197" s="75" t="s">
        <v>8756</v>
      </c>
      <c r="B3197" s="75" t="s">
        <v>8757</v>
      </c>
      <c r="C3197" s="75" t="s">
        <v>8758</v>
      </c>
      <c r="D3197" s="75" t="s">
        <v>13</v>
      </c>
      <c r="E3197" s="75" t="s">
        <v>18</v>
      </c>
      <c r="F3197" s="75" t="s">
        <v>49</v>
      </c>
    </row>
    <row r="3198" spans="1:6" x14ac:dyDescent="0.3">
      <c r="A3198" s="75" t="s">
        <v>8759</v>
      </c>
      <c r="B3198" s="75" t="s">
        <v>8760</v>
      </c>
      <c r="C3198" s="75" t="s">
        <v>8761</v>
      </c>
      <c r="D3198" s="75" t="s">
        <v>13</v>
      </c>
      <c r="E3198" s="75" t="s">
        <v>31</v>
      </c>
      <c r="F3198" s="75" t="s">
        <v>295</v>
      </c>
    </row>
    <row r="3199" spans="1:6" x14ac:dyDescent="0.3">
      <c r="A3199" s="75" t="s">
        <v>8762</v>
      </c>
      <c r="B3199" s="75" t="s">
        <v>8763</v>
      </c>
      <c r="C3199" s="75" t="s">
        <v>1806</v>
      </c>
      <c r="D3199" s="75">
        <v>2011</v>
      </c>
      <c r="E3199" s="75" t="s">
        <v>70</v>
      </c>
      <c r="F3199" s="75" t="s">
        <v>353</v>
      </c>
    </row>
    <row r="3200" spans="1:6" x14ac:dyDescent="0.3">
      <c r="A3200" s="75" t="s">
        <v>8764</v>
      </c>
      <c r="B3200" s="75" t="s">
        <v>8763</v>
      </c>
      <c r="C3200" s="75" t="s">
        <v>13</v>
      </c>
      <c r="D3200" s="75" t="s">
        <v>13</v>
      </c>
      <c r="E3200" s="75" t="s">
        <v>70</v>
      </c>
      <c r="F3200" s="75" t="s">
        <v>353</v>
      </c>
    </row>
    <row r="3201" spans="1:6" x14ac:dyDescent="0.3">
      <c r="A3201" s="75" t="s">
        <v>8765</v>
      </c>
      <c r="B3201" s="75" t="s">
        <v>8766</v>
      </c>
      <c r="C3201" s="75" t="s">
        <v>8767</v>
      </c>
      <c r="D3201" s="75" t="s">
        <v>13</v>
      </c>
      <c r="E3201" s="75" t="s">
        <v>8</v>
      </c>
      <c r="F3201" s="75" t="s">
        <v>27</v>
      </c>
    </row>
    <row r="3202" spans="1:6" x14ac:dyDescent="0.3">
      <c r="A3202" s="75" t="s">
        <v>8768</v>
      </c>
      <c r="B3202" s="75" t="s">
        <v>8766</v>
      </c>
      <c r="C3202" s="75" t="s">
        <v>13</v>
      </c>
      <c r="D3202" s="75" t="s">
        <v>13</v>
      </c>
      <c r="E3202" s="75" t="s">
        <v>8</v>
      </c>
      <c r="F3202" s="75" t="s">
        <v>27</v>
      </c>
    </row>
    <row r="3203" spans="1:6" x14ac:dyDescent="0.3">
      <c r="A3203" s="75" t="s">
        <v>8769</v>
      </c>
      <c r="B3203" s="75" t="s">
        <v>8770</v>
      </c>
      <c r="C3203" s="75" t="s">
        <v>3543</v>
      </c>
      <c r="D3203" s="75" t="s">
        <v>13</v>
      </c>
      <c r="E3203" s="75" t="s">
        <v>31</v>
      </c>
      <c r="F3203" s="75" t="s">
        <v>63</v>
      </c>
    </row>
    <row r="3204" spans="1:6" x14ac:dyDescent="0.3">
      <c r="A3204" s="75" t="s">
        <v>8771</v>
      </c>
      <c r="B3204" s="75" t="s">
        <v>8772</v>
      </c>
      <c r="C3204" s="75" t="s">
        <v>8773</v>
      </c>
      <c r="D3204" s="75" t="s">
        <v>13</v>
      </c>
      <c r="E3204" s="75" t="s">
        <v>8</v>
      </c>
      <c r="F3204" s="75" t="s">
        <v>579</v>
      </c>
    </row>
    <row r="3205" spans="1:6" x14ac:dyDescent="0.3">
      <c r="A3205" s="75" t="s">
        <v>8774</v>
      </c>
      <c r="B3205" s="75" t="s">
        <v>8775</v>
      </c>
      <c r="C3205" s="75" t="s">
        <v>8776</v>
      </c>
      <c r="D3205" s="75">
        <v>2002</v>
      </c>
      <c r="E3205" s="75" t="s">
        <v>18</v>
      </c>
      <c r="F3205" s="75" t="s">
        <v>1361</v>
      </c>
    </row>
    <row r="3206" spans="1:6" x14ac:dyDescent="0.3">
      <c r="A3206" s="75" t="s">
        <v>8777</v>
      </c>
      <c r="B3206" s="75" t="s">
        <v>8778</v>
      </c>
      <c r="C3206" s="75" t="s">
        <v>8779</v>
      </c>
      <c r="D3206" s="75">
        <v>2015</v>
      </c>
      <c r="E3206" s="75" t="s">
        <v>70</v>
      </c>
      <c r="F3206" s="75" t="s">
        <v>71</v>
      </c>
    </row>
    <row r="3207" spans="1:6" x14ac:dyDescent="0.3">
      <c r="A3207" s="75" t="s">
        <v>8780</v>
      </c>
      <c r="B3207" s="75" t="s">
        <v>8781</v>
      </c>
      <c r="C3207" s="75" t="s">
        <v>1304</v>
      </c>
      <c r="D3207" s="75" t="s">
        <v>13</v>
      </c>
      <c r="E3207" s="75" t="s">
        <v>96</v>
      </c>
      <c r="F3207" s="75" t="s">
        <v>97</v>
      </c>
    </row>
    <row r="3208" spans="1:6" x14ac:dyDescent="0.3">
      <c r="A3208" s="75" t="s">
        <v>8782</v>
      </c>
      <c r="B3208" s="75" t="s">
        <v>8783</v>
      </c>
      <c r="C3208" s="75" t="s">
        <v>8784</v>
      </c>
      <c r="D3208" s="75" t="s">
        <v>13</v>
      </c>
      <c r="E3208" s="75" t="s">
        <v>53</v>
      </c>
      <c r="F3208" s="75" t="s">
        <v>229</v>
      </c>
    </row>
    <row r="3209" spans="1:6" x14ac:dyDescent="0.3">
      <c r="A3209" s="75" t="s">
        <v>8785</v>
      </c>
      <c r="B3209" s="75" t="s">
        <v>8786</v>
      </c>
      <c r="C3209" s="75" t="s">
        <v>533</v>
      </c>
      <c r="D3209" s="75">
        <v>2013</v>
      </c>
      <c r="E3209" s="75" t="s">
        <v>70</v>
      </c>
      <c r="F3209" s="75" t="s">
        <v>71</v>
      </c>
    </row>
    <row r="3210" spans="1:6" x14ac:dyDescent="0.3">
      <c r="A3210" s="75" t="s">
        <v>8787</v>
      </c>
      <c r="B3210" s="75" t="s">
        <v>8788</v>
      </c>
      <c r="C3210" s="75" t="s">
        <v>8789</v>
      </c>
      <c r="D3210" s="75" t="s">
        <v>13</v>
      </c>
      <c r="E3210" s="75" t="s">
        <v>70</v>
      </c>
      <c r="F3210" s="75" t="s">
        <v>71</v>
      </c>
    </row>
    <row r="3211" spans="1:6" x14ac:dyDescent="0.3">
      <c r="A3211" s="75" t="s">
        <v>8790</v>
      </c>
      <c r="B3211" s="75" t="s">
        <v>8791</v>
      </c>
      <c r="C3211" s="75" t="s">
        <v>8792</v>
      </c>
      <c r="D3211" s="75" t="s">
        <v>13</v>
      </c>
      <c r="E3211" s="75" t="s">
        <v>8</v>
      </c>
      <c r="F3211" s="75" t="s">
        <v>27</v>
      </c>
    </row>
    <row r="3212" spans="1:6" x14ac:dyDescent="0.3">
      <c r="A3212" s="75" t="s">
        <v>8793</v>
      </c>
      <c r="B3212" s="75" t="s">
        <v>8794</v>
      </c>
      <c r="C3212" s="75" t="s">
        <v>8795</v>
      </c>
      <c r="D3212" s="75">
        <v>2014</v>
      </c>
      <c r="E3212" s="75" t="s">
        <v>70</v>
      </c>
      <c r="F3212" s="75" t="s">
        <v>71</v>
      </c>
    </row>
    <row r="3213" spans="1:6" x14ac:dyDescent="0.3">
      <c r="A3213" s="75" t="s">
        <v>8796</v>
      </c>
      <c r="B3213" s="75" t="s">
        <v>8797</v>
      </c>
      <c r="C3213" s="75" t="s">
        <v>8798</v>
      </c>
      <c r="D3213" s="75">
        <v>2013</v>
      </c>
      <c r="E3213" s="75" t="s">
        <v>518</v>
      </c>
      <c r="F3213" s="75" t="s">
        <v>49</v>
      </c>
    </row>
    <row r="3214" spans="1:6" x14ac:dyDescent="0.3">
      <c r="A3214" s="75" t="s">
        <v>8799</v>
      </c>
      <c r="B3214" s="75" t="s">
        <v>8797</v>
      </c>
      <c r="C3214" s="75" t="s">
        <v>13</v>
      </c>
      <c r="D3214" s="75">
        <v>2013</v>
      </c>
      <c r="E3214" s="75" t="s">
        <v>518</v>
      </c>
      <c r="F3214" s="75" t="s">
        <v>49</v>
      </c>
    </row>
    <row r="3215" spans="1:6" x14ac:dyDescent="0.3">
      <c r="A3215" s="75" t="s">
        <v>8800</v>
      </c>
      <c r="B3215" s="75" t="s">
        <v>8801</v>
      </c>
      <c r="C3215" s="75" t="s">
        <v>8802</v>
      </c>
      <c r="D3215" s="75">
        <v>1990</v>
      </c>
      <c r="E3215" s="75" t="s">
        <v>31</v>
      </c>
      <c r="F3215" s="75" t="s">
        <v>92</v>
      </c>
    </row>
    <row r="3216" spans="1:6" x14ac:dyDescent="0.3">
      <c r="A3216" s="75" t="s">
        <v>8803</v>
      </c>
      <c r="B3216" s="75" t="s">
        <v>8804</v>
      </c>
      <c r="C3216" s="75" t="s">
        <v>8805</v>
      </c>
      <c r="D3216" s="75" t="s">
        <v>13</v>
      </c>
      <c r="E3216" s="75" t="s">
        <v>8</v>
      </c>
      <c r="F3216" s="75" t="s">
        <v>1093</v>
      </c>
    </row>
    <row r="3217" spans="1:6" x14ac:dyDescent="0.3">
      <c r="A3217" s="75" t="s">
        <v>8806</v>
      </c>
      <c r="B3217" s="75" t="s">
        <v>8807</v>
      </c>
      <c r="C3217" s="75" t="s">
        <v>4635</v>
      </c>
      <c r="D3217" s="75" t="s">
        <v>13</v>
      </c>
      <c r="E3217" s="75" t="s">
        <v>8</v>
      </c>
      <c r="F3217" s="75" t="s">
        <v>1093</v>
      </c>
    </row>
    <row r="3218" spans="1:6" x14ac:dyDescent="0.3">
      <c r="A3218" s="75" t="s">
        <v>8808</v>
      </c>
      <c r="B3218" s="75" t="s">
        <v>8809</v>
      </c>
      <c r="C3218" s="75" t="s">
        <v>8810</v>
      </c>
      <c r="D3218" s="75">
        <v>1986</v>
      </c>
      <c r="E3218" s="75" t="s">
        <v>70</v>
      </c>
      <c r="F3218" s="75" t="s">
        <v>71</v>
      </c>
    </row>
    <row r="3219" spans="1:6" x14ac:dyDescent="0.3">
      <c r="A3219" s="75" t="s">
        <v>8811</v>
      </c>
      <c r="B3219" s="75" t="s">
        <v>8812</v>
      </c>
      <c r="C3219" s="75" t="s">
        <v>437</v>
      </c>
      <c r="D3219" s="75" t="s">
        <v>13</v>
      </c>
      <c r="E3219" s="75" t="s">
        <v>31</v>
      </c>
      <c r="F3219" s="75" t="s">
        <v>92</v>
      </c>
    </row>
    <row r="3220" spans="1:6" x14ac:dyDescent="0.3">
      <c r="A3220" s="75" t="s">
        <v>8813</v>
      </c>
      <c r="B3220" s="75" t="s">
        <v>8814</v>
      </c>
      <c r="C3220" s="75" t="s">
        <v>8815</v>
      </c>
      <c r="D3220" s="75" t="s">
        <v>13</v>
      </c>
      <c r="E3220" s="75" t="s">
        <v>31</v>
      </c>
      <c r="F3220" s="75" t="s">
        <v>626</v>
      </c>
    </row>
    <row r="3221" spans="1:6" x14ac:dyDescent="0.3">
      <c r="A3221" s="75" t="s">
        <v>8816</v>
      </c>
      <c r="B3221" s="75" t="s">
        <v>8817</v>
      </c>
      <c r="C3221" s="75" t="s">
        <v>8818</v>
      </c>
      <c r="D3221" s="75" t="s">
        <v>13</v>
      </c>
      <c r="E3221" s="75" t="s">
        <v>70</v>
      </c>
      <c r="F3221" s="75" t="s">
        <v>71</v>
      </c>
    </row>
    <row r="3222" spans="1:6" x14ac:dyDescent="0.3">
      <c r="A3222" s="75" t="s">
        <v>8819</v>
      </c>
      <c r="B3222" s="75" t="s">
        <v>8820</v>
      </c>
      <c r="C3222" s="75" t="s">
        <v>8821</v>
      </c>
      <c r="D3222" s="75">
        <v>2014</v>
      </c>
      <c r="E3222" s="75" t="s">
        <v>31</v>
      </c>
      <c r="F3222" s="75" t="s">
        <v>36</v>
      </c>
    </row>
    <row r="3223" spans="1:6" x14ac:dyDescent="0.3">
      <c r="A3223" s="75" t="s">
        <v>8822</v>
      </c>
      <c r="B3223" s="75" t="s">
        <v>8823</v>
      </c>
      <c r="C3223" s="75" t="s">
        <v>8824</v>
      </c>
      <c r="D3223" s="75">
        <v>2011</v>
      </c>
      <c r="E3223" s="75" t="s">
        <v>31</v>
      </c>
      <c r="F3223" s="75" t="s">
        <v>32</v>
      </c>
    </row>
    <row r="3224" spans="1:6" x14ac:dyDescent="0.3">
      <c r="A3224" s="75" t="s">
        <v>8825</v>
      </c>
      <c r="B3224" s="75" t="s">
        <v>8826</v>
      </c>
      <c r="C3224" s="75" t="s">
        <v>4894</v>
      </c>
      <c r="D3224" s="75" t="s">
        <v>13</v>
      </c>
      <c r="E3224" s="75" t="s">
        <v>8</v>
      </c>
      <c r="F3224" s="75" t="s">
        <v>1261</v>
      </c>
    </row>
    <row r="3225" spans="1:6" x14ac:dyDescent="0.3">
      <c r="A3225" s="75" t="s">
        <v>8827</v>
      </c>
      <c r="B3225" s="75" t="s">
        <v>8828</v>
      </c>
      <c r="C3225" s="75" t="s">
        <v>8829</v>
      </c>
      <c r="D3225" s="75" t="s">
        <v>13</v>
      </c>
      <c r="E3225" s="75" t="s">
        <v>18</v>
      </c>
      <c r="F3225" s="75" t="s">
        <v>845</v>
      </c>
    </row>
    <row r="3226" spans="1:6" x14ac:dyDescent="0.3">
      <c r="A3226" s="75" t="s">
        <v>8830</v>
      </c>
      <c r="B3226" s="75" t="s">
        <v>8831</v>
      </c>
      <c r="C3226" s="75" t="s">
        <v>8832</v>
      </c>
      <c r="D3226" s="75" t="s">
        <v>13</v>
      </c>
      <c r="E3226" s="75" t="s">
        <v>58</v>
      </c>
      <c r="F3226" s="75" t="s">
        <v>1642</v>
      </c>
    </row>
    <row r="3227" spans="1:6" x14ac:dyDescent="0.3">
      <c r="A3227" s="75" t="s">
        <v>8833</v>
      </c>
      <c r="B3227" s="75" t="s">
        <v>8834</v>
      </c>
      <c r="C3227" s="75" t="s">
        <v>8835</v>
      </c>
      <c r="D3227" s="75">
        <v>2016</v>
      </c>
      <c r="E3227" s="75" t="s">
        <v>8</v>
      </c>
      <c r="F3227" s="75" t="s">
        <v>1093</v>
      </c>
    </row>
    <row r="3228" spans="1:6" x14ac:dyDescent="0.3">
      <c r="A3228" s="75" t="s">
        <v>8836</v>
      </c>
      <c r="B3228" s="75" t="s">
        <v>8837</v>
      </c>
      <c r="C3228" s="75" t="s">
        <v>13</v>
      </c>
      <c r="D3228" s="75" t="s">
        <v>13</v>
      </c>
      <c r="E3228" s="75" t="s">
        <v>18</v>
      </c>
      <c r="F3228" s="75" t="s">
        <v>434</v>
      </c>
    </row>
    <row r="3229" spans="1:6" x14ac:dyDescent="0.3">
      <c r="A3229" s="75" t="s">
        <v>8838</v>
      </c>
      <c r="B3229" s="75" t="s">
        <v>8839</v>
      </c>
      <c r="C3229" s="75" t="s">
        <v>8840</v>
      </c>
      <c r="D3229" s="75" t="s">
        <v>13</v>
      </c>
      <c r="E3229" s="75" t="s">
        <v>18</v>
      </c>
      <c r="F3229" s="75" t="s">
        <v>450</v>
      </c>
    </row>
    <row r="3230" spans="1:6" x14ac:dyDescent="0.3">
      <c r="A3230" s="75" t="s">
        <v>8841</v>
      </c>
      <c r="B3230" s="75" t="s">
        <v>8842</v>
      </c>
      <c r="C3230" s="75" t="s">
        <v>8843</v>
      </c>
      <c r="D3230" s="75" t="s">
        <v>13</v>
      </c>
      <c r="E3230" s="75" t="s">
        <v>283</v>
      </c>
      <c r="F3230" s="75" t="s">
        <v>694</v>
      </c>
    </row>
    <row r="3231" spans="1:6" x14ac:dyDescent="0.3">
      <c r="A3231" s="75" t="s">
        <v>8844</v>
      </c>
      <c r="B3231" s="75" t="s">
        <v>8845</v>
      </c>
      <c r="C3231" s="75" t="s">
        <v>1163</v>
      </c>
      <c r="D3231" s="75">
        <v>2012</v>
      </c>
      <c r="E3231" s="75" t="s">
        <v>31</v>
      </c>
      <c r="F3231" s="75" t="s">
        <v>161</v>
      </c>
    </row>
    <row r="3232" spans="1:6" x14ac:dyDescent="0.3">
      <c r="A3232" s="75" t="s">
        <v>8846</v>
      </c>
      <c r="B3232" s="75" t="s">
        <v>8847</v>
      </c>
      <c r="C3232" s="75" t="s">
        <v>8848</v>
      </c>
      <c r="D3232" s="75">
        <v>2014</v>
      </c>
      <c r="E3232" s="75" t="s">
        <v>70</v>
      </c>
      <c r="F3232" s="75" t="s">
        <v>71</v>
      </c>
    </row>
    <row r="3233" spans="1:6" x14ac:dyDescent="0.3">
      <c r="A3233" s="75" t="s">
        <v>8849</v>
      </c>
      <c r="B3233" s="75" t="s">
        <v>8850</v>
      </c>
      <c r="C3233" s="75" t="s">
        <v>8851</v>
      </c>
      <c r="D3233" s="75" t="s">
        <v>13</v>
      </c>
      <c r="E3233" s="75" t="s">
        <v>18</v>
      </c>
      <c r="F3233" s="75" t="s">
        <v>19</v>
      </c>
    </row>
    <row r="3234" spans="1:6" x14ac:dyDescent="0.3">
      <c r="A3234" s="75" t="s">
        <v>8852</v>
      </c>
      <c r="B3234" s="75" t="s">
        <v>8853</v>
      </c>
      <c r="C3234" s="75" t="s">
        <v>8854</v>
      </c>
      <c r="D3234" s="75">
        <v>2013</v>
      </c>
      <c r="E3234" s="75" t="s">
        <v>8</v>
      </c>
      <c r="F3234" s="75" t="s">
        <v>2382</v>
      </c>
    </row>
    <row r="3235" spans="1:6" x14ac:dyDescent="0.3">
      <c r="A3235" s="75" t="s">
        <v>8855</v>
      </c>
      <c r="B3235" s="75" t="s">
        <v>8856</v>
      </c>
      <c r="C3235" s="75" t="s">
        <v>13</v>
      </c>
      <c r="D3235" s="75" t="s">
        <v>13</v>
      </c>
      <c r="E3235" s="75" t="s">
        <v>70</v>
      </c>
      <c r="F3235" s="75" t="s">
        <v>71</v>
      </c>
    </row>
    <row r="3236" spans="1:6" x14ac:dyDescent="0.3">
      <c r="A3236" s="75" t="s">
        <v>8857</v>
      </c>
      <c r="B3236" s="75" t="s">
        <v>8858</v>
      </c>
      <c r="C3236" s="75" t="s">
        <v>1007</v>
      </c>
      <c r="D3236" s="75">
        <v>1991</v>
      </c>
      <c r="E3236" s="75" t="s">
        <v>31</v>
      </c>
      <c r="F3236" s="75" t="s">
        <v>63</v>
      </c>
    </row>
    <row r="3237" spans="1:6" x14ac:dyDescent="0.3">
      <c r="A3237" s="75" t="s">
        <v>8859</v>
      </c>
      <c r="B3237" s="75" t="s">
        <v>8860</v>
      </c>
      <c r="C3237" s="75" t="s">
        <v>8861</v>
      </c>
      <c r="D3237" s="75" t="s">
        <v>13</v>
      </c>
      <c r="E3237" s="75" t="s">
        <v>96</v>
      </c>
      <c r="F3237" s="75" t="s">
        <v>76</v>
      </c>
    </row>
    <row r="3238" spans="1:6" x14ac:dyDescent="0.3">
      <c r="A3238" s="75" t="s">
        <v>8862</v>
      </c>
      <c r="B3238" s="75" t="s">
        <v>8860</v>
      </c>
      <c r="C3238" s="75" t="s">
        <v>6809</v>
      </c>
      <c r="D3238" s="75">
        <v>2011</v>
      </c>
      <c r="E3238" s="75" t="s">
        <v>96</v>
      </c>
      <c r="F3238" s="75" t="s">
        <v>76</v>
      </c>
    </row>
    <row r="3239" spans="1:6" x14ac:dyDescent="0.3">
      <c r="A3239" s="75" t="s">
        <v>8863</v>
      </c>
      <c r="B3239" s="75" t="s">
        <v>8864</v>
      </c>
      <c r="C3239" s="75" t="s">
        <v>8865</v>
      </c>
      <c r="D3239" s="75" t="s">
        <v>13</v>
      </c>
      <c r="E3239" s="75" t="s">
        <v>84</v>
      </c>
      <c r="F3239" s="75" t="s">
        <v>85</v>
      </c>
    </row>
    <row r="3240" spans="1:6" x14ac:dyDescent="0.3">
      <c r="A3240" s="75" t="s">
        <v>8866</v>
      </c>
      <c r="B3240" s="75" t="s">
        <v>8864</v>
      </c>
      <c r="C3240" s="75" t="s">
        <v>13</v>
      </c>
      <c r="D3240" s="75" t="s">
        <v>13</v>
      </c>
      <c r="E3240" s="75" t="s">
        <v>84</v>
      </c>
      <c r="F3240" s="75" t="s">
        <v>85</v>
      </c>
    </row>
    <row r="3241" spans="1:6" x14ac:dyDescent="0.3">
      <c r="A3241" s="75" t="s">
        <v>8867</v>
      </c>
      <c r="B3241" s="75" t="s">
        <v>8868</v>
      </c>
      <c r="C3241" s="75" t="s">
        <v>8869</v>
      </c>
      <c r="D3241" s="75" t="s">
        <v>13</v>
      </c>
      <c r="E3241" s="75" t="s">
        <v>8</v>
      </c>
      <c r="F3241" s="75" t="s">
        <v>27</v>
      </c>
    </row>
    <row r="3242" spans="1:6" x14ac:dyDescent="0.3">
      <c r="A3242" s="75" t="s">
        <v>8870</v>
      </c>
      <c r="B3242" s="75" t="s">
        <v>8868</v>
      </c>
      <c r="C3242" s="75" t="s">
        <v>13</v>
      </c>
      <c r="D3242" s="75" t="s">
        <v>13</v>
      </c>
      <c r="E3242" s="75" t="s">
        <v>8</v>
      </c>
      <c r="F3242" s="75" t="s">
        <v>27</v>
      </c>
    </row>
    <row r="3243" spans="1:6" x14ac:dyDescent="0.3">
      <c r="A3243" s="75" t="s">
        <v>8871</v>
      </c>
      <c r="B3243" s="75" t="s">
        <v>8868</v>
      </c>
      <c r="C3243" s="75" t="s">
        <v>13</v>
      </c>
      <c r="D3243" s="75" t="s">
        <v>13</v>
      </c>
      <c r="E3243" s="75" t="s">
        <v>8</v>
      </c>
      <c r="F3243" s="75" t="s">
        <v>27</v>
      </c>
    </row>
    <row r="3244" spans="1:6" x14ac:dyDescent="0.3">
      <c r="A3244" s="75" t="s">
        <v>8872</v>
      </c>
      <c r="B3244" s="75" t="s">
        <v>8873</v>
      </c>
      <c r="C3244" s="75" t="s">
        <v>8874</v>
      </c>
      <c r="D3244" s="75" t="s">
        <v>13</v>
      </c>
      <c r="E3244" s="75" t="s">
        <v>70</v>
      </c>
      <c r="F3244" s="75" t="s">
        <v>71</v>
      </c>
    </row>
    <row r="3245" spans="1:6" x14ac:dyDescent="0.3">
      <c r="A3245" s="75" t="s">
        <v>8875</v>
      </c>
      <c r="B3245" s="75" t="s">
        <v>8876</v>
      </c>
      <c r="C3245" s="75" t="s">
        <v>8877</v>
      </c>
      <c r="D3245" s="75" t="s">
        <v>13</v>
      </c>
      <c r="E3245" s="75" t="s">
        <v>31</v>
      </c>
      <c r="F3245" s="75" t="s">
        <v>161</v>
      </c>
    </row>
    <row r="3246" spans="1:6" x14ac:dyDescent="0.3">
      <c r="A3246" s="75" t="s">
        <v>8878</v>
      </c>
      <c r="B3246" s="75" t="s">
        <v>8879</v>
      </c>
      <c r="C3246" s="75" t="s">
        <v>8880</v>
      </c>
      <c r="D3246" s="75">
        <v>2010</v>
      </c>
      <c r="E3246" s="75" t="s">
        <v>70</v>
      </c>
      <c r="F3246" s="75" t="s">
        <v>71</v>
      </c>
    </row>
    <row r="3247" spans="1:6" x14ac:dyDescent="0.3">
      <c r="A3247" s="75" t="s">
        <v>8881</v>
      </c>
      <c r="B3247" s="75" t="s">
        <v>8882</v>
      </c>
      <c r="C3247" s="75" t="s">
        <v>8883</v>
      </c>
      <c r="D3247" s="75">
        <v>2015</v>
      </c>
      <c r="E3247" s="75" t="s">
        <v>70</v>
      </c>
      <c r="F3247" s="75" t="s">
        <v>71</v>
      </c>
    </row>
    <row r="3248" spans="1:6" x14ac:dyDescent="0.3">
      <c r="A3248" s="75" t="s">
        <v>8884</v>
      </c>
      <c r="B3248" s="75" t="s">
        <v>8885</v>
      </c>
      <c r="C3248" s="75" t="s">
        <v>8886</v>
      </c>
      <c r="D3248" s="75">
        <v>2005</v>
      </c>
      <c r="E3248" s="75" t="s">
        <v>18</v>
      </c>
      <c r="F3248" s="75" t="s">
        <v>762</v>
      </c>
    </row>
    <row r="3249" spans="1:6" x14ac:dyDescent="0.3">
      <c r="A3249" s="75" t="s">
        <v>8887</v>
      </c>
      <c r="B3249" s="75" t="s">
        <v>8888</v>
      </c>
      <c r="C3249" s="75" t="s">
        <v>8889</v>
      </c>
      <c r="D3249" s="75">
        <v>2015</v>
      </c>
      <c r="E3249" s="75" t="s">
        <v>70</v>
      </c>
      <c r="F3249" s="75" t="s">
        <v>71</v>
      </c>
    </row>
    <row r="3250" spans="1:6" x14ac:dyDescent="0.3">
      <c r="A3250" s="75" t="s">
        <v>8890</v>
      </c>
      <c r="B3250" s="75" t="s">
        <v>8891</v>
      </c>
      <c r="C3250" s="75" t="s">
        <v>8892</v>
      </c>
      <c r="D3250" s="75">
        <v>2011</v>
      </c>
      <c r="E3250" s="75" t="s">
        <v>31</v>
      </c>
      <c r="F3250" s="75" t="s">
        <v>161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A2:O57"/>
  <sheetViews>
    <sheetView workbookViewId="0">
      <selection activeCell="N9" sqref="N9"/>
    </sheetView>
  </sheetViews>
  <sheetFormatPr defaultRowHeight="14.4" x14ac:dyDescent="0.3"/>
  <cols>
    <col min="4" max="4" width="6.33203125" customWidth="1"/>
    <col min="7" max="7" width="49" customWidth="1"/>
    <col min="8" max="8" width="24.5546875" customWidth="1"/>
    <col min="9" max="9" width="20.33203125" hidden="1" customWidth="1"/>
    <col min="10" max="10" width="16.44140625" hidden="1" customWidth="1"/>
    <col min="11" max="11" width="17.44140625" hidden="1" customWidth="1"/>
  </cols>
  <sheetData>
    <row r="2" spans="1:11" ht="21" customHeight="1" x14ac:dyDescent="0.3">
      <c r="A2" t="str">
        <f>TRIM(A1)</f>
        <v/>
      </c>
      <c r="B2" s="1"/>
      <c r="C2" s="1"/>
      <c r="D2" s="1"/>
      <c r="E2" s="1"/>
      <c r="F2" s="1"/>
      <c r="G2" s="47" t="s">
        <v>8961</v>
      </c>
      <c r="H2" s="48">
        <v>42460</v>
      </c>
      <c r="I2" s="14"/>
      <c r="J2" s="14"/>
      <c r="K2" s="14"/>
    </row>
    <row r="3" spans="1:11" hidden="1" x14ac:dyDescent="0.3">
      <c r="G3" s="11" t="s">
        <v>8960</v>
      </c>
      <c r="H3" s="7"/>
      <c r="I3" s="7"/>
      <c r="J3" s="7"/>
    </row>
    <row r="4" spans="1:11" hidden="1" x14ac:dyDescent="0.3">
      <c r="G4" s="11" t="s">
        <v>8963</v>
      </c>
      <c r="H4" s="7"/>
      <c r="I4" s="7"/>
      <c r="J4" s="7"/>
    </row>
    <row r="5" spans="1:11" hidden="1" x14ac:dyDescent="0.3">
      <c r="G5" s="11" t="s">
        <v>8964</v>
      </c>
      <c r="H5" s="7"/>
      <c r="I5" s="7"/>
      <c r="J5" s="7"/>
    </row>
    <row r="6" spans="1:11" x14ac:dyDescent="0.3">
      <c r="B6" s="1"/>
      <c r="C6" s="1"/>
      <c r="D6" s="1"/>
      <c r="E6" s="1"/>
      <c r="F6" s="1"/>
      <c r="G6" s="36"/>
      <c r="H6" s="37"/>
      <c r="I6" s="9"/>
      <c r="J6" s="9"/>
    </row>
    <row r="7" spans="1:11" hidden="1" x14ac:dyDescent="0.3">
      <c r="G7" s="11" t="s">
        <v>8962</v>
      </c>
      <c r="H7" s="12"/>
      <c r="I7" s="12"/>
      <c r="J7" s="9"/>
    </row>
    <row r="8" spans="1:11" ht="18.75" hidden="1" customHeight="1" x14ac:dyDescent="0.3">
      <c r="G8" s="18" t="s">
        <v>8958</v>
      </c>
      <c r="H8" s="19">
        <v>32206</v>
      </c>
      <c r="I8" s="15">
        <v>28392</v>
      </c>
      <c r="J8" s="15">
        <v>26363</v>
      </c>
      <c r="K8" s="14" t="s">
        <v>9345</v>
      </c>
    </row>
    <row r="9" spans="1:11" ht="18.75" customHeight="1" x14ac:dyDescent="0.3">
      <c r="B9" s="1"/>
      <c r="C9" s="1"/>
      <c r="D9" s="1"/>
      <c r="E9" s="1"/>
      <c r="F9" s="1"/>
      <c r="G9" s="36"/>
      <c r="H9" s="38"/>
      <c r="I9" s="13"/>
      <c r="J9" s="9"/>
    </row>
    <row r="10" spans="1:11" ht="18.75" customHeight="1" x14ac:dyDescent="0.3">
      <c r="B10" s="55"/>
      <c r="C10" s="55"/>
      <c r="D10" s="55"/>
      <c r="E10" s="55"/>
      <c r="F10" s="1"/>
      <c r="G10" s="36"/>
      <c r="H10" s="39"/>
      <c r="I10" s="15">
        <v>2793</v>
      </c>
      <c r="J10" s="15">
        <v>2332</v>
      </c>
      <c r="K10" s="14" t="s">
        <v>9346</v>
      </c>
    </row>
    <row r="11" spans="1:11" x14ac:dyDescent="0.3">
      <c r="B11" s="55"/>
      <c r="C11" s="55"/>
      <c r="D11" s="56"/>
      <c r="E11" s="55"/>
      <c r="F11" s="1"/>
      <c r="G11" s="36"/>
      <c r="H11" s="40"/>
      <c r="I11" s="12"/>
      <c r="J11" s="9"/>
    </row>
    <row r="12" spans="1:11" ht="16.5" customHeight="1" x14ac:dyDescent="0.3">
      <c r="B12" s="55"/>
      <c r="C12" s="55"/>
      <c r="D12" s="55"/>
      <c r="E12" s="55"/>
      <c r="F12" s="1"/>
      <c r="G12" s="41"/>
      <c r="H12" s="42"/>
      <c r="I12" s="15">
        <v>0</v>
      </c>
      <c r="J12" s="15">
        <v>0</v>
      </c>
      <c r="K12" s="14" t="s">
        <v>8959</v>
      </c>
    </row>
    <row r="13" spans="1:11" ht="16.5" customHeight="1" x14ac:dyDescent="0.3">
      <c r="B13" s="55"/>
      <c r="C13" s="55"/>
      <c r="D13" s="55"/>
      <c r="E13" s="55"/>
      <c r="F13" s="1"/>
      <c r="G13" s="36"/>
      <c r="H13" s="43"/>
      <c r="I13" s="21"/>
      <c r="J13" s="9"/>
    </row>
    <row r="14" spans="1:11" ht="17.25" customHeight="1" x14ac:dyDescent="0.3">
      <c r="B14" s="61" t="s">
        <v>8957</v>
      </c>
      <c r="C14" s="61">
        <v>548</v>
      </c>
      <c r="D14" s="56"/>
      <c r="E14" s="56"/>
      <c r="F14" s="1"/>
      <c r="G14" s="41"/>
      <c r="H14" s="39"/>
      <c r="I14" s="15"/>
      <c r="J14" s="15"/>
      <c r="K14" s="14"/>
    </row>
    <row r="15" spans="1:11" ht="18.75" customHeight="1" x14ac:dyDescent="0.3">
      <c r="B15" s="57"/>
      <c r="C15" s="58"/>
      <c r="D15" s="58"/>
      <c r="E15" s="59"/>
      <c r="G15" s="36"/>
      <c r="H15" s="39"/>
      <c r="I15" s="15">
        <v>0</v>
      </c>
      <c r="J15" s="15">
        <v>0</v>
      </c>
      <c r="K15" s="14" t="s">
        <v>8959</v>
      </c>
    </row>
    <row r="16" spans="1:11" x14ac:dyDescent="0.3">
      <c r="B16" s="60"/>
      <c r="C16" s="60"/>
      <c r="D16" s="60"/>
      <c r="E16" s="60"/>
      <c r="G16" s="36"/>
      <c r="H16" s="40"/>
      <c r="I16" s="12"/>
      <c r="J16" s="9"/>
    </row>
    <row r="17" spans="2:15" ht="18" customHeight="1" x14ac:dyDescent="0.3">
      <c r="B17" s="57"/>
      <c r="C17" s="58"/>
      <c r="D17" s="58"/>
      <c r="E17" s="59"/>
      <c r="G17" s="36"/>
      <c r="H17" s="39"/>
      <c r="I17" s="15">
        <v>19046</v>
      </c>
      <c r="J17" s="15">
        <v>17594</v>
      </c>
      <c r="K17" s="14" t="s">
        <v>9347</v>
      </c>
    </row>
    <row r="18" spans="2:15" ht="15" customHeight="1" x14ac:dyDescent="0.3">
      <c r="G18" s="36"/>
      <c r="H18" s="44"/>
      <c r="I18" s="12"/>
      <c r="J18" s="9"/>
    </row>
    <row r="19" spans="2:15" ht="18" customHeight="1" x14ac:dyDescent="0.3">
      <c r="G19" s="36"/>
      <c r="H19" s="39"/>
      <c r="I19" s="15">
        <v>0</v>
      </c>
      <c r="J19" s="15">
        <v>0</v>
      </c>
      <c r="K19" s="14" t="s">
        <v>8959</v>
      </c>
    </row>
    <row r="20" spans="2:15" x14ac:dyDescent="0.3">
      <c r="G20" s="36"/>
      <c r="H20" s="45"/>
      <c r="I20" s="12"/>
      <c r="J20" s="9"/>
    </row>
    <row r="21" spans="2:15" ht="16.5" customHeight="1" x14ac:dyDescent="0.3">
      <c r="G21" s="36"/>
      <c r="H21" s="39"/>
      <c r="I21" s="15">
        <v>993</v>
      </c>
      <c r="J21" s="15">
        <v>1612</v>
      </c>
      <c r="K21" s="14" t="s">
        <v>9348</v>
      </c>
    </row>
    <row r="22" spans="2:15" ht="16.5" customHeight="1" x14ac:dyDescent="0.3">
      <c r="G22" s="36"/>
      <c r="H22" s="40"/>
      <c r="I22" s="12"/>
      <c r="J22" s="9"/>
      <c r="O22" s="2"/>
    </row>
    <row r="23" spans="2:15" ht="17.25" customHeight="1" x14ac:dyDescent="0.3">
      <c r="G23" s="49"/>
      <c r="H23" s="50"/>
      <c r="I23" s="15">
        <v>0</v>
      </c>
      <c r="J23" s="15">
        <v>0</v>
      </c>
      <c r="K23" s="14" t="s">
        <v>8959</v>
      </c>
    </row>
    <row r="24" spans="2:15" x14ac:dyDescent="0.3">
      <c r="G24" s="36"/>
      <c r="H24" s="45"/>
      <c r="I24" s="9"/>
      <c r="J24" s="9"/>
    </row>
    <row r="25" spans="2:15" ht="17.25" customHeight="1" x14ac:dyDescent="0.3">
      <c r="G25" s="36"/>
      <c r="H25" s="39"/>
      <c r="I25" s="15">
        <v>0</v>
      </c>
      <c r="J25" s="15">
        <v>0</v>
      </c>
      <c r="K25" s="14" t="s">
        <v>8959</v>
      </c>
    </row>
    <row r="26" spans="2:15" x14ac:dyDescent="0.3">
      <c r="G26" s="36"/>
      <c r="H26" s="45"/>
      <c r="I26" s="12"/>
      <c r="J26" s="9"/>
    </row>
    <row r="27" spans="2:15" ht="18.75" customHeight="1" x14ac:dyDescent="0.3">
      <c r="G27" s="36"/>
      <c r="H27" s="39"/>
      <c r="I27" s="15">
        <v>5560</v>
      </c>
      <c r="J27" s="15">
        <v>4825</v>
      </c>
      <c r="K27" s="14" t="s">
        <v>9349</v>
      </c>
    </row>
    <row r="28" spans="2:15" ht="28.5" customHeight="1" x14ac:dyDescent="0.3">
      <c r="G28" s="36"/>
      <c r="H28" s="38"/>
      <c r="I28" s="12"/>
      <c r="J28" s="9"/>
    </row>
    <row r="29" spans="2:15" ht="18" customHeight="1" x14ac:dyDescent="0.3">
      <c r="G29" s="36"/>
      <c r="H29" s="39"/>
      <c r="I29" s="16">
        <v>200</v>
      </c>
      <c r="J29" s="15">
        <v>12</v>
      </c>
      <c r="K29" s="14" t="s">
        <v>9350</v>
      </c>
    </row>
    <row r="30" spans="2:15" x14ac:dyDescent="0.3">
      <c r="G30" s="36"/>
      <c r="H30" s="44"/>
      <c r="I30" s="8"/>
      <c r="J30" s="9"/>
    </row>
    <row r="31" spans="2:15" ht="21" customHeight="1" x14ac:dyDescent="0.3">
      <c r="G31" s="36"/>
      <c r="H31" s="46"/>
      <c r="I31" s="15">
        <v>5360</v>
      </c>
      <c r="J31" s="15">
        <v>4813</v>
      </c>
      <c r="K31" s="14" t="s">
        <v>9351</v>
      </c>
    </row>
    <row r="32" spans="2:15" x14ac:dyDescent="0.3">
      <c r="G32" s="36"/>
      <c r="H32" s="44"/>
      <c r="I32" s="10"/>
      <c r="J32" s="9"/>
    </row>
    <row r="33" spans="7:13" ht="17.25" customHeight="1" x14ac:dyDescent="0.3">
      <c r="G33" s="36"/>
      <c r="H33" s="46"/>
      <c r="I33" s="15">
        <v>2438</v>
      </c>
      <c r="J33" s="15">
        <v>1527</v>
      </c>
      <c r="K33" s="14" t="s">
        <v>9352</v>
      </c>
    </row>
    <row r="34" spans="7:13" x14ac:dyDescent="0.3">
      <c r="G34" s="36"/>
      <c r="H34" s="44"/>
      <c r="I34" s="8"/>
      <c r="J34" s="9"/>
    </row>
    <row r="35" spans="7:13" ht="19.5" customHeight="1" x14ac:dyDescent="0.3">
      <c r="G35" s="36"/>
      <c r="H35" s="46"/>
      <c r="I35" s="15">
        <v>0</v>
      </c>
      <c r="J35" s="15">
        <v>0</v>
      </c>
      <c r="K35" s="14" t="s">
        <v>8959</v>
      </c>
      <c r="M35" s="20"/>
    </row>
    <row r="36" spans="7:13" x14ac:dyDescent="0.3">
      <c r="G36" s="36"/>
      <c r="H36" s="44"/>
      <c r="I36" s="8"/>
      <c r="J36" s="9"/>
    </row>
    <row r="37" spans="7:13" ht="21" customHeight="1" x14ac:dyDescent="0.3">
      <c r="G37" s="36"/>
      <c r="H37" s="46"/>
      <c r="I37" s="15">
        <v>0</v>
      </c>
      <c r="J37" s="15">
        <v>0</v>
      </c>
      <c r="K37" s="14" t="s">
        <v>8959</v>
      </c>
    </row>
    <row r="38" spans="7:13" x14ac:dyDescent="0.3">
      <c r="G38" s="36"/>
      <c r="H38" s="44"/>
      <c r="I38" s="8"/>
      <c r="J38" s="9"/>
    </row>
    <row r="39" spans="7:13" ht="20.25" customHeight="1" x14ac:dyDescent="0.3">
      <c r="G39" s="36"/>
      <c r="H39" s="46"/>
      <c r="I39" s="15">
        <v>2922</v>
      </c>
      <c r="J39" s="15">
        <v>3286</v>
      </c>
      <c r="K39" s="14" t="s">
        <v>9353</v>
      </c>
    </row>
    <row r="40" spans="7:13" x14ac:dyDescent="0.3">
      <c r="G40" s="36"/>
      <c r="H40" s="44"/>
      <c r="I40" s="8"/>
      <c r="J40" s="9"/>
    </row>
    <row r="41" spans="7:13" ht="18.75" customHeight="1" x14ac:dyDescent="0.3">
      <c r="G41" s="51"/>
      <c r="H41" s="52"/>
      <c r="I41" s="15">
        <v>2922</v>
      </c>
      <c r="J41" s="15">
        <v>3286</v>
      </c>
      <c r="K41" s="14" t="s">
        <v>9353</v>
      </c>
    </row>
    <row r="42" spans="7:13" x14ac:dyDescent="0.3">
      <c r="G42" s="36"/>
      <c r="H42" s="44"/>
      <c r="I42" s="8"/>
      <c r="J42" s="12"/>
    </row>
    <row r="43" spans="7:13" ht="16.5" customHeight="1" x14ac:dyDescent="0.3">
      <c r="G43" s="53"/>
      <c r="H43" s="54"/>
      <c r="I43" s="16">
        <v>2922</v>
      </c>
      <c r="J43" s="17">
        <v>3286</v>
      </c>
      <c r="K43" s="14">
        <v>3692</v>
      </c>
    </row>
    <row r="44" spans="7:13" x14ac:dyDescent="0.3">
      <c r="G44" s="1"/>
      <c r="H44" s="5"/>
      <c r="I44" s="5"/>
      <c r="J44" s="1"/>
    </row>
    <row r="45" spans="7:13" x14ac:dyDescent="0.3">
      <c r="G45" s="1"/>
      <c r="H45" s="3"/>
      <c r="I45" s="4"/>
      <c r="J45" s="1"/>
    </row>
    <row r="46" spans="7:13" x14ac:dyDescent="0.3">
      <c r="G46" s="1"/>
      <c r="H46" s="3"/>
      <c r="I46" s="4"/>
      <c r="J46" s="1"/>
    </row>
    <row r="47" spans="7:13" ht="38.25" customHeight="1" x14ac:dyDescent="0.3">
      <c r="G47" s="1"/>
      <c r="H47" s="5"/>
      <c r="I47" s="5"/>
      <c r="J47" s="1"/>
    </row>
    <row r="48" spans="7:13" x14ac:dyDescent="0.3">
      <c r="G48" s="1"/>
      <c r="H48" s="3"/>
      <c r="I48" s="4"/>
      <c r="J48" s="1"/>
    </row>
    <row r="49" spans="7:10" ht="59.25" customHeight="1" x14ac:dyDescent="0.3">
      <c r="G49" s="1"/>
      <c r="H49" s="5"/>
      <c r="I49" s="5"/>
      <c r="J49" s="1"/>
    </row>
    <row r="50" spans="7:10" x14ac:dyDescent="0.3">
      <c r="G50" s="1"/>
      <c r="H50" s="3"/>
      <c r="I50" s="4"/>
      <c r="J50" s="1"/>
    </row>
    <row r="51" spans="7:10" ht="29.25" customHeight="1" x14ac:dyDescent="0.3">
      <c r="G51" s="1"/>
      <c r="H51" s="5"/>
      <c r="I51" s="5"/>
      <c r="J51" s="1"/>
    </row>
    <row r="52" spans="7:10" x14ac:dyDescent="0.3">
      <c r="G52" s="1"/>
      <c r="H52" s="3"/>
      <c r="I52" s="6"/>
      <c r="J52" s="1"/>
    </row>
    <row r="53" spans="7:10" ht="104.25" customHeight="1" x14ac:dyDescent="0.3">
      <c r="G53" s="1"/>
      <c r="H53" s="5"/>
      <c r="I53" s="5"/>
      <c r="J53" s="1"/>
    </row>
    <row r="54" spans="7:10" x14ac:dyDescent="0.3">
      <c r="G54" s="1"/>
      <c r="H54" s="3"/>
      <c r="I54" s="6"/>
      <c r="J54" s="1"/>
    </row>
    <row r="55" spans="7:10" x14ac:dyDescent="0.3">
      <c r="G55" s="1"/>
      <c r="H55" s="5"/>
      <c r="I55" s="5"/>
      <c r="J55" s="1"/>
    </row>
    <row r="56" spans="7:10" x14ac:dyDescent="0.3">
      <c r="G56" s="1"/>
      <c r="H56" s="5"/>
      <c r="I56" s="5"/>
      <c r="J56" s="1"/>
    </row>
    <row r="57" spans="7:10" x14ac:dyDescent="0.3">
      <c r="G57" s="1"/>
      <c r="H57" s="5"/>
      <c r="I57" s="5"/>
      <c r="J57" s="1"/>
    </row>
  </sheetData>
  <autoFilter ref="G2:K8" xr:uid="{5D09332C-CD88-4579-98A3-4DE37FB38C3B}">
    <filterColumn colId="0">
      <filters>
        <filter val="12/31/2016_x000d_"/>
      </filters>
    </filterColumn>
  </autoFilter>
  <mergeCells count="1">
    <mergeCell ref="H13:I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crap">
                <anchor moveWithCells="1" sizeWithCells="1">
                  <from>
                    <xdr:col>1</xdr:col>
                    <xdr:colOff>7620</xdr:colOff>
                    <xdr:row>14</xdr:row>
                    <xdr:rowOff>76200</xdr:rowOff>
                  </from>
                  <to>
                    <xdr:col>4</xdr:col>
                    <xdr:colOff>601980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Drop Down 5">
              <controlPr defaultSize="0" autoLine="0" autoPict="0">
                <anchor moveWithCells="1">
                  <from>
                    <xdr:col>1</xdr:col>
                    <xdr:colOff>30480</xdr:colOff>
                    <xdr:row>9</xdr:row>
                    <xdr:rowOff>60960</xdr:rowOff>
                  </from>
                  <to>
                    <xdr:col>4</xdr:col>
                    <xdr:colOff>579120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1F7F0-EACA-4634-8779-2B021373A1A9}">
  <sheetPr codeName="Sheet7"/>
  <dimension ref="A1:CN230"/>
  <sheetViews>
    <sheetView workbookViewId="0">
      <selection activeCell="M7" sqref="M7"/>
    </sheetView>
  </sheetViews>
  <sheetFormatPr defaultRowHeight="14.4" x14ac:dyDescent="0.3"/>
  <cols>
    <col min="1" max="1" width="25.5546875" style="23" customWidth="1"/>
    <col min="2" max="4" width="8.88671875" style="23"/>
    <col min="5" max="5" width="8.5546875" style="23" customWidth="1"/>
    <col min="6" max="16384" width="8.88671875" style="23"/>
  </cols>
  <sheetData>
    <row r="1" spans="1:92" x14ac:dyDescent="0.3">
      <c r="A1" s="22"/>
    </row>
    <row r="2" spans="1:92" x14ac:dyDescent="0.3">
      <c r="A2" s="22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</row>
    <row r="3" spans="1:92" x14ac:dyDescent="0.3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3">
        <f>SUM(B3:CD3)</f>
        <v>0</v>
      </c>
    </row>
    <row r="4" spans="1:92" x14ac:dyDescent="0.3">
      <c r="A4" s="22"/>
      <c r="C4" s="24" t="e">
        <f t="array" ref="C4">MMULT(B2:CD2, TRANSPOSE(B3:CD3))</f>
        <v>#VALUE!</v>
      </c>
      <c r="D4" s="27"/>
      <c r="E4" s="28"/>
      <c r="F4" s="29"/>
    </row>
    <row r="5" spans="1:92" x14ac:dyDescent="0.3">
      <c r="A5" s="22"/>
      <c r="C5" s="24" t="e">
        <f t="array" ref="C5">MMULT(MMULT(B3:CD3,L8:CN88),TRANSPOSE(B3:CD3))</f>
        <v>#VALUE!</v>
      </c>
      <c r="E5" s="30"/>
      <c r="F5" s="31"/>
    </row>
    <row r="6" spans="1:92" ht="15.6" x14ac:dyDescent="0.3">
      <c r="A6" s="22"/>
      <c r="C6" s="24" t="e">
        <f>SQRT(C5)</f>
        <v>#VALUE!</v>
      </c>
      <c r="E6" s="30"/>
      <c r="F6" s="31"/>
      <c r="K6" s="32"/>
      <c r="L6" s="33"/>
      <c r="M6" s="33"/>
      <c r="N6" s="33"/>
    </row>
    <row r="7" spans="1:92" x14ac:dyDescent="0.3">
      <c r="A7" s="22"/>
      <c r="C7" s="23" t="e">
        <f>(C4-F4)/C6</f>
        <v>#VALUE!</v>
      </c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</row>
    <row r="8" spans="1:92" x14ac:dyDescent="0.3">
      <c r="K8" s="22"/>
    </row>
    <row r="9" spans="1:92" x14ac:dyDescent="0.3">
      <c r="K9" s="22"/>
    </row>
    <row r="10" spans="1:92" x14ac:dyDescent="0.3">
      <c r="B10" s="26"/>
      <c r="C10" s="34"/>
      <c r="D10" s="34"/>
      <c r="E10" s="34"/>
      <c r="K10" s="22"/>
    </row>
    <row r="11" spans="1:92" x14ac:dyDescent="0.3">
      <c r="B11" s="34"/>
      <c r="C11" s="34"/>
      <c r="D11" s="34"/>
      <c r="E11" s="35"/>
      <c r="K11" s="22"/>
    </row>
    <row r="12" spans="1:92" x14ac:dyDescent="0.3">
      <c r="B12" s="34"/>
      <c r="C12" s="34"/>
      <c r="D12" s="34"/>
      <c r="E12" s="35"/>
      <c r="K12" s="22"/>
    </row>
    <row r="13" spans="1:92" x14ac:dyDescent="0.3">
      <c r="B13" s="34"/>
      <c r="C13" s="34"/>
      <c r="D13" s="34"/>
      <c r="E13" s="34"/>
      <c r="K13" s="22"/>
    </row>
    <row r="14" spans="1:92" x14ac:dyDescent="0.3">
      <c r="B14" s="34"/>
      <c r="C14" s="34"/>
      <c r="D14" s="34"/>
      <c r="E14" s="34"/>
      <c r="K14" s="22"/>
    </row>
    <row r="15" spans="1:92" x14ac:dyDescent="0.3">
      <c r="B15" s="34"/>
      <c r="C15" s="34"/>
      <c r="D15" s="34"/>
      <c r="E15" s="35"/>
      <c r="K15" s="22"/>
    </row>
    <row r="16" spans="1:92" x14ac:dyDescent="0.3">
      <c r="B16" s="34"/>
      <c r="C16" s="34"/>
      <c r="D16" s="34"/>
      <c r="E16" s="35"/>
      <c r="K16" s="22"/>
    </row>
    <row r="17" spans="2:11" x14ac:dyDescent="0.3">
      <c r="B17" s="34"/>
      <c r="C17" s="34"/>
      <c r="D17" s="34"/>
      <c r="E17" s="34"/>
      <c r="K17" s="22"/>
    </row>
    <row r="18" spans="2:11" x14ac:dyDescent="0.3">
      <c r="B18" s="34"/>
      <c r="C18" s="34"/>
      <c r="D18" s="34"/>
      <c r="E18" s="34"/>
      <c r="K18" s="22"/>
    </row>
    <row r="19" spans="2:11" x14ac:dyDescent="0.3">
      <c r="B19" s="34"/>
      <c r="C19" s="34"/>
      <c r="D19" s="34"/>
      <c r="E19" s="35"/>
      <c r="K19" s="22"/>
    </row>
    <row r="20" spans="2:11" x14ac:dyDescent="0.3">
      <c r="B20" s="34"/>
      <c r="C20" s="34"/>
      <c r="D20" s="34"/>
      <c r="E20" s="35"/>
      <c r="K20" s="22"/>
    </row>
    <row r="21" spans="2:11" x14ac:dyDescent="0.3">
      <c r="B21" s="34"/>
      <c r="C21" s="34"/>
      <c r="D21" s="34"/>
      <c r="E21" s="34"/>
      <c r="K21" s="22"/>
    </row>
    <row r="22" spans="2:11" x14ac:dyDescent="0.3">
      <c r="B22" s="34"/>
      <c r="C22" s="34"/>
      <c r="D22" s="34"/>
      <c r="E22" s="34"/>
      <c r="K22" s="22"/>
    </row>
    <row r="23" spans="2:11" x14ac:dyDescent="0.3">
      <c r="B23" s="34"/>
      <c r="C23" s="34"/>
      <c r="D23" s="34"/>
      <c r="E23" s="35"/>
      <c r="K23" s="22"/>
    </row>
    <row r="24" spans="2:11" x14ac:dyDescent="0.3">
      <c r="B24" s="34"/>
      <c r="C24" s="34"/>
      <c r="D24" s="34"/>
      <c r="E24" s="35"/>
      <c r="K24" s="22"/>
    </row>
    <row r="25" spans="2:11" x14ac:dyDescent="0.3">
      <c r="B25" s="34"/>
      <c r="C25" s="34"/>
      <c r="D25" s="34"/>
      <c r="E25" s="34"/>
      <c r="K25" s="22"/>
    </row>
    <row r="26" spans="2:11" x14ac:dyDescent="0.3">
      <c r="B26" s="34"/>
      <c r="C26" s="34"/>
      <c r="D26" s="34"/>
      <c r="E26" s="34"/>
      <c r="K26" s="22"/>
    </row>
    <row r="27" spans="2:11" x14ac:dyDescent="0.3">
      <c r="B27" s="34"/>
      <c r="C27" s="34"/>
      <c r="D27" s="34"/>
      <c r="E27" s="35"/>
      <c r="K27" s="22"/>
    </row>
    <row r="28" spans="2:11" x14ac:dyDescent="0.3">
      <c r="B28" s="34"/>
      <c r="C28" s="34"/>
      <c r="D28" s="34"/>
      <c r="E28" s="35"/>
      <c r="K28" s="22"/>
    </row>
    <row r="29" spans="2:11" x14ac:dyDescent="0.3">
      <c r="B29" s="34"/>
      <c r="C29" s="34"/>
      <c r="D29" s="34"/>
      <c r="E29" s="34"/>
      <c r="K29" s="22"/>
    </row>
    <row r="30" spans="2:11" x14ac:dyDescent="0.3">
      <c r="B30" s="34"/>
      <c r="C30" s="34"/>
      <c r="D30" s="34"/>
      <c r="E30" s="34"/>
      <c r="K30" s="22"/>
    </row>
    <row r="31" spans="2:11" x14ac:dyDescent="0.3">
      <c r="B31" s="34"/>
      <c r="C31" s="34"/>
      <c r="D31" s="34"/>
      <c r="E31" s="34"/>
      <c r="K31" s="22"/>
    </row>
    <row r="32" spans="2:11" x14ac:dyDescent="0.3">
      <c r="B32" s="34"/>
      <c r="C32" s="34"/>
      <c r="D32" s="34"/>
      <c r="E32" s="34"/>
      <c r="K32" s="22"/>
    </row>
    <row r="33" spans="2:11" x14ac:dyDescent="0.3">
      <c r="B33" s="34"/>
      <c r="C33" s="34"/>
      <c r="D33" s="34"/>
      <c r="E33" s="34"/>
      <c r="K33" s="22"/>
    </row>
    <row r="34" spans="2:11" x14ac:dyDescent="0.3">
      <c r="B34" s="34"/>
      <c r="C34" s="34"/>
      <c r="D34" s="34"/>
      <c r="E34" s="34"/>
      <c r="K34" s="22"/>
    </row>
    <row r="35" spans="2:11" x14ac:dyDescent="0.3">
      <c r="B35" s="34"/>
      <c r="C35" s="34"/>
      <c r="D35" s="34"/>
      <c r="E35" s="34"/>
      <c r="K35" s="22"/>
    </row>
    <row r="36" spans="2:11" x14ac:dyDescent="0.3">
      <c r="B36" s="34"/>
      <c r="C36" s="34"/>
      <c r="D36" s="34"/>
      <c r="E36" s="34"/>
      <c r="K36" s="22"/>
    </row>
    <row r="37" spans="2:11" x14ac:dyDescent="0.3">
      <c r="B37" s="34"/>
      <c r="C37" s="34"/>
      <c r="D37" s="34"/>
      <c r="E37" s="34"/>
      <c r="K37" s="22"/>
    </row>
    <row r="38" spans="2:11" x14ac:dyDescent="0.3">
      <c r="B38" s="34"/>
      <c r="C38" s="34"/>
      <c r="D38" s="34"/>
      <c r="E38" s="34"/>
      <c r="K38" s="22"/>
    </row>
    <row r="39" spans="2:11" x14ac:dyDescent="0.3">
      <c r="B39" s="34"/>
      <c r="C39" s="34"/>
      <c r="D39" s="34"/>
      <c r="E39" s="34"/>
      <c r="K39" s="22"/>
    </row>
    <row r="40" spans="2:11" x14ac:dyDescent="0.3">
      <c r="B40" s="34"/>
      <c r="C40" s="34"/>
      <c r="D40" s="34"/>
      <c r="E40" s="34"/>
      <c r="K40" s="22"/>
    </row>
    <row r="41" spans="2:11" x14ac:dyDescent="0.3">
      <c r="B41" s="34"/>
      <c r="C41" s="34"/>
      <c r="D41" s="34"/>
      <c r="E41" s="34"/>
      <c r="K41" s="22"/>
    </row>
    <row r="42" spans="2:11" x14ac:dyDescent="0.3">
      <c r="B42" s="34"/>
      <c r="C42" s="34"/>
      <c r="D42" s="34"/>
      <c r="E42" s="34"/>
      <c r="K42" s="22"/>
    </row>
    <row r="43" spans="2:11" x14ac:dyDescent="0.3">
      <c r="B43" s="34"/>
      <c r="C43" s="34"/>
      <c r="D43" s="34"/>
      <c r="E43" s="34"/>
      <c r="K43" s="22"/>
    </row>
    <row r="44" spans="2:11" x14ac:dyDescent="0.3">
      <c r="B44" s="34"/>
      <c r="C44" s="34"/>
      <c r="D44" s="34"/>
      <c r="E44" s="34"/>
      <c r="K44" s="22"/>
    </row>
    <row r="45" spans="2:11" x14ac:dyDescent="0.3">
      <c r="B45" s="34"/>
      <c r="C45" s="34"/>
      <c r="D45" s="34"/>
      <c r="E45" s="34"/>
      <c r="K45" s="22"/>
    </row>
    <row r="46" spans="2:11" x14ac:dyDescent="0.3">
      <c r="K46" s="22"/>
    </row>
    <row r="47" spans="2:11" x14ac:dyDescent="0.3">
      <c r="K47" s="22"/>
    </row>
    <row r="48" spans="2:11" x14ac:dyDescent="0.3">
      <c r="K48" s="22"/>
    </row>
    <row r="49" spans="11:11" x14ac:dyDescent="0.3">
      <c r="K49" s="22"/>
    </row>
    <row r="50" spans="11:11" x14ac:dyDescent="0.3">
      <c r="K50" s="22"/>
    </row>
    <row r="51" spans="11:11" x14ac:dyDescent="0.3">
      <c r="K51" s="22"/>
    </row>
    <row r="52" spans="11:11" x14ac:dyDescent="0.3">
      <c r="K52" s="22"/>
    </row>
    <row r="53" spans="11:11" x14ac:dyDescent="0.3">
      <c r="K53" s="22"/>
    </row>
    <row r="54" spans="11:11" x14ac:dyDescent="0.3">
      <c r="K54" s="22"/>
    </row>
    <row r="55" spans="11:11" x14ac:dyDescent="0.3">
      <c r="K55" s="22"/>
    </row>
    <row r="56" spans="11:11" x14ac:dyDescent="0.3">
      <c r="K56" s="22"/>
    </row>
    <row r="57" spans="11:11" x14ac:dyDescent="0.3">
      <c r="K57" s="22"/>
    </row>
    <row r="58" spans="11:11" x14ac:dyDescent="0.3">
      <c r="K58" s="22"/>
    </row>
    <row r="59" spans="11:11" x14ac:dyDescent="0.3">
      <c r="K59" s="22"/>
    </row>
    <row r="60" spans="11:11" x14ac:dyDescent="0.3">
      <c r="K60" s="22"/>
    </row>
    <row r="61" spans="11:11" x14ac:dyDescent="0.3">
      <c r="K61" s="22"/>
    </row>
    <row r="62" spans="11:11" x14ac:dyDescent="0.3">
      <c r="K62" s="22"/>
    </row>
    <row r="63" spans="11:11" x14ac:dyDescent="0.3">
      <c r="K63" s="22"/>
    </row>
    <row r="64" spans="11:11" x14ac:dyDescent="0.3">
      <c r="K64" s="22"/>
    </row>
    <row r="65" spans="11:11" x14ac:dyDescent="0.3">
      <c r="K65" s="22"/>
    </row>
    <row r="66" spans="11:11" x14ac:dyDescent="0.3">
      <c r="K66" s="22"/>
    </row>
    <row r="67" spans="11:11" x14ac:dyDescent="0.3">
      <c r="K67" s="22"/>
    </row>
    <row r="68" spans="11:11" x14ac:dyDescent="0.3">
      <c r="K68" s="22"/>
    </row>
    <row r="69" spans="11:11" x14ac:dyDescent="0.3">
      <c r="K69" s="22"/>
    </row>
    <row r="70" spans="11:11" x14ac:dyDescent="0.3">
      <c r="K70" s="22"/>
    </row>
    <row r="71" spans="11:11" x14ac:dyDescent="0.3">
      <c r="K71" s="22"/>
    </row>
    <row r="72" spans="11:11" x14ac:dyDescent="0.3">
      <c r="K72" s="22"/>
    </row>
    <row r="73" spans="11:11" x14ac:dyDescent="0.3">
      <c r="K73" s="22"/>
    </row>
    <row r="74" spans="11:11" x14ac:dyDescent="0.3">
      <c r="K74" s="22"/>
    </row>
    <row r="75" spans="11:11" x14ac:dyDescent="0.3">
      <c r="K75" s="22"/>
    </row>
    <row r="76" spans="11:11" x14ac:dyDescent="0.3">
      <c r="K76" s="22"/>
    </row>
    <row r="77" spans="11:11" x14ac:dyDescent="0.3">
      <c r="K77" s="22"/>
    </row>
    <row r="78" spans="11:11" x14ac:dyDescent="0.3">
      <c r="K78" s="22"/>
    </row>
    <row r="79" spans="11:11" x14ac:dyDescent="0.3">
      <c r="K79" s="22"/>
    </row>
    <row r="80" spans="11:11" x14ac:dyDescent="0.3">
      <c r="K80" s="22"/>
    </row>
    <row r="81" spans="11:11" x14ac:dyDescent="0.3">
      <c r="K81" s="22"/>
    </row>
    <row r="82" spans="11:11" x14ac:dyDescent="0.3">
      <c r="K82" s="22"/>
    </row>
    <row r="83" spans="11:11" x14ac:dyDescent="0.3">
      <c r="K83" s="22"/>
    </row>
    <row r="84" spans="11:11" x14ac:dyDescent="0.3">
      <c r="K84" s="22"/>
    </row>
    <row r="85" spans="11:11" x14ac:dyDescent="0.3">
      <c r="K85" s="22"/>
    </row>
    <row r="86" spans="11:11" x14ac:dyDescent="0.3">
      <c r="K86" s="22"/>
    </row>
    <row r="87" spans="11:11" x14ac:dyDescent="0.3">
      <c r="K87" s="22"/>
    </row>
    <row r="88" spans="11:11" x14ac:dyDescent="0.3">
      <c r="K88" s="22"/>
    </row>
    <row r="148" spans="4:4" x14ac:dyDescent="0.3">
      <c r="D148" s="23">
        <v>0</v>
      </c>
    </row>
    <row r="149" spans="4:4" x14ac:dyDescent="0.3">
      <c r="D149" s="23">
        <v>0</v>
      </c>
    </row>
    <row r="150" spans="4:4" x14ac:dyDescent="0.3">
      <c r="D150" s="23">
        <v>0</v>
      </c>
    </row>
    <row r="151" spans="4:4" x14ac:dyDescent="0.3">
      <c r="D151" s="23">
        <v>0</v>
      </c>
    </row>
    <row r="152" spans="4:4" x14ac:dyDescent="0.3">
      <c r="D152" s="23">
        <v>0</v>
      </c>
    </row>
    <row r="153" spans="4:4" x14ac:dyDescent="0.3">
      <c r="D153" s="23">
        <v>0</v>
      </c>
    </row>
    <row r="154" spans="4:4" x14ac:dyDescent="0.3">
      <c r="D154" s="23">
        <v>0</v>
      </c>
    </row>
    <row r="155" spans="4:4" x14ac:dyDescent="0.3">
      <c r="D155" s="23">
        <v>0</v>
      </c>
    </row>
    <row r="156" spans="4:4" x14ac:dyDescent="0.3">
      <c r="D156" s="23">
        <v>0</v>
      </c>
    </row>
    <row r="157" spans="4:4" x14ac:dyDescent="0.3">
      <c r="D157" s="23">
        <v>0</v>
      </c>
    </row>
    <row r="158" spans="4:4" x14ac:dyDescent="0.3">
      <c r="D158" s="23">
        <v>0</v>
      </c>
    </row>
    <row r="159" spans="4:4" x14ac:dyDescent="0.3">
      <c r="D159" s="23">
        <v>0</v>
      </c>
    </row>
    <row r="160" spans="4:4" x14ac:dyDescent="0.3">
      <c r="D160" s="23">
        <v>0</v>
      </c>
    </row>
    <row r="161" spans="4:4" x14ac:dyDescent="0.3">
      <c r="D161" s="23">
        <v>0</v>
      </c>
    </row>
    <row r="162" spans="4:4" x14ac:dyDescent="0.3">
      <c r="D162" s="23">
        <v>0</v>
      </c>
    </row>
    <row r="163" spans="4:4" x14ac:dyDescent="0.3">
      <c r="D163" s="23">
        <v>0</v>
      </c>
    </row>
    <row r="164" spans="4:4" x14ac:dyDescent="0.3">
      <c r="D164" s="23">
        <v>0</v>
      </c>
    </row>
    <row r="165" spans="4:4" x14ac:dyDescent="0.3">
      <c r="D165" s="23">
        <v>0</v>
      </c>
    </row>
    <row r="166" spans="4:4" x14ac:dyDescent="0.3">
      <c r="D166" s="23">
        <v>0</v>
      </c>
    </row>
    <row r="167" spans="4:4" x14ac:dyDescent="0.3">
      <c r="D167" s="23">
        <v>0</v>
      </c>
    </row>
    <row r="168" spans="4:4" x14ac:dyDescent="0.3">
      <c r="D168" s="23">
        <v>0</v>
      </c>
    </row>
    <row r="169" spans="4:4" x14ac:dyDescent="0.3">
      <c r="D169" s="23">
        <v>0</v>
      </c>
    </row>
    <row r="170" spans="4:4" x14ac:dyDescent="0.3">
      <c r="D170" s="23">
        <v>0</v>
      </c>
    </row>
    <row r="171" spans="4:4" x14ac:dyDescent="0.3">
      <c r="D171" s="23">
        <v>0</v>
      </c>
    </row>
    <row r="172" spans="4:4" x14ac:dyDescent="0.3">
      <c r="D172" s="23">
        <v>0</v>
      </c>
    </row>
    <row r="173" spans="4:4" x14ac:dyDescent="0.3">
      <c r="D173" s="23">
        <v>0</v>
      </c>
    </row>
    <row r="174" spans="4:4" x14ac:dyDescent="0.3">
      <c r="D174" s="23">
        <v>0</v>
      </c>
    </row>
    <row r="175" spans="4:4" x14ac:dyDescent="0.3">
      <c r="D175" s="23">
        <v>0</v>
      </c>
    </row>
    <row r="176" spans="4:4" x14ac:dyDescent="0.3">
      <c r="D176" s="23">
        <v>0</v>
      </c>
    </row>
    <row r="177" spans="4:4" x14ac:dyDescent="0.3">
      <c r="D177" s="23">
        <v>0</v>
      </c>
    </row>
    <row r="178" spans="4:4" x14ac:dyDescent="0.3">
      <c r="D178" s="23">
        <v>0</v>
      </c>
    </row>
    <row r="179" spans="4:4" x14ac:dyDescent="0.3">
      <c r="D179" s="23">
        <v>0</v>
      </c>
    </row>
    <row r="180" spans="4:4" x14ac:dyDescent="0.3">
      <c r="D180" s="23">
        <v>0</v>
      </c>
    </row>
    <row r="181" spans="4:4" x14ac:dyDescent="0.3">
      <c r="D181" s="23">
        <v>0</v>
      </c>
    </row>
    <row r="182" spans="4:4" x14ac:dyDescent="0.3">
      <c r="D182" s="23">
        <v>0</v>
      </c>
    </row>
    <row r="183" spans="4:4" x14ac:dyDescent="0.3">
      <c r="D183" s="23">
        <v>0</v>
      </c>
    </row>
    <row r="184" spans="4:4" x14ac:dyDescent="0.3">
      <c r="D184" s="23">
        <v>0</v>
      </c>
    </row>
    <row r="185" spans="4:4" x14ac:dyDescent="0.3">
      <c r="D185" s="23">
        <v>0</v>
      </c>
    </row>
    <row r="186" spans="4:4" x14ac:dyDescent="0.3">
      <c r="D186" s="23">
        <v>0</v>
      </c>
    </row>
    <row r="187" spans="4:4" x14ac:dyDescent="0.3">
      <c r="D187" s="23">
        <v>0</v>
      </c>
    </row>
    <row r="188" spans="4:4" x14ac:dyDescent="0.3">
      <c r="D188" s="23">
        <v>0</v>
      </c>
    </row>
    <row r="189" spans="4:4" x14ac:dyDescent="0.3">
      <c r="D189" s="23">
        <v>0</v>
      </c>
    </row>
    <row r="190" spans="4:4" x14ac:dyDescent="0.3">
      <c r="D190" s="23">
        <v>0</v>
      </c>
    </row>
    <row r="191" spans="4:4" x14ac:dyDescent="0.3">
      <c r="D191" s="23">
        <v>0</v>
      </c>
    </row>
    <row r="192" spans="4:4" x14ac:dyDescent="0.3">
      <c r="D192" s="23">
        <v>0</v>
      </c>
    </row>
    <row r="193" spans="4:4" x14ac:dyDescent="0.3">
      <c r="D193" s="23">
        <v>0</v>
      </c>
    </row>
    <row r="194" spans="4:4" x14ac:dyDescent="0.3">
      <c r="D194" s="23">
        <v>0</v>
      </c>
    </row>
    <row r="195" spans="4:4" x14ac:dyDescent="0.3">
      <c r="D195" s="23">
        <v>0</v>
      </c>
    </row>
    <row r="196" spans="4:4" x14ac:dyDescent="0.3">
      <c r="D196" s="23">
        <v>0</v>
      </c>
    </row>
    <row r="197" spans="4:4" x14ac:dyDescent="0.3">
      <c r="D197" s="23">
        <v>0</v>
      </c>
    </row>
    <row r="198" spans="4:4" x14ac:dyDescent="0.3">
      <c r="D198" s="23">
        <v>0</v>
      </c>
    </row>
    <row r="199" spans="4:4" x14ac:dyDescent="0.3">
      <c r="D199" s="23">
        <v>0</v>
      </c>
    </row>
    <row r="200" spans="4:4" x14ac:dyDescent="0.3">
      <c r="D200" s="23">
        <v>0</v>
      </c>
    </row>
    <row r="201" spans="4:4" x14ac:dyDescent="0.3">
      <c r="D201" s="23">
        <v>0</v>
      </c>
    </row>
    <row r="202" spans="4:4" x14ac:dyDescent="0.3">
      <c r="D202" s="23">
        <v>0</v>
      </c>
    </row>
    <row r="203" spans="4:4" x14ac:dyDescent="0.3">
      <c r="D203" s="23">
        <v>0</v>
      </c>
    </row>
    <row r="204" spans="4:4" x14ac:dyDescent="0.3">
      <c r="D204" s="23">
        <v>0</v>
      </c>
    </row>
    <row r="205" spans="4:4" x14ac:dyDescent="0.3">
      <c r="D205" s="23">
        <v>0</v>
      </c>
    </row>
    <row r="206" spans="4:4" x14ac:dyDescent="0.3">
      <c r="D206" s="23">
        <v>0</v>
      </c>
    </row>
    <row r="207" spans="4:4" x14ac:dyDescent="0.3">
      <c r="D207" s="23">
        <v>0</v>
      </c>
    </row>
    <row r="208" spans="4:4" x14ac:dyDescent="0.3">
      <c r="D208" s="23">
        <v>0</v>
      </c>
    </row>
    <row r="209" spans="4:4" x14ac:dyDescent="0.3">
      <c r="D209" s="23">
        <v>0</v>
      </c>
    </row>
    <row r="210" spans="4:4" x14ac:dyDescent="0.3">
      <c r="D210" s="23">
        <v>0</v>
      </c>
    </row>
    <row r="211" spans="4:4" x14ac:dyDescent="0.3">
      <c r="D211" s="23">
        <v>0</v>
      </c>
    </row>
    <row r="212" spans="4:4" x14ac:dyDescent="0.3">
      <c r="D212" s="23">
        <v>0</v>
      </c>
    </row>
    <row r="213" spans="4:4" x14ac:dyDescent="0.3">
      <c r="D213" s="23">
        <v>0</v>
      </c>
    </row>
    <row r="214" spans="4:4" x14ac:dyDescent="0.3">
      <c r="D214" s="23">
        <v>0</v>
      </c>
    </row>
    <row r="215" spans="4:4" x14ac:dyDescent="0.3">
      <c r="D215" s="23">
        <v>0</v>
      </c>
    </row>
    <row r="216" spans="4:4" x14ac:dyDescent="0.3">
      <c r="D216" s="23">
        <v>0</v>
      </c>
    </row>
    <row r="217" spans="4:4" x14ac:dyDescent="0.3">
      <c r="D217" s="23">
        <v>0</v>
      </c>
    </row>
    <row r="218" spans="4:4" x14ac:dyDescent="0.3">
      <c r="D218" s="23">
        <v>0</v>
      </c>
    </row>
    <row r="219" spans="4:4" x14ac:dyDescent="0.3">
      <c r="D219" s="23">
        <v>0</v>
      </c>
    </row>
    <row r="220" spans="4:4" x14ac:dyDescent="0.3">
      <c r="D220" s="23">
        <v>0</v>
      </c>
    </row>
    <row r="221" spans="4:4" x14ac:dyDescent="0.3">
      <c r="D221" s="23">
        <v>0</v>
      </c>
    </row>
    <row r="222" spans="4:4" x14ac:dyDescent="0.3">
      <c r="D222" s="23">
        <v>0</v>
      </c>
    </row>
    <row r="223" spans="4:4" x14ac:dyDescent="0.3">
      <c r="D223" s="23">
        <v>0</v>
      </c>
    </row>
    <row r="224" spans="4:4" x14ac:dyDescent="0.3">
      <c r="D224" s="23">
        <v>0</v>
      </c>
    </row>
    <row r="225" spans="4:4" x14ac:dyDescent="0.3">
      <c r="D225" s="23">
        <v>0</v>
      </c>
    </row>
    <row r="226" spans="4:4" x14ac:dyDescent="0.3">
      <c r="D226" s="23">
        <v>0</v>
      </c>
    </row>
    <row r="227" spans="4:4" x14ac:dyDescent="0.3">
      <c r="D227" s="23">
        <v>0</v>
      </c>
    </row>
    <row r="228" spans="4:4" x14ac:dyDescent="0.3">
      <c r="D228" s="23">
        <v>0</v>
      </c>
    </row>
    <row r="229" spans="4:4" x14ac:dyDescent="0.3">
      <c r="D229" s="23">
        <v>0</v>
      </c>
    </row>
    <row r="230" spans="4:4" x14ac:dyDescent="0.3">
      <c r="D230" s="23">
        <v>0</v>
      </c>
    </row>
  </sheetData>
  <mergeCells count="6">
    <mergeCell ref="E27:E28"/>
    <mergeCell ref="F4:F6"/>
    <mergeCell ref="E11:E12"/>
    <mergeCell ref="E15:E16"/>
    <mergeCell ref="E19:E20"/>
    <mergeCell ref="E23:E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creturn">
                <anchor moveWithCells="1" sizeWithCells="1">
                  <from>
                    <xdr:col>1</xdr:col>
                    <xdr:colOff>190500</xdr:colOff>
                    <xdr:row>6</xdr:row>
                    <xdr:rowOff>53340</xdr:rowOff>
                  </from>
                  <to>
                    <xdr:col>5</xdr:col>
                    <xdr:colOff>175260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trix">
                <anchor moveWithCells="1" sizeWithCells="1">
                  <from>
                    <xdr:col>1</xdr:col>
                    <xdr:colOff>213360</xdr:colOff>
                    <xdr:row>12</xdr:row>
                    <xdr:rowOff>15240</xdr:rowOff>
                  </from>
                  <to>
                    <xdr:col>5</xdr:col>
                    <xdr:colOff>205740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go_to_data_1">
                <anchor moveWithCells="1" sizeWithCells="1">
                  <from>
                    <xdr:col>5</xdr:col>
                    <xdr:colOff>312420</xdr:colOff>
                    <xdr:row>6</xdr:row>
                    <xdr:rowOff>22860</xdr:rowOff>
                  </from>
                  <to>
                    <xdr:col>10</xdr:col>
                    <xdr:colOff>236220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go_to_data_2">
                <anchor moveWithCells="1" sizeWithCells="1">
                  <from>
                    <xdr:col>5</xdr:col>
                    <xdr:colOff>312420</xdr:colOff>
                    <xdr:row>12</xdr:row>
                    <xdr:rowOff>0</xdr:rowOff>
                  </from>
                  <to>
                    <xdr:col>10</xdr:col>
                    <xdr:colOff>266700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returns</vt:lpstr>
      <vt:lpstr>Prices</vt:lpstr>
      <vt:lpstr>Price-to-Book Values</vt:lpstr>
      <vt:lpstr>Market Values</vt:lpstr>
      <vt:lpstr>averet</vt:lpstr>
      <vt:lpstr>Trading Strategy</vt:lpstr>
      <vt:lpstr>Ticker</vt:lpstr>
      <vt:lpstr>Data Scraper</vt:lpstr>
      <vt:lpstr>Extras </vt:lpstr>
    </vt:vector>
  </TitlesOfParts>
  <Company>AUT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em9484</dc:creator>
  <cp:lastModifiedBy>Ahaan</cp:lastModifiedBy>
  <dcterms:created xsi:type="dcterms:W3CDTF">2017-09-20T03:31:54Z</dcterms:created>
  <dcterms:modified xsi:type="dcterms:W3CDTF">2019-06-07T02:10:19Z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fac05804-4319-4585-8f35-0697766c1343</vt:lpwstr>
  </property>
</Properties>
</file>